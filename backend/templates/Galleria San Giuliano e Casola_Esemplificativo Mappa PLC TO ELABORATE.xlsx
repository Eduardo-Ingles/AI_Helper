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gruppogavio-my.sharepoint.com/personal/abisericaru_sinelec_it/Documents/Desktop/"/>
    </mc:Choice>
  </mc:AlternateContent>
  <xr:revisionPtr revIDLastSave="26" documentId="13_ncr:1_{82B1620D-AD00-4897-B1B2-4E4DA5E38B7C}" xr6:coauthVersionLast="47" xr6:coauthVersionMax="47" xr10:uidLastSave="{12CE9CF3-0295-44CC-B563-0202CCFB703C}"/>
  <bookViews>
    <workbookView xWindow="-120" yWindow="-120" windowWidth="29040" windowHeight="16440" xr2:uid="{00000000-000D-0000-FFFF-FFFF00000000}"/>
  </bookViews>
  <sheets>
    <sheet name="Foglio1" sheetId="1" r:id="rId1"/>
  </sheets>
  <definedNames>
    <definedName name="_xlnm._FilterDatabase" localSheetId="0" hidden="1">Foglio1!$A$1:$Z$2961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" i="1"/>
  <c r="N2" i="1"/>
  <c r="Z5" i="1"/>
  <c r="Z2961" i="1"/>
  <c r="W2961" i="1"/>
  <c r="V2961" i="1"/>
  <c r="U2961" i="1"/>
  <c r="R2961" i="1"/>
  <c r="P2961" i="1"/>
  <c r="K2961" i="1"/>
  <c r="Z2960" i="1"/>
  <c r="W2960" i="1"/>
  <c r="V2960" i="1"/>
  <c r="U2960" i="1"/>
  <c r="R2960" i="1"/>
  <c r="P2960" i="1"/>
  <c r="K2960" i="1"/>
  <c r="Z2959" i="1"/>
  <c r="W2959" i="1"/>
  <c r="V2959" i="1"/>
  <c r="U2959" i="1"/>
  <c r="R2959" i="1"/>
  <c r="P2959" i="1"/>
  <c r="K2959" i="1"/>
  <c r="Z2958" i="1"/>
  <c r="W2958" i="1"/>
  <c r="V2958" i="1"/>
  <c r="U2958" i="1"/>
  <c r="R2958" i="1"/>
  <c r="P2958" i="1"/>
  <c r="K2958" i="1"/>
  <c r="Z2957" i="1"/>
  <c r="W2957" i="1"/>
  <c r="V2957" i="1"/>
  <c r="U2957" i="1"/>
  <c r="R2957" i="1"/>
  <c r="P2957" i="1"/>
  <c r="K2957" i="1"/>
  <c r="Z2956" i="1"/>
  <c r="W2956" i="1"/>
  <c r="V2956" i="1"/>
  <c r="U2956" i="1"/>
  <c r="R2956" i="1"/>
  <c r="P2956" i="1"/>
  <c r="K2956" i="1"/>
  <c r="Z2955" i="1"/>
  <c r="W2955" i="1"/>
  <c r="V2955" i="1"/>
  <c r="U2955" i="1"/>
  <c r="R2955" i="1"/>
  <c r="P2955" i="1"/>
  <c r="K2955" i="1"/>
  <c r="Z2954" i="1"/>
  <c r="W2954" i="1"/>
  <c r="V2954" i="1"/>
  <c r="U2954" i="1"/>
  <c r="R2954" i="1"/>
  <c r="P2954" i="1"/>
  <c r="K2954" i="1"/>
  <c r="Z2953" i="1"/>
  <c r="W2953" i="1"/>
  <c r="V2953" i="1"/>
  <c r="U2953" i="1"/>
  <c r="R2953" i="1"/>
  <c r="P2953" i="1"/>
  <c r="K2953" i="1"/>
  <c r="Z2952" i="1"/>
  <c r="W2952" i="1"/>
  <c r="V2952" i="1"/>
  <c r="U2952" i="1"/>
  <c r="R2952" i="1"/>
  <c r="P2952" i="1"/>
  <c r="K2952" i="1"/>
  <c r="Z2951" i="1"/>
  <c r="W2951" i="1"/>
  <c r="V2951" i="1"/>
  <c r="U2951" i="1"/>
  <c r="R2951" i="1"/>
  <c r="P2951" i="1"/>
  <c r="K2951" i="1"/>
  <c r="Z2950" i="1"/>
  <c r="W2950" i="1"/>
  <c r="V2950" i="1"/>
  <c r="U2950" i="1"/>
  <c r="R2950" i="1"/>
  <c r="P2950" i="1"/>
  <c r="K2950" i="1"/>
  <c r="Z2949" i="1"/>
  <c r="W2949" i="1"/>
  <c r="V2949" i="1"/>
  <c r="U2949" i="1"/>
  <c r="R2949" i="1"/>
  <c r="P2949" i="1"/>
  <c r="K2949" i="1"/>
  <c r="Z2948" i="1"/>
  <c r="W2948" i="1"/>
  <c r="V2948" i="1"/>
  <c r="U2948" i="1"/>
  <c r="R2948" i="1"/>
  <c r="P2948" i="1"/>
  <c r="K2948" i="1"/>
  <c r="Z2947" i="1"/>
  <c r="W2947" i="1"/>
  <c r="V2947" i="1"/>
  <c r="U2947" i="1"/>
  <c r="R2947" i="1"/>
  <c r="P2947" i="1"/>
  <c r="K2947" i="1"/>
  <c r="Z2946" i="1"/>
  <c r="W2946" i="1"/>
  <c r="V2946" i="1"/>
  <c r="U2946" i="1"/>
  <c r="R2946" i="1"/>
  <c r="P2946" i="1"/>
  <c r="K2946" i="1"/>
  <c r="Z2945" i="1"/>
  <c r="W2945" i="1"/>
  <c r="V2945" i="1"/>
  <c r="U2945" i="1"/>
  <c r="R2945" i="1"/>
  <c r="P2945" i="1"/>
  <c r="K2945" i="1"/>
  <c r="Z2944" i="1"/>
  <c r="W2944" i="1"/>
  <c r="V2944" i="1"/>
  <c r="U2944" i="1"/>
  <c r="R2944" i="1"/>
  <c r="P2944" i="1"/>
  <c r="K2944" i="1"/>
  <c r="Z2943" i="1"/>
  <c r="W2943" i="1"/>
  <c r="V2943" i="1"/>
  <c r="U2943" i="1"/>
  <c r="R2943" i="1"/>
  <c r="P2943" i="1"/>
  <c r="K2943" i="1"/>
  <c r="Z2942" i="1"/>
  <c r="W2942" i="1"/>
  <c r="V2942" i="1"/>
  <c r="U2942" i="1"/>
  <c r="R2942" i="1"/>
  <c r="P2942" i="1"/>
  <c r="K2942" i="1"/>
  <c r="Z2941" i="1"/>
  <c r="W2941" i="1"/>
  <c r="V2941" i="1"/>
  <c r="U2941" i="1"/>
  <c r="R2941" i="1"/>
  <c r="P2941" i="1"/>
  <c r="K2941" i="1"/>
  <c r="Z2940" i="1"/>
  <c r="W2940" i="1"/>
  <c r="V2940" i="1"/>
  <c r="U2940" i="1"/>
  <c r="R2940" i="1"/>
  <c r="P2940" i="1"/>
  <c r="K2940" i="1"/>
  <c r="Z2939" i="1"/>
  <c r="W2939" i="1"/>
  <c r="V2939" i="1"/>
  <c r="U2939" i="1"/>
  <c r="R2939" i="1"/>
  <c r="P2939" i="1"/>
  <c r="K2939" i="1"/>
  <c r="Z2938" i="1"/>
  <c r="W2938" i="1"/>
  <c r="V2938" i="1"/>
  <c r="U2938" i="1"/>
  <c r="R2938" i="1"/>
  <c r="P2938" i="1"/>
  <c r="K2938" i="1"/>
  <c r="Z2937" i="1"/>
  <c r="W2937" i="1"/>
  <c r="V2937" i="1"/>
  <c r="U2937" i="1"/>
  <c r="R2937" i="1"/>
  <c r="P2937" i="1"/>
  <c r="K2937" i="1"/>
  <c r="Z2936" i="1"/>
  <c r="W2936" i="1"/>
  <c r="V2936" i="1"/>
  <c r="U2936" i="1"/>
  <c r="R2936" i="1"/>
  <c r="P2936" i="1"/>
  <c r="K2936" i="1"/>
  <c r="Z2935" i="1"/>
  <c r="W2935" i="1"/>
  <c r="V2935" i="1"/>
  <c r="U2935" i="1"/>
  <c r="R2935" i="1"/>
  <c r="P2935" i="1"/>
  <c r="K2935" i="1"/>
  <c r="Z2934" i="1"/>
  <c r="W2934" i="1"/>
  <c r="V2934" i="1"/>
  <c r="U2934" i="1"/>
  <c r="R2934" i="1"/>
  <c r="P2934" i="1"/>
  <c r="K2934" i="1"/>
  <c r="Z2933" i="1"/>
  <c r="W2933" i="1"/>
  <c r="V2933" i="1"/>
  <c r="U2933" i="1"/>
  <c r="R2933" i="1"/>
  <c r="P2933" i="1"/>
  <c r="K2933" i="1"/>
  <c r="Z2932" i="1"/>
  <c r="W2932" i="1"/>
  <c r="V2932" i="1"/>
  <c r="U2932" i="1"/>
  <c r="R2932" i="1"/>
  <c r="P2932" i="1"/>
  <c r="K2932" i="1"/>
  <c r="Z2931" i="1"/>
  <c r="W2931" i="1"/>
  <c r="V2931" i="1"/>
  <c r="U2931" i="1"/>
  <c r="R2931" i="1"/>
  <c r="P2931" i="1"/>
  <c r="K2931" i="1"/>
  <c r="Z2930" i="1"/>
  <c r="W2930" i="1"/>
  <c r="V2930" i="1"/>
  <c r="U2930" i="1"/>
  <c r="R2930" i="1"/>
  <c r="P2930" i="1"/>
  <c r="K2930" i="1"/>
  <c r="Z2929" i="1"/>
  <c r="W2929" i="1"/>
  <c r="V2929" i="1"/>
  <c r="U2929" i="1"/>
  <c r="R2929" i="1"/>
  <c r="P2929" i="1"/>
  <c r="K2929" i="1"/>
  <c r="Z2928" i="1"/>
  <c r="W2928" i="1"/>
  <c r="V2928" i="1"/>
  <c r="U2928" i="1"/>
  <c r="R2928" i="1"/>
  <c r="P2928" i="1"/>
  <c r="K2928" i="1"/>
  <c r="Z2927" i="1"/>
  <c r="W2927" i="1"/>
  <c r="V2927" i="1"/>
  <c r="U2927" i="1"/>
  <c r="R2927" i="1"/>
  <c r="P2927" i="1"/>
  <c r="K2927" i="1"/>
  <c r="Z2926" i="1"/>
  <c r="W2926" i="1"/>
  <c r="V2926" i="1"/>
  <c r="U2926" i="1"/>
  <c r="R2926" i="1"/>
  <c r="P2926" i="1"/>
  <c r="K2926" i="1"/>
  <c r="Z2925" i="1"/>
  <c r="W2925" i="1"/>
  <c r="V2925" i="1"/>
  <c r="U2925" i="1"/>
  <c r="R2925" i="1"/>
  <c r="P2925" i="1"/>
  <c r="K2925" i="1"/>
  <c r="Z2924" i="1"/>
  <c r="W2924" i="1"/>
  <c r="V2924" i="1"/>
  <c r="U2924" i="1"/>
  <c r="R2924" i="1"/>
  <c r="P2924" i="1"/>
  <c r="K2924" i="1"/>
  <c r="Z2923" i="1"/>
  <c r="W2923" i="1"/>
  <c r="V2923" i="1"/>
  <c r="U2923" i="1"/>
  <c r="R2923" i="1"/>
  <c r="P2923" i="1"/>
  <c r="K2923" i="1"/>
  <c r="Z2922" i="1"/>
  <c r="W2922" i="1"/>
  <c r="V2922" i="1"/>
  <c r="U2922" i="1"/>
  <c r="R2922" i="1"/>
  <c r="P2922" i="1"/>
  <c r="K2922" i="1"/>
  <c r="Z2921" i="1"/>
  <c r="W2921" i="1"/>
  <c r="V2921" i="1"/>
  <c r="U2921" i="1"/>
  <c r="R2921" i="1"/>
  <c r="P2921" i="1"/>
  <c r="K2921" i="1"/>
  <c r="Z2920" i="1"/>
  <c r="W2920" i="1"/>
  <c r="V2920" i="1"/>
  <c r="U2920" i="1"/>
  <c r="R2920" i="1"/>
  <c r="P2920" i="1"/>
  <c r="K2920" i="1"/>
  <c r="Z2919" i="1"/>
  <c r="W2919" i="1"/>
  <c r="V2919" i="1"/>
  <c r="U2919" i="1"/>
  <c r="R2919" i="1"/>
  <c r="P2919" i="1"/>
  <c r="K2919" i="1"/>
  <c r="Z2918" i="1"/>
  <c r="W2918" i="1"/>
  <c r="V2918" i="1"/>
  <c r="U2918" i="1"/>
  <c r="R2918" i="1"/>
  <c r="P2918" i="1"/>
  <c r="K2918" i="1"/>
  <c r="Z2917" i="1"/>
  <c r="W2917" i="1"/>
  <c r="V2917" i="1"/>
  <c r="U2917" i="1"/>
  <c r="R2917" i="1"/>
  <c r="P2917" i="1"/>
  <c r="K2917" i="1"/>
  <c r="Z2916" i="1"/>
  <c r="W2916" i="1"/>
  <c r="V2916" i="1"/>
  <c r="U2916" i="1"/>
  <c r="R2916" i="1"/>
  <c r="P2916" i="1"/>
  <c r="K2916" i="1"/>
  <c r="Z2915" i="1"/>
  <c r="W2915" i="1"/>
  <c r="V2915" i="1"/>
  <c r="U2915" i="1"/>
  <c r="R2915" i="1"/>
  <c r="P2915" i="1"/>
  <c r="K2915" i="1"/>
  <c r="Z2914" i="1"/>
  <c r="W2914" i="1"/>
  <c r="V2914" i="1"/>
  <c r="U2914" i="1"/>
  <c r="R2914" i="1"/>
  <c r="P2914" i="1"/>
  <c r="K2914" i="1"/>
  <c r="Z2913" i="1"/>
  <c r="W2913" i="1"/>
  <c r="V2913" i="1"/>
  <c r="U2913" i="1"/>
  <c r="R2913" i="1"/>
  <c r="P2913" i="1"/>
  <c r="K2913" i="1"/>
  <c r="Z2912" i="1"/>
  <c r="W2912" i="1"/>
  <c r="V2912" i="1"/>
  <c r="U2912" i="1"/>
  <c r="R2912" i="1"/>
  <c r="P2912" i="1"/>
  <c r="K2912" i="1"/>
  <c r="Z2911" i="1"/>
  <c r="W2911" i="1"/>
  <c r="V2911" i="1"/>
  <c r="U2911" i="1"/>
  <c r="R2911" i="1"/>
  <c r="P2911" i="1"/>
  <c r="K2911" i="1"/>
  <c r="Z2910" i="1"/>
  <c r="W2910" i="1"/>
  <c r="V2910" i="1"/>
  <c r="U2910" i="1"/>
  <c r="R2910" i="1"/>
  <c r="P2910" i="1"/>
  <c r="K2910" i="1"/>
  <c r="Z2909" i="1"/>
  <c r="W2909" i="1"/>
  <c r="V2909" i="1"/>
  <c r="U2909" i="1"/>
  <c r="R2909" i="1"/>
  <c r="P2909" i="1"/>
  <c r="K2909" i="1"/>
  <c r="Z2908" i="1"/>
  <c r="W2908" i="1"/>
  <c r="V2908" i="1"/>
  <c r="U2908" i="1"/>
  <c r="R2908" i="1"/>
  <c r="P2908" i="1"/>
  <c r="K2908" i="1"/>
  <c r="Z2907" i="1"/>
  <c r="W2907" i="1"/>
  <c r="V2907" i="1"/>
  <c r="U2907" i="1"/>
  <c r="R2907" i="1"/>
  <c r="P2907" i="1"/>
  <c r="K2907" i="1"/>
  <c r="Z2906" i="1"/>
  <c r="W2906" i="1"/>
  <c r="V2906" i="1"/>
  <c r="U2906" i="1"/>
  <c r="R2906" i="1"/>
  <c r="P2906" i="1"/>
  <c r="K2906" i="1"/>
  <c r="Z2905" i="1"/>
  <c r="W2905" i="1"/>
  <c r="V2905" i="1"/>
  <c r="U2905" i="1"/>
  <c r="R2905" i="1"/>
  <c r="P2905" i="1"/>
  <c r="K2905" i="1"/>
  <c r="Z2904" i="1"/>
  <c r="W2904" i="1"/>
  <c r="V2904" i="1"/>
  <c r="U2904" i="1"/>
  <c r="R2904" i="1"/>
  <c r="P2904" i="1"/>
  <c r="K2904" i="1"/>
  <c r="Z2903" i="1"/>
  <c r="W2903" i="1"/>
  <c r="V2903" i="1"/>
  <c r="U2903" i="1"/>
  <c r="R2903" i="1"/>
  <c r="P2903" i="1"/>
  <c r="K2903" i="1"/>
  <c r="Z2902" i="1"/>
  <c r="W2902" i="1"/>
  <c r="V2902" i="1"/>
  <c r="U2902" i="1"/>
  <c r="R2902" i="1"/>
  <c r="P2902" i="1"/>
  <c r="K2902" i="1"/>
  <c r="Z2901" i="1"/>
  <c r="W2901" i="1"/>
  <c r="V2901" i="1"/>
  <c r="U2901" i="1"/>
  <c r="R2901" i="1"/>
  <c r="P2901" i="1"/>
  <c r="K2901" i="1"/>
  <c r="Z2900" i="1"/>
  <c r="W2900" i="1"/>
  <c r="V2900" i="1"/>
  <c r="U2900" i="1"/>
  <c r="R2900" i="1"/>
  <c r="P2900" i="1"/>
  <c r="K2900" i="1"/>
  <c r="Z2899" i="1"/>
  <c r="W2899" i="1"/>
  <c r="V2899" i="1"/>
  <c r="U2899" i="1"/>
  <c r="R2899" i="1"/>
  <c r="P2899" i="1"/>
  <c r="K2899" i="1"/>
  <c r="Z2898" i="1"/>
  <c r="W2898" i="1"/>
  <c r="V2898" i="1"/>
  <c r="U2898" i="1"/>
  <c r="R2898" i="1"/>
  <c r="P2898" i="1"/>
  <c r="K2898" i="1"/>
  <c r="Z2897" i="1"/>
  <c r="W2897" i="1"/>
  <c r="V2897" i="1"/>
  <c r="U2897" i="1"/>
  <c r="R2897" i="1"/>
  <c r="P2897" i="1"/>
  <c r="K2897" i="1"/>
  <c r="Z2896" i="1"/>
  <c r="W2896" i="1"/>
  <c r="V2896" i="1"/>
  <c r="U2896" i="1"/>
  <c r="R2896" i="1"/>
  <c r="P2896" i="1"/>
  <c r="K2896" i="1"/>
  <c r="Z2895" i="1"/>
  <c r="W2895" i="1"/>
  <c r="V2895" i="1"/>
  <c r="U2895" i="1"/>
  <c r="R2895" i="1"/>
  <c r="P2895" i="1"/>
  <c r="K2895" i="1"/>
  <c r="Z2894" i="1"/>
  <c r="W2894" i="1"/>
  <c r="V2894" i="1"/>
  <c r="U2894" i="1"/>
  <c r="R2894" i="1"/>
  <c r="P2894" i="1"/>
  <c r="K2894" i="1"/>
  <c r="Z2893" i="1"/>
  <c r="W2893" i="1"/>
  <c r="V2893" i="1"/>
  <c r="U2893" i="1"/>
  <c r="R2893" i="1"/>
  <c r="P2893" i="1"/>
  <c r="K2893" i="1"/>
  <c r="Z2892" i="1"/>
  <c r="W2892" i="1"/>
  <c r="V2892" i="1"/>
  <c r="U2892" i="1"/>
  <c r="R2892" i="1"/>
  <c r="P2892" i="1"/>
  <c r="K2892" i="1"/>
  <c r="Z2891" i="1"/>
  <c r="W2891" i="1"/>
  <c r="V2891" i="1"/>
  <c r="U2891" i="1"/>
  <c r="R2891" i="1"/>
  <c r="P2891" i="1"/>
  <c r="K2891" i="1"/>
  <c r="Z2890" i="1"/>
  <c r="W2890" i="1"/>
  <c r="V2890" i="1"/>
  <c r="U2890" i="1"/>
  <c r="R2890" i="1"/>
  <c r="P2890" i="1"/>
  <c r="K2890" i="1"/>
  <c r="Z2889" i="1"/>
  <c r="W2889" i="1"/>
  <c r="V2889" i="1"/>
  <c r="U2889" i="1"/>
  <c r="R2889" i="1"/>
  <c r="P2889" i="1"/>
  <c r="K2889" i="1"/>
  <c r="Z2888" i="1"/>
  <c r="W2888" i="1"/>
  <c r="V2888" i="1"/>
  <c r="U2888" i="1"/>
  <c r="R2888" i="1"/>
  <c r="P2888" i="1"/>
  <c r="K2888" i="1"/>
  <c r="Z2887" i="1"/>
  <c r="W2887" i="1"/>
  <c r="V2887" i="1"/>
  <c r="U2887" i="1"/>
  <c r="R2887" i="1"/>
  <c r="P2887" i="1"/>
  <c r="K2887" i="1"/>
  <c r="Z2886" i="1"/>
  <c r="W2886" i="1"/>
  <c r="V2886" i="1"/>
  <c r="U2886" i="1"/>
  <c r="R2886" i="1"/>
  <c r="P2886" i="1"/>
  <c r="K2886" i="1"/>
  <c r="Z2885" i="1"/>
  <c r="W2885" i="1"/>
  <c r="V2885" i="1"/>
  <c r="U2885" i="1"/>
  <c r="R2885" i="1"/>
  <c r="P2885" i="1"/>
  <c r="K2885" i="1"/>
  <c r="Z2884" i="1"/>
  <c r="W2884" i="1"/>
  <c r="V2884" i="1"/>
  <c r="U2884" i="1"/>
  <c r="R2884" i="1"/>
  <c r="P2884" i="1"/>
  <c r="K2884" i="1"/>
  <c r="Z2883" i="1"/>
  <c r="W2883" i="1"/>
  <c r="V2883" i="1"/>
  <c r="U2883" i="1"/>
  <c r="R2883" i="1"/>
  <c r="P2883" i="1"/>
  <c r="K2883" i="1"/>
  <c r="Z2882" i="1"/>
  <c r="W2882" i="1"/>
  <c r="V2882" i="1"/>
  <c r="U2882" i="1"/>
  <c r="R2882" i="1"/>
  <c r="P2882" i="1"/>
  <c r="K2882" i="1"/>
  <c r="Z2881" i="1"/>
  <c r="W2881" i="1"/>
  <c r="V2881" i="1"/>
  <c r="U2881" i="1"/>
  <c r="R2881" i="1"/>
  <c r="P2881" i="1"/>
  <c r="K2881" i="1"/>
  <c r="Z2880" i="1"/>
  <c r="W2880" i="1"/>
  <c r="V2880" i="1"/>
  <c r="U2880" i="1"/>
  <c r="R2880" i="1"/>
  <c r="P2880" i="1"/>
  <c r="K2880" i="1"/>
  <c r="Z2879" i="1"/>
  <c r="W2879" i="1"/>
  <c r="V2879" i="1"/>
  <c r="U2879" i="1"/>
  <c r="R2879" i="1"/>
  <c r="P2879" i="1"/>
  <c r="K2879" i="1"/>
  <c r="Z2878" i="1"/>
  <c r="W2878" i="1"/>
  <c r="V2878" i="1"/>
  <c r="U2878" i="1"/>
  <c r="R2878" i="1"/>
  <c r="P2878" i="1"/>
  <c r="K2878" i="1"/>
  <c r="Z2877" i="1"/>
  <c r="W2877" i="1"/>
  <c r="V2877" i="1"/>
  <c r="U2877" i="1"/>
  <c r="R2877" i="1"/>
  <c r="P2877" i="1"/>
  <c r="K2877" i="1"/>
  <c r="Z2876" i="1"/>
  <c r="W2876" i="1"/>
  <c r="V2876" i="1"/>
  <c r="U2876" i="1"/>
  <c r="R2876" i="1"/>
  <c r="P2876" i="1"/>
  <c r="K2876" i="1"/>
  <c r="Z2875" i="1"/>
  <c r="W2875" i="1"/>
  <c r="V2875" i="1"/>
  <c r="U2875" i="1"/>
  <c r="R2875" i="1"/>
  <c r="P2875" i="1"/>
  <c r="K2875" i="1"/>
  <c r="Z2874" i="1"/>
  <c r="W2874" i="1"/>
  <c r="V2874" i="1"/>
  <c r="U2874" i="1"/>
  <c r="R2874" i="1"/>
  <c r="P2874" i="1"/>
  <c r="K2874" i="1"/>
  <c r="Z2873" i="1"/>
  <c r="W2873" i="1"/>
  <c r="V2873" i="1"/>
  <c r="U2873" i="1"/>
  <c r="R2873" i="1"/>
  <c r="P2873" i="1"/>
  <c r="K2873" i="1"/>
  <c r="Z2872" i="1"/>
  <c r="W2872" i="1"/>
  <c r="V2872" i="1"/>
  <c r="U2872" i="1"/>
  <c r="R2872" i="1"/>
  <c r="P2872" i="1"/>
  <c r="K2872" i="1"/>
  <c r="Z2871" i="1"/>
  <c r="W2871" i="1"/>
  <c r="V2871" i="1"/>
  <c r="U2871" i="1"/>
  <c r="R2871" i="1"/>
  <c r="P2871" i="1"/>
  <c r="K2871" i="1"/>
  <c r="Z2870" i="1"/>
  <c r="W2870" i="1"/>
  <c r="V2870" i="1"/>
  <c r="U2870" i="1"/>
  <c r="R2870" i="1"/>
  <c r="P2870" i="1"/>
  <c r="K2870" i="1"/>
  <c r="Z2869" i="1"/>
  <c r="W2869" i="1"/>
  <c r="V2869" i="1"/>
  <c r="U2869" i="1"/>
  <c r="R2869" i="1"/>
  <c r="P2869" i="1"/>
  <c r="K2869" i="1"/>
  <c r="Z2868" i="1"/>
  <c r="W2868" i="1"/>
  <c r="V2868" i="1"/>
  <c r="U2868" i="1"/>
  <c r="R2868" i="1"/>
  <c r="P2868" i="1"/>
  <c r="K2868" i="1"/>
  <c r="Z2867" i="1"/>
  <c r="W2867" i="1"/>
  <c r="V2867" i="1"/>
  <c r="U2867" i="1"/>
  <c r="R2867" i="1"/>
  <c r="P2867" i="1"/>
  <c r="K2867" i="1"/>
  <c r="Z2866" i="1"/>
  <c r="W2866" i="1"/>
  <c r="V2866" i="1"/>
  <c r="U2866" i="1"/>
  <c r="R2866" i="1"/>
  <c r="P2866" i="1"/>
  <c r="K2866" i="1"/>
  <c r="Z2865" i="1"/>
  <c r="W2865" i="1"/>
  <c r="V2865" i="1"/>
  <c r="U2865" i="1"/>
  <c r="R2865" i="1"/>
  <c r="P2865" i="1"/>
  <c r="K2865" i="1"/>
  <c r="Z2864" i="1"/>
  <c r="W2864" i="1"/>
  <c r="V2864" i="1"/>
  <c r="U2864" i="1"/>
  <c r="R2864" i="1"/>
  <c r="P2864" i="1"/>
  <c r="K2864" i="1"/>
  <c r="Z2863" i="1"/>
  <c r="W2863" i="1"/>
  <c r="V2863" i="1"/>
  <c r="U2863" i="1"/>
  <c r="R2863" i="1"/>
  <c r="P2863" i="1"/>
  <c r="K2863" i="1"/>
  <c r="Z2862" i="1"/>
  <c r="W2862" i="1"/>
  <c r="V2862" i="1"/>
  <c r="U2862" i="1"/>
  <c r="R2862" i="1"/>
  <c r="P2862" i="1"/>
  <c r="K2862" i="1"/>
  <c r="Z2861" i="1"/>
  <c r="W2861" i="1"/>
  <c r="V2861" i="1"/>
  <c r="U2861" i="1"/>
  <c r="R2861" i="1"/>
  <c r="P2861" i="1"/>
  <c r="K2861" i="1"/>
  <c r="Z2860" i="1"/>
  <c r="W2860" i="1"/>
  <c r="V2860" i="1"/>
  <c r="U2860" i="1"/>
  <c r="R2860" i="1"/>
  <c r="P2860" i="1"/>
  <c r="K2860" i="1"/>
  <c r="Z2859" i="1"/>
  <c r="W2859" i="1"/>
  <c r="V2859" i="1"/>
  <c r="U2859" i="1"/>
  <c r="R2859" i="1"/>
  <c r="P2859" i="1"/>
  <c r="K2859" i="1"/>
  <c r="Z2858" i="1"/>
  <c r="W2858" i="1"/>
  <c r="V2858" i="1"/>
  <c r="U2858" i="1"/>
  <c r="R2858" i="1"/>
  <c r="P2858" i="1"/>
  <c r="K2858" i="1"/>
  <c r="Z2857" i="1"/>
  <c r="W2857" i="1"/>
  <c r="V2857" i="1"/>
  <c r="U2857" i="1"/>
  <c r="R2857" i="1"/>
  <c r="P2857" i="1"/>
  <c r="K2857" i="1"/>
  <c r="Z2856" i="1"/>
  <c r="W2856" i="1"/>
  <c r="V2856" i="1"/>
  <c r="U2856" i="1"/>
  <c r="R2856" i="1"/>
  <c r="P2856" i="1"/>
  <c r="K2856" i="1"/>
  <c r="Z2855" i="1"/>
  <c r="W2855" i="1"/>
  <c r="V2855" i="1"/>
  <c r="U2855" i="1"/>
  <c r="R2855" i="1"/>
  <c r="P2855" i="1"/>
  <c r="K2855" i="1"/>
  <c r="Z2854" i="1"/>
  <c r="W2854" i="1"/>
  <c r="V2854" i="1"/>
  <c r="U2854" i="1"/>
  <c r="R2854" i="1"/>
  <c r="P2854" i="1"/>
  <c r="K2854" i="1"/>
  <c r="Z2853" i="1"/>
  <c r="W2853" i="1"/>
  <c r="V2853" i="1"/>
  <c r="U2853" i="1"/>
  <c r="R2853" i="1"/>
  <c r="P2853" i="1"/>
  <c r="K2853" i="1"/>
  <c r="Z2852" i="1"/>
  <c r="W2852" i="1"/>
  <c r="V2852" i="1"/>
  <c r="U2852" i="1"/>
  <c r="R2852" i="1"/>
  <c r="P2852" i="1"/>
  <c r="K2852" i="1"/>
  <c r="Z2851" i="1"/>
  <c r="W2851" i="1"/>
  <c r="V2851" i="1"/>
  <c r="U2851" i="1"/>
  <c r="R2851" i="1"/>
  <c r="P2851" i="1"/>
  <c r="K2851" i="1"/>
  <c r="Z2850" i="1"/>
  <c r="W2850" i="1"/>
  <c r="V2850" i="1"/>
  <c r="U2850" i="1"/>
  <c r="R2850" i="1"/>
  <c r="P2850" i="1"/>
  <c r="K2850" i="1"/>
  <c r="Z2849" i="1"/>
  <c r="W2849" i="1"/>
  <c r="V2849" i="1"/>
  <c r="U2849" i="1"/>
  <c r="R2849" i="1"/>
  <c r="P2849" i="1"/>
  <c r="K2849" i="1"/>
  <c r="Z2848" i="1"/>
  <c r="W2848" i="1"/>
  <c r="V2848" i="1"/>
  <c r="U2848" i="1"/>
  <c r="R2848" i="1"/>
  <c r="P2848" i="1"/>
  <c r="K2848" i="1"/>
  <c r="Z2847" i="1"/>
  <c r="W2847" i="1"/>
  <c r="V2847" i="1"/>
  <c r="U2847" i="1"/>
  <c r="R2847" i="1"/>
  <c r="P2847" i="1"/>
  <c r="K2847" i="1"/>
  <c r="Z2846" i="1"/>
  <c r="W2846" i="1"/>
  <c r="V2846" i="1"/>
  <c r="U2846" i="1"/>
  <c r="R2846" i="1"/>
  <c r="P2846" i="1"/>
  <c r="K2846" i="1"/>
  <c r="Z2845" i="1"/>
  <c r="W2845" i="1"/>
  <c r="V2845" i="1"/>
  <c r="U2845" i="1"/>
  <c r="R2845" i="1"/>
  <c r="P2845" i="1"/>
  <c r="K2845" i="1"/>
  <c r="Z2844" i="1"/>
  <c r="W2844" i="1"/>
  <c r="V2844" i="1"/>
  <c r="U2844" i="1"/>
  <c r="R2844" i="1"/>
  <c r="P2844" i="1"/>
  <c r="K2844" i="1"/>
  <c r="Z2843" i="1"/>
  <c r="W2843" i="1"/>
  <c r="V2843" i="1"/>
  <c r="U2843" i="1"/>
  <c r="R2843" i="1"/>
  <c r="P2843" i="1"/>
  <c r="K2843" i="1"/>
  <c r="Z2842" i="1"/>
  <c r="W2842" i="1"/>
  <c r="V2842" i="1"/>
  <c r="U2842" i="1"/>
  <c r="R2842" i="1"/>
  <c r="P2842" i="1"/>
  <c r="K2842" i="1"/>
  <c r="Z2841" i="1"/>
  <c r="W2841" i="1"/>
  <c r="V2841" i="1"/>
  <c r="U2841" i="1"/>
  <c r="R2841" i="1"/>
  <c r="P2841" i="1"/>
  <c r="K2841" i="1"/>
  <c r="Z2840" i="1"/>
  <c r="W2840" i="1"/>
  <c r="V2840" i="1"/>
  <c r="U2840" i="1"/>
  <c r="R2840" i="1"/>
  <c r="P2840" i="1"/>
  <c r="K2840" i="1"/>
  <c r="Z2839" i="1"/>
  <c r="W2839" i="1"/>
  <c r="V2839" i="1"/>
  <c r="U2839" i="1"/>
  <c r="R2839" i="1"/>
  <c r="P2839" i="1"/>
  <c r="K2839" i="1"/>
  <c r="Z2838" i="1"/>
  <c r="W2838" i="1"/>
  <c r="V2838" i="1"/>
  <c r="U2838" i="1"/>
  <c r="R2838" i="1"/>
  <c r="P2838" i="1"/>
  <c r="K2838" i="1"/>
  <c r="Z2837" i="1"/>
  <c r="W2837" i="1"/>
  <c r="V2837" i="1"/>
  <c r="U2837" i="1"/>
  <c r="R2837" i="1"/>
  <c r="P2837" i="1"/>
  <c r="K2837" i="1"/>
  <c r="Z2836" i="1"/>
  <c r="W2836" i="1"/>
  <c r="V2836" i="1"/>
  <c r="U2836" i="1"/>
  <c r="R2836" i="1"/>
  <c r="P2836" i="1"/>
  <c r="K2836" i="1"/>
  <c r="Z2835" i="1"/>
  <c r="W2835" i="1"/>
  <c r="V2835" i="1"/>
  <c r="U2835" i="1"/>
  <c r="R2835" i="1"/>
  <c r="P2835" i="1"/>
  <c r="K2835" i="1"/>
  <c r="Z2834" i="1"/>
  <c r="W2834" i="1"/>
  <c r="V2834" i="1"/>
  <c r="U2834" i="1"/>
  <c r="R2834" i="1"/>
  <c r="P2834" i="1"/>
  <c r="K2834" i="1"/>
  <c r="Z2833" i="1"/>
  <c r="W2833" i="1"/>
  <c r="V2833" i="1"/>
  <c r="U2833" i="1"/>
  <c r="R2833" i="1"/>
  <c r="P2833" i="1"/>
  <c r="K2833" i="1"/>
  <c r="Z2832" i="1"/>
  <c r="W2832" i="1"/>
  <c r="V2832" i="1"/>
  <c r="U2832" i="1"/>
  <c r="R2832" i="1"/>
  <c r="P2832" i="1"/>
  <c r="K2832" i="1"/>
  <c r="Z2831" i="1"/>
  <c r="W2831" i="1"/>
  <c r="V2831" i="1"/>
  <c r="U2831" i="1"/>
  <c r="R2831" i="1"/>
  <c r="P2831" i="1"/>
  <c r="K2831" i="1"/>
  <c r="Z2830" i="1"/>
  <c r="W2830" i="1"/>
  <c r="V2830" i="1"/>
  <c r="U2830" i="1"/>
  <c r="R2830" i="1"/>
  <c r="P2830" i="1"/>
  <c r="K2830" i="1"/>
  <c r="Z2829" i="1"/>
  <c r="W2829" i="1"/>
  <c r="V2829" i="1"/>
  <c r="U2829" i="1"/>
  <c r="R2829" i="1"/>
  <c r="P2829" i="1"/>
  <c r="K2829" i="1"/>
  <c r="Z2828" i="1"/>
  <c r="W2828" i="1"/>
  <c r="V2828" i="1"/>
  <c r="U2828" i="1"/>
  <c r="R2828" i="1"/>
  <c r="P2828" i="1"/>
  <c r="K2828" i="1"/>
  <c r="Z2827" i="1"/>
  <c r="W2827" i="1"/>
  <c r="V2827" i="1"/>
  <c r="U2827" i="1"/>
  <c r="R2827" i="1"/>
  <c r="P2827" i="1"/>
  <c r="K2827" i="1"/>
  <c r="Z2826" i="1"/>
  <c r="W2826" i="1"/>
  <c r="V2826" i="1"/>
  <c r="U2826" i="1"/>
  <c r="R2826" i="1"/>
  <c r="P2826" i="1"/>
  <c r="K2826" i="1"/>
  <c r="Z2825" i="1"/>
  <c r="W2825" i="1"/>
  <c r="V2825" i="1"/>
  <c r="U2825" i="1"/>
  <c r="R2825" i="1"/>
  <c r="P2825" i="1"/>
  <c r="K2825" i="1"/>
  <c r="Z2824" i="1"/>
  <c r="W2824" i="1"/>
  <c r="V2824" i="1"/>
  <c r="U2824" i="1"/>
  <c r="R2824" i="1"/>
  <c r="P2824" i="1"/>
  <c r="K2824" i="1"/>
  <c r="Z2823" i="1"/>
  <c r="W2823" i="1"/>
  <c r="V2823" i="1"/>
  <c r="U2823" i="1"/>
  <c r="R2823" i="1"/>
  <c r="P2823" i="1"/>
  <c r="K2823" i="1"/>
  <c r="Z2822" i="1"/>
  <c r="W2822" i="1"/>
  <c r="V2822" i="1"/>
  <c r="U2822" i="1"/>
  <c r="R2822" i="1"/>
  <c r="P2822" i="1"/>
  <c r="K2822" i="1"/>
  <c r="Z2821" i="1"/>
  <c r="W2821" i="1"/>
  <c r="V2821" i="1"/>
  <c r="U2821" i="1"/>
  <c r="R2821" i="1"/>
  <c r="P2821" i="1"/>
  <c r="K2821" i="1"/>
  <c r="Z2820" i="1"/>
  <c r="W2820" i="1"/>
  <c r="V2820" i="1"/>
  <c r="U2820" i="1"/>
  <c r="R2820" i="1"/>
  <c r="P2820" i="1"/>
  <c r="K2820" i="1"/>
  <c r="Z2819" i="1"/>
  <c r="W2819" i="1"/>
  <c r="V2819" i="1"/>
  <c r="U2819" i="1"/>
  <c r="R2819" i="1"/>
  <c r="P2819" i="1"/>
  <c r="K2819" i="1"/>
  <c r="Z2818" i="1"/>
  <c r="W2818" i="1"/>
  <c r="V2818" i="1"/>
  <c r="U2818" i="1"/>
  <c r="R2818" i="1"/>
  <c r="P2818" i="1"/>
  <c r="K2818" i="1"/>
  <c r="Z2817" i="1"/>
  <c r="W2817" i="1"/>
  <c r="V2817" i="1"/>
  <c r="U2817" i="1"/>
  <c r="R2817" i="1"/>
  <c r="P2817" i="1"/>
  <c r="K2817" i="1"/>
  <c r="Z2816" i="1"/>
  <c r="W2816" i="1"/>
  <c r="V2816" i="1"/>
  <c r="U2816" i="1"/>
  <c r="R2816" i="1"/>
  <c r="P2816" i="1"/>
  <c r="K2816" i="1"/>
  <c r="Z2815" i="1"/>
  <c r="W2815" i="1"/>
  <c r="V2815" i="1"/>
  <c r="U2815" i="1"/>
  <c r="R2815" i="1"/>
  <c r="P2815" i="1"/>
  <c r="K2815" i="1"/>
  <c r="Z2814" i="1"/>
  <c r="W2814" i="1"/>
  <c r="V2814" i="1"/>
  <c r="U2814" i="1"/>
  <c r="R2814" i="1"/>
  <c r="P2814" i="1"/>
  <c r="K2814" i="1"/>
  <c r="Z2813" i="1"/>
  <c r="W2813" i="1"/>
  <c r="V2813" i="1"/>
  <c r="U2813" i="1"/>
  <c r="R2813" i="1"/>
  <c r="P2813" i="1"/>
  <c r="K2813" i="1"/>
  <c r="Z2812" i="1"/>
  <c r="W2812" i="1"/>
  <c r="V2812" i="1"/>
  <c r="U2812" i="1"/>
  <c r="R2812" i="1"/>
  <c r="P2812" i="1"/>
  <c r="K2812" i="1"/>
  <c r="Z2811" i="1"/>
  <c r="W2811" i="1"/>
  <c r="V2811" i="1"/>
  <c r="U2811" i="1"/>
  <c r="R2811" i="1"/>
  <c r="P2811" i="1"/>
  <c r="K2811" i="1"/>
  <c r="Z2810" i="1"/>
  <c r="W2810" i="1"/>
  <c r="V2810" i="1"/>
  <c r="U2810" i="1"/>
  <c r="R2810" i="1"/>
  <c r="P2810" i="1"/>
  <c r="K2810" i="1"/>
  <c r="Z2809" i="1"/>
  <c r="W2809" i="1"/>
  <c r="V2809" i="1"/>
  <c r="U2809" i="1"/>
  <c r="R2809" i="1"/>
  <c r="P2809" i="1"/>
  <c r="K2809" i="1"/>
  <c r="Z2808" i="1"/>
  <c r="W2808" i="1"/>
  <c r="V2808" i="1"/>
  <c r="U2808" i="1"/>
  <c r="R2808" i="1"/>
  <c r="P2808" i="1"/>
  <c r="K2808" i="1"/>
  <c r="Z2807" i="1"/>
  <c r="W2807" i="1"/>
  <c r="V2807" i="1"/>
  <c r="U2807" i="1"/>
  <c r="R2807" i="1"/>
  <c r="P2807" i="1"/>
  <c r="K2807" i="1"/>
  <c r="Z2806" i="1"/>
  <c r="W2806" i="1"/>
  <c r="V2806" i="1"/>
  <c r="U2806" i="1"/>
  <c r="R2806" i="1"/>
  <c r="P2806" i="1"/>
  <c r="K2806" i="1"/>
  <c r="Z2805" i="1"/>
  <c r="W2805" i="1"/>
  <c r="V2805" i="1"/>
  <c r="U2805" i="1"/>
  <c r="R2805" i="1"/>
  <c r="P2805" i="1"/>
  <c r="K2805" i="1"/>
  <c r="Z2804" i="1"/>
  <c r="W2804" i="1"/>
  <c r="V2804" i="1"/>
  <c r="U2804" i="1"/>
  <c r="R2804" i="1"/>
  <c r="P2804" i="1"/>
  <c r="K2804" i="1"/>
  <c r="Z2803" i="1"/>
  <c r="W2803" i="1"/>
  <c r="V2803" i="1"/>
  <c r="U2803" i="1"/>
  <c r="R2803" i="1"/>
  <c r="P2803" i="1"/>
  <c r="K2803" i="1"/>
  <c r="Z2802" i="1"/>
  <c r="W2802" i="1"/>
  <c r="V2802" i="1"/>
  <c r="U2802" i="1"/>
  <c r="R2802" i="1"/>
  <c r="P2802" i="1"/>
  <c r="K2802" i="1"/>
  <c r="Z2801" i="1"/>
  <c r="W2801" i="1"/>
  <c r="V2801" i="1"/>
  <c r="U2801" i="1"/>
  <c r="R2801" i="1"/>
  <c r="P2801" i="1"/>
  <c r="K2801" i="1"/>
  <c r="Z2800" i="1"/>
  <c r="W2800" i="1"/>
  <c r="V2800" i="1"/>
  <c r="U2800" i="1"/>
  <c r="R2800" i="1"/>
  <c r="P2800" i="1"/>
  <c r="K2800" i="1"/>
  <c r="Z2799" i="1"/>
  <c r="W2799" i="1"/>
  <c r="V2799" i="1"/>
  <c r="U2799" i="1"/>
  <c r="R2799" i="1"/>
  <c r="P2799" i="1"/>
  <c r="K2799" i="1"/>
  <c r="Z2798" i="1"/>
  <c r="W2798" i="1"/>
  <c r="V2798" i="1"/>
  <c r="U2798" i="1"/>
  <c r="R2798" i="1"/>
  <c r="P2798" i="1"/>
  <c r="K2798" i="1"/>
  <c r="Z2797" i="1"/>
  <c r="W2797" i="1"/>
  <c r="V2797" i="1"/>
  <c r="U2797" i="1"/>
  <c r="R2797" i="1"/>
  <c r="P2797" i="1"/>
  <c r="K2797" i="1"/>
  <c r="Z2796" i="1"/>
  <c r="W2796" i="1"/>
  <c r="V2796" i="1"/>
  <c r="U2796" i="1"/>
  <c r="R2796" i="1"/>
  <c r="P2796" i="1"/>
  <c r="K2796" i="1"/>
  <c r="Z2795" i="1"/>
  <c r="W2795" i="1"/>
  <c r="V2795" i="1"/>
  <c r="U2795" i="1"/>
  <c r="R2795" i="1"/>
  <c r="P2795" i="1"/>
  <c r="K2795" i="1"/>
  <c r="Z2794" i="1"/>
  <c r="W2794" i="1"/>
  <c r="V2794" i="1"/>
  <c r="U2794" i="1"/>
  <c r="R2794" i="1"/>
  <c r="P2794" i="1"/>
  <c r="K2794" i="1"/>
  <c r="Z2793" i="1"/>
  <c r="W2793" i="1"/>
  <c r="V2793" i="1"/>
  <c r="U2793" i="1"/>
  <c r="R2793" i="1"/>
  <c r="P2793" i="1"/>
  <c r="K2793" i="1"/>
  <c r="Z2792" i="1"/>
  <c r="W2792" i="1"/>
  <c r="V2792" i="1"/>
  <c r="U2792" i="1"/>
  <c r="R2792" i="1"/>
  <c r="P2792" i="1"/>
  <c r="K2792" i="1"/>
  <c r="Z2791" i="1"/>
  <c r="W2791" i="1"/>
  <c r="V2791" i="1"/>
  <c r="U2791" i="1"/>
  <c r="R2791" i="1"/>
  <c r="P2791" i="1"/>
  <c r="K2791" i="1"/>
  <c r="Z2790" i="1"/>
  <c r="W2790" i="1"/>
  <c r="V2790" i="1"/>
  <c r="U2790" i="1"/>
  <c r="R2790" i="1"/>
  <c r="P2790" i="1"/>
  <c r="K2790" i="1"/>
  <c r="Z2789" i="1"/>
  <c r="W2789" i="1"/>
  <c r="V2789" i="1"/>
  <c r="U2789" i="1"/>
  <c r="R2789" i="1"/>
  <c r="P2789" i="1"/>
  <c r="K2789" i="1"/>
  <c r="Z2788" i="1"/>
  <c r="W2788" i="1"/>
  <c r="V2788" i="1"/>
  <c r="U2788" i="1"/>
  <c r="R2788" i="1"/>
  <c r="P2788" i="1"/>
  <c r="K2788" i="1"/>
  <c r="Z2787" i="1"/>
  <c r="W2787" i="1"/>
  <c r="V2787" i="1"/>
  <c r="U2787" i="1"/>
  <c r="R2787" i="1"/>
  <c r="P2787" i="1"/>
  <c r="K2787" i="1"/>
  <c r="Z2786" i="1"/>
  <c r="W2786" i="1"/>
  <c r="V2786" i="1"/>
  <c r="U2786" i="1"/>
  <c r="R2786" i="1"/>
  <c r="P2786" i="1"/>
  <c r="K2786" i="1"/>
  <c r="Z2785" i="1"/>
  <c r="W2785" i="1"/>
  <c r="V2785" i="1"/>
  <c r="U2785" i="1"/>
  <c r="R2785" i="1"/>
  <c r="P2785" i="1"/>
  <c r="K2785" i="1"/>
  <c r="Z2784" i="1"/>
  <c r="W2784" i="1"/>
  <c r="V2784" i="1"/>
  <c r="U2784" i="1"/>
  <c r="R2784" i="1"/>
  <c r="P2784" i="1"/>
  <c r="K2784" i="1"/>
  <c r="Z2783" i="1"/>
  <c r="W2783" i="1"/>
  <c r="V2783" i="1"/>
  <c r="U2783" i="1"/>
  <c r="R2783" i="1"/>
  <c r="P2783" i="1"/>
  <c r="K2783" i="1"/>
  <c r="Z2782" i="1"/>
  <c r="W2782" i="1"/>
  <c r="V2782" i="1"/>
  <c r="U2782" i="1"/>
  <c r="R2782" i="1"/>
  <c r="P2782" i="1"/>
  <c r="K2782" i="1"/>
  <c r="Z2781" i="1"/>
  <c r="W2781" i="1"/>
  <c r="V2781" i="1"/>
  <c r="U2781" i="1"/>
  <c r="R2781" i="1"/>
  <c r="P2781" i="1"/>
  <c r="K2781" i="1"/>
  <c r="Z2780" i="1"/>
  <c r="W2780" i="1"/>
  <c r="V2780" i="1"/>
  <c r="U2780" i="1"/>
  <c r="R2780" i="1"/>
  <c r="P2780" i="1"/>
  <c r="K2780" i="1"/>
  <c r="Z2779" i="1"/>
  <c r="W2779" i="1"/>
  <c r="V2779" i="1"/>
  <c r="U2779" i="1"/>
  <c r="R2779" i="1"/>
  <c r="P2779" i="1"/>
  <c r="K2779" i="1"/>
  <c r="Z2778" i="1"/>
  <c r="W2778" i="1"/>
  <c r="V2778" i="1"/>
  <c r="U2778" i="1"/>
  <c r="R2778" i="1"/>
  <c r="P2778" i="1"/>
  <c r="K2778" i="1"/>
  <c r="Z2777" i="1"/>
  <c r="W2777" i="1"/>
  <c r="V2777" i="1"/>
  <c r="U2777" i="1"/>
  <c r="R2777" i="1"/>
  <c r="P2777" i="1"/>
  <c r="K2777" i="1"/>
  <c r="Z2776" i="1"/>
  <c r="W2776" i="1"/>
  <c r="V2776" i="1"/>
  <c r="U2776" i="1"/>
  <c r="R2776" i="1"/>
  <c r="P2776" i="1"/>
  <c r="K2776" i="1"/>
  <c r="Z2775" i="1"/>
  <c r="W2775" i="1"/>
  <c r="V2775" i="1"/>
  <c r="U2775" i="1"/>
  <c r="R2775" i="1"/>
  <c r="P2775" i="1"/>
  <c r="K2775" i="1"/>
  <c r="Z2774" i="1"/>
  <c r="W2774" i="1"/>
  <c r="V2774" i="1"/>
  <c r="U2774" i="1"/>
  <c r="R2774" i="1"/>
  <c r="P2774" i="1"/>
  <c r="K2774" i="1"/>
  <c r="Z2773" i="1"/>
  <c r="W2773" i="1"/>
  <c r="V2773" i="1"/>
  <c r="U2773" i="1"/>
  <c r="R2773" i="1"/>
  <c r="P2773" i="1"/>
  <c r="K2773" i="1"/>
  <c r="Z2772" i="1"/>
  <c r="W2772" i="1"/>
  <c r="V2772" i="1"/>
  <c r="U2772" i="1"/>
  <c r="R2772" i="1"/>
  <c r="P2772" i="1"/>
  <c r="K2772" i="1"/>
  <c r="Z2771" i="1"/>
  <c r="W2771" i="1"/>
  <c r="V2771" i="1"/>
  <c r="U2771" i="1"/>
  <c r="R2771" i="1"/>
  <c r="P2771" i="1"/>
  <c r="K2771" i="1"/>
  <c r="Z2770" i="1"/>
  <c r="W2770" i="1"/>
  <c r="V2770" i="1"/>
  <c r="U2770" i="1"/>
  <c r="R2770" i="1"/>
  <c r="P2770" i="1"/>
  <c r="K2770" i="1"/>
  <c r="Z2769" i="1"/>
  <c r="W2769" i="1"/>
  <c r="V2769" i="1"/>
  <c r="U2769" i="1"/>
  <c r="R2769" i="1"/>
  <c r="P2769" i="1"/>
  <c r="K2769" i="1"/>
  <c r="Z2768" i="1"/>
  <c r="W2768" i="1"/>
  <c r="V2768" i="1"/>
  <c r="U2768" i="1"/>
  <c r="R2768" i="1"/>
  <c r="P2768" i="1"/>
  <c r="K2768" i="1"/>
  <c r="Z2767" i="1"/>
  <c r="W2767" i="1"/>
  <c r="V2767" i="1"/>
  <c r="U2767" i="1"/>
  <c r="R2767" i="1"/>
  <c r="P2767" i="1"/>
  <c r="K2767" i="1"/>
  <c r="Z2766" i="1"/>
  <c r="W2766" i="1"/>
  <c r="V2766" i="1"/>
  <c r="U2766" i="1"/>
  <c r="R2766" i="1"/>
  <c r="P2766" i="1"/>
  <c r="K2766" i="1"/>
  <c r="Z2765" i="1"/>
  <c r="W2765" i="1"/>
  <c r="V2765" i="1"/>
  <c r="U2765" i="1"/>
  <c r="R2765" i="1"/>
  <c r="P2765" i="1"/>
  <c r="K2765" i="1"/>
  <c r="Z2764" i="1"/>
  <c r="W2764" i="1"/>
  <c r="V2764" i="1"/>
  <c r="U2764" i="1"/>
  <c r="R2764" i="1"/>
  <c r="P2764" i="1"/>
  <c r="K2764" i="1"/>
  <c r="Z2763" i="1"/>
  <c r="W2763" i="1"/>
  <c r="V2763" i="1"/>
  <c r="U2763" i="1"/>
  <c r="R2763" i="1"/>
  <c r="P2763" i="1"/>
  <c r="K2763" i="1"/>
  <c r="Z2762" i="1"/>
  <c r="W2762" i="1"/>
  <c r="V2762" i="1"/>
  <c r="U2762" i="1"/>
  <c r="R2762" i="1"/>
  <c r="P2762" i="1"/>
  <c r="K2762" i="1"/>
  <c r="Z2761" i="1"/>
  <c r="W2761" i="1"/>
  <c r="V2761" i="1"/>
  <c r="U2761" i="1"/>
  <c r="R2761" i="1"/>
  <c r="P2761" i="1"/>
  <c r="K2761" i="1"/>
  <c r="Z2760" i="1"/>
  <c r="W2760" i="1"/>
  <c r="V2760" i="1"/>
  <c r="U2760" i="1"/>
  <c r="R2760" i="1"/>
  <c r="P2760" i="1"/>
  <c r="K2760" i="1"/>
  <c r="Z2759" i="1"/>
  <c r="W2759" i="1"/>
  <c r="V2759" i="1"/>
  <c r="U2759" i="1"/>
  <c r="R2759" i="1"/>
  <c r="P2759" i="1"/>
  <c r="K2759" i="1"/>
  <c r="Z2758" i="1"/>
  <c r="W2758" i="1"/>
  <c r="V2758" i="1"/>
  <c r="U2758" i="1"/>
  <c r="R2758" i="1"/>
  <c r="P2758" i="1"/>
  <c r="K2758" i="1"/>
  <c r="Z2757" i="1"/>
  <c r="W2757" i="1"/>
  <c r="V2757" i="1"/>
  <c r="U2757" i="1"/>
  <c r="R2757" i="1"/>
  <c r="P2757" i="1"/>
  <c r="K2757" i="1"/>
  <c r="Z2756" i="1"/>
  <c r="W2756" i="1"/>
  <c r="V2756" i="1"/>
  <c r="U2756" i="1"/>
  <c r="R2756" i="1"/>
  <c r="P2756" i="1"/>
  <c r="K2756" i="1"/>
  <c r="Z2755" i="1"/>
  <c r="W2755" i="1"/>
  <c r="V2755" i="1"/>
  <c r="U2755" i="1"/>
  <c r="R2755" i="1"/>
  <c r="P2755" i="1"/>
  <c r="K2755" i="1"/>
  <c r="Z2754" i="1"/>
  <c r="W2754" i="1"/>
  <c r="V2754" i="1"/>
  <c r="U2754" i="1"/>
  <c r="R2754" i="1"/>
  <c r="P2754" i="1"/>
  <c r="K2754" i="1"/>
  <c r="Z2753" i="1"/>
  <c r="W2753" i="1"/>
  <c r="V2753" i="1"/>
  <c r="U2753" i="1"/>
  <c r="R2753" i="1"/>
  <c r="P2753" i="1"/>
  <c r="K2753" i="1"/>
  <c r="Z2752" i="1"/>
  <c r="W2752" i="1"/>
  <c r="V2752" i="1"/>
  <c r="U2752" i="1"/>
  <c r="R2752" i="1"/>
  <c r="P2752" i="1"/>
  <c r="K2752" i="1"/>
  <c r="Z2751" i="1"/>
  <c r="W2751" i="1"/>
  <c r="V2751" i="1"/>
  <c r="U2751" i="1"/>
  <c r="R2751" i="1"/>
  <c r="P2751" i="1"/>
  <c r="K2751" i="1"/>
  <c r="Z2750" i="1"/>
  <c r="W2750" i="1"/>
  <c r="V2750" i="1"/>
  <c r="U2750" i="1"/>
  <c r="R2750" i="1"/>
  <c r="P2750" i="1"/>
  <c r="K2750" i="1"/>
  <c r="Z2749" i="1"/>
  <c r="W2749" i="1"/>
  <c r="V2749" i="1"/>
  <c r="U2749" i="1"/>
  <c r="R2749" i="1"/>
  <c r="P2749" i="1"/>
  <c r="K2749" i="1"/>
  <c r="Z2748" i="1"/>
  <c r="W2748" i="1"/>
  <c r="V2748" i="1"/>
  <c r="U2748" i="1"/>
  <c r="R2748" i="1"/>
  <c r="P2748" i="1"/>
  <c r="K2748" i="1"/>
  <c r="Z2747" i="1"/>
  <c r="W2747" i="1"/>
  <c r="V2747" i="1"/>
  <c r="U2747" i="1"/>
  <c r="R2747" i="1"/>
  <c r="P2747" i="1"/>
  <c r="K2747" i="1"/>
  <c r="Z2746" i="1"/>
  <c r="W2746" i="1"/>
  <c r="V2746" i="1"/>
  <c r="U2746" i="1"/>
  <c r="R2746" i="1"/>
  <c r="P2746" i="1"/>
  <c r="K2746" i="1"/>
  <c r="Z2745" i="1"/>
  <c r="W2745" i="1"/>
  <c r="V2745" i="1"/>
  <c r="U2745" i="1"/>
  <c r="R2745" i="1"/>
  <c r="P2745" i="1"/>
  <c r="K2745" i="1"/>
  <c r="Z2744" i="1"/>
  <c r="W2744" i="1"/>
  <c r="V2744" i="1"/>
  <c r="U2744" i="1"/>
  <c r="R2744" i="1"/>
  <c r="P2744" i="1"/>
  <c r="K2744" i="1"/>
  <c r="Z2743" i="1"/>
  <c r="W2743" i="1"/>
  <c r="V2743" i="1"/>
  <c r="U2743" i="1"/>
  <c r="R2743" i="1"/>
  <c r="P2743" i="1"/>
  <c r="K2743" i="1"/>
  <c r="Z2742" i="1"/>
  <c r="W2742" i="1"/>
  <c r="V2742" i="1"/>
  <c r="U2742" i="1"/>
  <c r="R2742" i="1"/>
  <c r="P2742" i="1"/>
  <c r="K2742" i="1"/>
  <c r="Z2741" i="1"/>
  <c r="W2741" i="1"/>
  <c r="V2741" i="1"/>
  <c r="U2741" i="1"/>
  <c r="R2741" i="1"/>
  <c r="P2741" i="1"/>
  <c r="K2741" i="1"/>
  <c r="Z2740" i="1"/>
  <c r="W2740" i="1"/>
  <c r="V2740" i="1"/>
  <c r="U2740" i="1"/>
  <c r="R2740" i="1"/>
  <c r="P2740" i="1"/>
  <c r="K2740" i="1"/>
  <c r="Z2739" i="1"/>
  <c r="W2739" i="1"/>
  <c r="V2739" i="1"/>
  <c r="U2739" i="1"/>
  <c r="R2739" i="1"/>
  <c r="P2739" i="1"/>
  <c r="K2739" i="1"/>
  <c r="Z2738" i="1"/>
  <c r="W2738" i="1"/>
  <c r="V2738" i="1"/>
  <c r="U2738" i="1"/>
  <c r="R2738" i="1"/>
  <c r="P2738" i="1"/>
  <c r="K2738" i="1"/>
  <c r="Z2737" i="1"/>
  <c r="W2737" i="1"/>
  <c r="V2737" i="1"/>
  <c r="U2737" i="1"/>
  <c r="R2737" i="1"/>
  <c r="P2737" i="1"/>
  <c r="K2737" i="1"/>
  <c r="Z2736" i="1"/>
  <c r="W2736" i="1"/>
  <c r="V2736" i="1"/>
  <c r="U2736" i="1"/>
  <c r="R2736" i="1"/>
  <c r="P2736" i="1"/>
  <c r="K2736" i="1"/>
  <c r="Z2735" i="1"/>
  <c r="W2735" i="1"/>
  <c r="V2735" i="1"/>
  <c r="U2735" i="1"/>
  <c r="R2735" i="1"/>
  <c r="P2735" i="1"/>
  <c r="K2735" i="1"/>
  <c r="Z2734" i="1"/>
  <c r="W2734" i="1"/>
  <c r="V2734" i="1"/>
  <c r="U2734" i="1"/>
  <c r="R2734" i="1"/>
  <c r="P2734" i="1"/>
  <c r="K2734" i="1"/>
  <c r="Z2733" i="1"/>
  <c r="W2733" i="1"/>
  <c r="V2733" i="1"/>
  <c r="U2733" i="1"/>
  <c r="R2733" i="1"/>
  <c r="P2733" i="1"/>
  <c r="K2733" i="1"/>
  <c r="Z2732" i="1"/>
  <c r="W2732" i="1"/>
  <c r="V2732" i="1"/>
  <c r="U2732" i="1"/>
  <c r="R2732" i="1"/>
  <c r="P2732" i="1"/>
  <c r="K2732" i="1"/>
  <c r="Z2731" i="1"/>
  <c r="W2731" i="1"/>
  <c r="V2731" i="1"/>
  <c r="U2731" i="1"/>
  <c r="R2731" i="1"/>
  <c r="P2731" i="1"/>
  <c r="K2731" i="1"/>
  <c r="Z2730" i="1"/>
  <c r="W2730" i="1"/>
  <c r="V2730" i="1"/>
  <c r="U2730" i="1"/>
  <c r="R2730" i="1"/>
  <c r="P2730" i="1"/>
  <c r="K2730" i="1"/>
  <c r="Z2729" i="1"/>
  <c r="W2729" i="1"/>
  <c r="V2729" i="1"/>
  <c r="U2729" i="1"/>
  <c r="R2729" i="1"/>
  <c r="P2729" i="1"/>
  <c r="K2729" i="1"/>
  <c r="Z2728" i="1"/>
  <c r="W2728" i="1"/>
  <c r="V2728" i="1"/>
  <c r="U2728" i="1"/>
  <c r="R2728" i="1"/>
  <c r="P2728" i="1"/>
  <c r="K2728" i="1"/>
  <c r="Z2727" i="1"/>
  <c r="W2727" i="1"/>
  <c r="V2727" i="1"/>
  <c r="U2727" i="1"/>
  <c r="R2727" i="1"/>
  <c r="P2727" i="1"/>
  <c r="K2727" i="1"/>
  <c r="Z2726" i="1"/>
  <c r="W2726" i="1"/>
  <c r="V2726" i="1"/>
  <c r="U2726" i="1"/>
  <c r="R2726" i="1"/>
  <c r="P2726" i="1"/>
  <c r="K2726" i="1"/>
  <c r="Z2725" i="1"/>
  <c r="W2725" i="1"/>
  <c r="V2725" i="1"/>
  <c r="U2725" i="1"/>
  <c r="R2725" i="1"/>
  <c r="P2725" i="1"/>
  <c r="K2725" i="1"/>
  <c r="Z2724" i="1"/>
  <c r="W2724" i="1"/>
  <c r="V2724" i="1"/>
  <c r="U2724" i="1"/>
  <c r="R2724" i="1"/>
  <c r="P2724" i="1"/>
  <c r="K2724" i="1"/>
  <c r="Z2723" i="1"/>
  <c r="W2723" i="1"/>
  <c r="V2723" i="1"/>
  <c r="U2723" i="1"/>
  <c r="R2723" i="1"/>
  <c r="P2723" i="1"/>
  <c r="K2723" i="1"/>
  <c r="Z2722" i="1"/>
  <c r="W2722" i="1"/>
  <c r="V2722" i="1"/>
  <c r="U2722" i="1"/>
  <c r="R2722" i="1"/>
  <c r="P2722" i="1"/>
  <c r="K2722" i="1"/>
  <c r="Z2721" i="1"/>
  <c r="W2721" i="1"/>
  <c r="V2721" i="1"/>
  <c r="U2721" i="1"/>
  <c r="R2721" i="1"/>
  <c r="P2721" i="1"/>
  <c r="K2721" i="1"/>
  <c r="Z2720" i="1"/>
  <c r="W2720" i="1"/>
  <c r="V2720" i="1"/>
  <c r="U2720" i="1"/>
  <c r="R2720" i="1"/>
  <c r="P2720" i="1"/>
  <c r="K2720" i="1"/>
  <c r="Z2719" i="1"/>
  <c r="W2719" i="1"/>
  <c r="V2719" i="1"/>
  <c r="U2719" i="1"/>
  <c r="R2719" i="1"/>
  <c r="P2719" i="1"/>
  <c r="K2719" i="1"/>
  <c r="Z2718" i="1"/>
  <c r="W2718" i="1"/>
  <c r="V2718" i="1"/>
  <c r="U2718" i="1"/>
  <c r="R2718" i="1"/>
  <c r="P2718" i="1"/>
  <c r="K2718" i="1"/>
  <c r="Z2717" i="1"/>
  <c r="W2717" i="1"/>
  <c r="V2717" i="1"/>
  <c r="U2717" i="1"/>
  <c r="R2717" i="1"/>
  <c r="P2717" i="1"/>
  <c r="K2717" i="1"/>
  <c r="Z2716" i="1"/>
  <c r="W2716" i="1"/>
  <c r="V2716" i="1"/>
  <c r="U2716" i="1"/>
  <c r="R2716" i="1"/>
  <c r="P2716" i="1"/>
  <c r="K2716" i="1"/>
  <c r="Z2715" i="1"/>
  <c r="W2715" i="1"/>
  <c r="V2715" i="1"/>
  <c r="U2715" i="1"/>
  <c r="R2715" i="1"/>
  <c r="P2715" i="1"/>
  <c r="K2715" i="1"/>
  <c r="Z2714" i="1"/>
  <c r="W2714" i="1"/>
  <c r="V2714" i="1"/>
  <c r="U2714" i="1"/>
  <c r="R2714" i="1"/>
  <c r="P2714" i="1"/>
  <c r="K2714" i="1"/>
  <c r="Z2713" i="1"/>
  <c r="W2713" i="1"/>
  <c r="V2713" i="1"/>
  <c r="U2713" i="1"/>
  <c r="R2713" i="1"/>
  <c r="P2713" i="1"/>
  <c r="K2713" i="1"/>
  <c r="Z2712" i="1"/>
  <c r="W2712" i="1"/>
  <c r="V2712" i="1"/>
  <c r="U2712" i="1"/>
  <c r="R2712" i="1"/>
  <c r="P2712" i="1"/>
  <c r="K2712" i="1"/>
  <c r="Z2711" i="1"/>
  <c r="W2711" i="1"/>
  <c r="V2711" i="1"/>
  <c r="U2711" i="1"/>
  <c r="R2711" i="1"/>
  <c r="P2711" i="1"/>
  <c r="K2711" i="1"/>
  <c r="Z2710" i="1"/>
  <c r="W2710" i="1"/>
  <c r="V2710" i="1"/>
  <c r="U2710" i="1"/>
  <c r="R2710" i="1"/>
  <c r="P2710" i="1"/>
  <c r="K2710" i="1"/>
  <c r="Z2709" i="1"/>
  <c r="W2709" i="1"/>
  <c r="V2709" i="1"/>
  <c r="U2709" i="1"/>
  <c r="R2709" i="1"/>
  <c r="P2709" i="1"/>
  <c r="K2709" i="1"/>
  <c r="Z2708" i="1"/>
  <c r="W2708" i="1"/>
  <c r="V2708" i="1"/>
  <c r="U2708" i="1"/>
  <c r="R2708" i="1"/>
  <c r="P2708" i="1"/>
  <c r="K2708" i="1"/>
  <c r="Z2707" i="1"/>
  <c r="W2707" i="1"/>
  <c r="V2707" i="1"/>
  <c r="U2707" i="1"/>
  <c r="R2707" i="1"/>
  <c r="P2707" i="1"/>
  <c r="K2707" i="1"/>
  <c r="Z2706" i="1"/>
  <c r="W2706" i="1"/>
  <c r="V2706" i="1"/>
  <c r="U2706" i="1"/>
  <c r="R2706" i="1"/>
  <c r="P2706" i="1"/>
  <c r="K2706" i="1"/>
  <c r="Z2705" i="1"/>
  <c r="W2705" i="1"/>
  <c r="V2705" i="1"/>
  <c r="U2705" i="1"/>
  <c r="R2705" i="1"/>
  <c r="P2705" i="1"/>
  <c r="K2705" i="1"/>
  <c r="Z2704" i="1"/>
  <c r="W2704" i="1"/>
  <c r="V2704" i="1"/>
  <c r="U2704" i="1"/>
  <c r="R2704" i="1"/>
  <c r="P2704" i="1"/>
  <c r="K2704" i="1"/>
  <c r="Z2703" i="1"/>
  <c r="W2703" i="1"/>
  <c r="V2703" i="1"/>
  <c r="U2703" i="1"/>
  <c r="R2703" i="1"/>
  <c r="P2703" i="1"/>
  <c r="K2703" i="1"/>
  <c r="Z2702" i="1"/>
  <c r="W2702" i="1"/>
  <c r="V2702" i="1"/>
  <c r="U2702" i="1"/>
  <c r="R2702" i="1"/>
  <c r="P2702" i="1"/>
  <c r="K2702" i="1"/>
  <c r="Z2701" i="1"/>
  <c r="W2701" i="1"/>
  <c r="V2701" i="1"/>
  <c r="U2701" i="1"/>
  <c r="R2701" i="1"/>
  <c r="P2701" i="1"/>
  <c r="K2701" i="1"/>
  <c r="Z2700" i="1"/>
  <c r="W2700" i="1"/>
  <c r="V2700" i="1"/>
  <c r="U2700" i="1"/>
  <c r="R2700" i="1"/>
  <c r="P2700" i="1"/>
  <c r="K2700" i="1"/>
  <c r="Z2699" i="1"/>
  <c r="W2699" i="1"/>
  <c r="V2699" i="1"/>
  <c r="U2699" i="1"/>
  <c r="R2699" i="1"/>
  <c r="P2699" i="1"/>
  <c r="K2699" i="1"/>
  <c r="Z2698" i="1"/>
  <c r="W2698" i="1"/>
  <c r="V2698" i="1"/>
  <c r="U2698" i="1"/>
  <c r="R2698" i="1"/>
  <c r="P2698" i="1"/>
  <c r="K2698" i="1"/>
  <c r="Z2697" i="1"/>
  <c r="W2697" i="1"/>
  <c r="V2697" i="1"/>
  <c r="U2697" i="1"/>
  <c r="R2697" i="1"/>
  <c r="P2697" i="1"/>
  <c r="K2697" i="1"/>
  <c r="Z2696" i="1"/>
  <c r="W2696" i="1"/>
  <c r="V2696" i="1"/>
  <c r="U2696" i="1"/>
  <c r="R2696" i="1"/>
  <c r="P2696" i="1"/>
  <c r="K2696" i="1"/>
  <c r="Z2695" i="1"/>
  <c r="W2695" i="1"/>
  <c r="V2695" i="1"/>
  <c r="U2695" i="1"/>
  <c r="R2695" i="1"/>
  <c r="P2695" i="1"/>
  <c r="K2695" i="1"/>
  <c r="Z2694" i="1"/>
  <c r="W2694" i="1"/>
  <c r="V2694" i="1"/>
  <c r="U2694" i="1"/>
  <c r="R2694" i="1"/>
  <c r="P2694" i="1"/>
  <c r="K2694" i="1"/>
  <c r="Z2693" i="1"/>
  <c r="W2693" i="1"/>
  <c r="V2693" i="1"/>
  <c r="U2693" i="1"/>
  <c r="R2693" i="1"/>
  <c r="P2693" i="1"/>
  <c r="K2693" i="1"/>
  <c r="Z2692" i="1"/>
  <c r="W2692" i="1"/>
  <c r="V2692" i="1"/>
  <c r="U2692" i="1"/>
  <c r="R2692" i="1"/>
  <c r="P2692" i="1"/>
  <c r="K2692" i="1"/>
  <c r="Z2691" i="1"/>
  <c r="W2691" i="1"/>
  <c r="V2691" i="1"/>
  <c r="U2691" i="1"/>
  <c r="R2691" i="1"/>
  <c r="P2691" i="1"/>
  <c r="K2691" i="1"/>
  <c r="Z2690" i="1"/>
  <c r="W2690" i="1"/>
  <c r="V2690" i="1"/>
  <c r="U2690" i="1"/>
  <c r="R2690" i="1"/>
  <c r="P2690" i="1"/>
  <c r="K2690" i="1"/>
  <c r="Z2689" i="1"/>
  <c r="W2689" i="1"/>
  <c r="V2689" i="1"/>
  <c r="U2689" i="1"/>
  <c r="R2689" i="1"/>
  <c r="P2689" i="1"/>
  <c r="K2689" i="1"/>
  <c r="Z2688" i="1"/>
  <c r="W2688" i="1"/>
  <c r="V2688" i="1"/>
  <c r="U2688" i="1"/>
  <c r="R2688" i="1"/>
  <c r="P2688" i="1"/>
  <c r="K2688" i="1"/>
  <c r="Z2687" i="1"/>
  <c r="W2687" i="1"/>
  <c r="V2687" i="1"/>
  <c r="U2687" i="1"/>
  <c r="R2687" i="1"/>
  <c r="P2687" i="1"/>
  <c r="K2687" i="1"/>
  <c r="Z2686" i="1"/>
  <c r="W2686" i="1"/>
  <c r="V2686" i="1"/>
  <c r="U2686" i="1"/>
  <c r="R2686" i="1"/>
  <c r="P2686" i="1"/>
  <c r="K2686" i="1"/>
  <c r="Z2685" i="1"/>
  <c r="W2685" i="1"/>
  <c r="V2685" i="1"/>
  <c r="U2685" i="1"/>
  <c r="R2685" i="1"/>
  <c r="P2685" i="1"/>
  <c r="K2685" i="1"/>
  <c r="Z2684" i="1"/>
  <c r="W2684" i="1"/>
  <c r="V2684" i="1"/>
  <c r="U2684" i="1"/>
  <c r="R2684" i="1"/>
  <c r="P2684" i="1"/>
  <c r="K2684" i="1"/>
  <c r="Z2683" i="1"/>
  <c r="W2683" i="1"/>
  <c r="V2683" i="1"/>
  <c r="U2683" i="1"/>
  <c r="R2683" i="1"/>
  <c r="P2683" i="1"/>
  <c r="K2683" i="1"/>
  <c r="Z2682" i="1"/>
  <c r="W2682" i="1"/>
  <c r="V2682" i="1"/>
  <c r="U2682" i="1"/>
  <c r="R2682" i="1"/>
  <c r="P2682" i="1"/>
  <c r="K2682" i="1"/>
  <c r="Z2681" i="1"/>
  <c r="W2681" i="1"/>
  <c r="V2681" i="1"/>
  <c r="U2681" i="1"/>
  <c r="R2681" i="1"/>
  <c r="P2681" i="1"/>
  <c r="K2681" i="1"/>
  <c r="Z2680" i="1"/>
  <c r="W2680" i="1"/>
  <c r="V2680" i="1"/>
  <c r="U2680" i="1"/>
  <c r="R2680" i="1"/>
  <c r="P2680" i="1"/>
  <c r="K2680" i="1"/>
  <c r="Z2679" i="1"/>
  <c r="W2679" i="1"/>
  <c r="V2679" i="1"/>
  <c r="U2679" i="1"/>
  <c r="R2679" i="1"/>
  <c r="P2679" i="1"/>
  <c r="K2679" i="1"/>
  <c r="Z2678" i="1"/>
  <c r="W2678" i="1"/>
  <c r="V2678" i="1"/>
  <c r="U2678" i="1"/>
  <c r="R2678" i="1"/>
  <c r="P2678" i="1"/>
  <c r="K2678" i="1"/>
  <c r="Z2677" i="1"/>
  <c r="W2677" i="1"/>
  <c r="V2677" i="1"/>
  <c r="U2677" i="1"/>
  <c r="R2677" i="1"/>
  <c r="P2677" i="1"/>
  <c r="K2677" i="1"/>
  <c r="Z2676" i="1"/>
  <c r="W2676" i="1"/>
  <c r="V2676" i="1"/>
  <c r="U2676" i="1"/>
  <c r="R2676" i="1"/>
  <c r="P2676" i="1"/>
  <c r="K2676" i="1"/>
  <c r="Z2675" i="1"/>
  <c r="W2675" i="1"/>
  <c r="V2675" i="1"/>
  <c r="U2675" i="1"/>
  <c r="R2675" i="1"/>
  <c r="P2675" i="1"/>
  <c r="K2675" i="1"/>
  <c r="Z2674" i="1"/>
  <c r="W2674" i="1"/>
  <c r="V2674" i="1"/>
  <c r="U2674" i="1"/>
  <c r="R2674" i="1"/>
  <c r="P2674" i="1"/>
  <c r="K2674" i="1"/>
  <c r="Z2673" i="1"/>
  <c r="W2673" i="1"/>
  <c r="V2673" i="1"/>
  <c r="U2673" i="1"/>
  <c r="R2673" i="1"/>
  <c r="P2673" i="1"/>
  <c r="K2673" i="1"/>
  <c r="Z2672" i="1"/>
  <c r="W2672" i="1"/>
  <c r="V2672" i="1"/>
  <c r="U2672" i="1"/>
  <c r="R2672" i="1"/>
  <c r="P2672" i="1"/>
  <c r="K2672" i="1"/>
  <c r="Z2671" i="1"/>
  <c r="W2671" i="1"/>
  <c r="V2671" i="1"/>
  <c r="U2671" i="1"/>
  <c r="R2671" i="1"/>
  <c r="P2671" i="1"/>
  <c r="K2671" i="1"/>
  <c r="Z2670" i="1"/>
  <c r="W2670" i="1"/>
  <c r="V2670" i="1"/>
  <c r="U2670" i="1"/>
  <c r="R2670" i="1"/>
  <c r="P2670" i="1"/>
  <c r="K2670" i="1"/>
  <c r="Z2669" i="1"/>
  <c r="W2669" i="1"/>
  <c r="V2669" i="1"/>
  <c r="U2669" i="1"/>
  <c r="R2669" i="1"/>
  <c r="P2669" i="1"/>
  <c r="K2669" i="1"/>
  <c r="Z2668" i="1"/>
  <c r="W2668" i="1"/>
  <c r="V2668" i="1"/>
  <c r="U2668" i="1"/>
  <c r="R2668" i="1"/>
  <c r="P2668" i="1"/>
  <c r="K2668" i="1"/>
  <c r="Z2667" i="1"/>
  <c r="W2667" i="1"/>
  <c r="V2667" i="1"/>
  <c r="U2667" i="1"/>
  <c r="R2667" i="1"/>
  <c r="P2667" i="1"/>
  <c r="K2667" i="1"/>
  <c r="Z2666" i="1"/>
  <c r="W2666" i="1"/>
  <c r="V2666" i="1"/>
  <c r="U2666" i="1"/>
  <c r="R2666" i="1"/>
  <c r="P2666" i="1"/>
  <c r="K2666" i="1"/>
  <c r="Z2665" i="1"/>
  <c r="W2665" i="1"/>
  <c r="V2665" i="1"/>
  <c r="U2665" i="1"/>
  <c r="R2665" i="1"/>
  <c r="P2665" i="1"/>
  <c r="K2665" i="1"/>
  <c r="Z2664" i="1"/>
  <c r="W2664" i="1"/>
  <c r="V2664" i="1"/>
  <c r="U2664" i="1"/>
  <c r="R2664" i="1"/>
  <c r="P2664" i="1"/>
  <c r="K2664" i="1"/>
  <c r="Z2663" i="1"/>
  <c r="W2663" i="1"/>
  <c r="V2663" i="1"/>
  <c r="U2663" i="1"/>
  <c r="R2663" i="1"/>
  <c r="P2663" i="1"/>
  <c r="K2663" i="1"/>
  <c r="Z2662" i="1"/>
  <c r="W2662" i="1"/>
  <c r="V2662" i="1"/>
  <c r="U2662" i="1"/>
  <c r="R2662" i="1"/>
  <c r="P2662" i="1"/>
  <c r="K2662" i="1"/>
  <c r="Z2661" i="1"/>
  <c r="W2661" i="1"/>
  <c r="V2661" i="1"/>
  <c r="U2661" i="1"/>
  <c r="R2661" i="1"/>
  <c r="P2661" i="1"/>
  <c r="K2661" i="1"/>
  <c r="Z2660" i="1"/>
  <c r="W2660" i="1"/>
  <c r="V2660" i="1"/>
  <c r="U2660" i="1"/>
  <c r="R2660" i="1"/>
  <c r="P2660" i="1"/>
  <c r="K2660" i="1"/>
  <c r="Z2659" i="1"/>
  <c r="W2659" i="1"/>
  <c r="V2659" i="1"/>
  <c r="U2659" i="1"/>
  <c r="R2659" i="1"/>
  <c r="P2659" i="1"/>
  <c r="K2659" i="1"/>
  <c r="Z2658" i="1"/>
  <c r="W2658" i="1"/>
  <c r="V2658" i="1"/>
  <c r="U2658" i="1"/>
  <c r="R2658" i="1"/>
  <c r="P2658" i="1"/>
  <c r="K2658" i="1"/>
  <c r="Z2657" i="1"/>
  <c r="W2657" i="1"/>
  <c r="V2657" i="1"/>
  <c r="U2657" i="1"/>
  <c r="R2657" i="1"/>
  <c r="P2657" i="1"/>
  <c r="K2657" i="1"/>
  <c r="Z2656" i="1"/>
  <c r="W2656" i="1"/>
  <c r="V2656" i="1"/>
  <c r="U2656" i="1"/>
  <c r="R2656" i="1"/>
  <c r="P2656" i="1"/>
  <c r="K2656" i="1"/>
  <c r="Z2655" i="1"/>
  <c r="W2655" i="1"/>
  <c r="V2655" i="1"/>
  <c r="U2655" i="1"/>
  <c r="R2655" i="1"/>
  <c r="P2655" i="1"/>
  <c r="K2655" i="1"/>
  <c r="Z2654" i="1"/>
  <c r="W2654" i="1"/>
  <c r="V2654" i="1"/>
  <c r="U2654" i="1"/>
  <c r="R2654" i="1"/>
  <c r="P2654" i="1"/>
  <c r="K2654" i="1"/>
  <c r="Z2653" i="1"/>
  <c r="W2653" i="1"/>
  <c r="V2653" i="1"/>
  <c r="U2653" i="1"/>
  <c r="R2653" i="1"/>
  <c r="P2653" i="1"/>
  <c r="K2653" i="1"/>
  <c r="Z2652" i="1"/>
  <c r="W2652" i="1"/>
  <c r="V2652" i="1"/>
  <c r="U2652" i="1"/>
  <c r="R2652" i="1"/>
  <c r="P2652" i="1"/>
  <c r="K2652" i="1"/>
  <c r="Z2651" i="1"/>
  <c r="W2651" i="1"/>
  <c r="V2651" i="1"/>
  <c r="U2651" i="1"/>
  <c r="R2651" i="1"/>
  <c r="P2651" i="1"/>
  <c r="K2651" i="1"/>
  <c r="Z2650" i="1"/>
  <c r="W2650" i="1"/>
  <c r="V2650" i="1"/>
  <c r="U2650" i="1"/>
  <c r="R2650" i="1"/>
  <c r="P2650" i="1"/>
  <c r="K2650" i="1"/>
  <c r="Z2649" i="1"/>
  <c r="W2649" i="1"/>
  <c r="V2649" i="1"/>
  <c r="U2649" i="1"/>
  <c r="R2649" i="1"/>
  <c r="P2649" i="1"/>
  <c r="K2649" i="1"/>
  <c r="Z2648" i="1"/>
  <c r="W2648" i="1"/>
  <c r="V2648" i="1"/>
  <c r="U2648" i="1"/>
  <c r="R2648" i="1"/>
  <c r="P2648" i="1"/>
  <c r="K2648" i="1"/>
  <c r="Z2647" i="1"/>
  <c r="W2647" i="1"/>
  <c r="V2647" i="1"/>
  <c r="U2647" i="1"/>
  <c r="R2647" i="1"/>
  <c r="P2647" i="1"/>
  <c r="K2647" i="1"/>
  <c r="Z2646" i="1"/>
  <c r="W2646" i="1"/>
  <c r="V2646" i="1"/>
  <c r="U2646" i="1"/>
  <c r="R2646" i="1"/>
  <c r="P2646" i="1"/>
  <c r="K2646" i="1"/>
  <c r="Z2645" i="1"/>
  <c r="W2645" i="1"/>
  <c r="V2645" i="1"/>
  <c r="U2645" i="1"/>
  <c r="R2645" i="1"/>
  <c r="P2645" i="1"/>
  <c r="K2645" i="1"/>
  <c r="Z2644" i="1"/>
  <c r="W2644" i="1"/>
  <c r="V2644" i="1"/>
  <c r="U2644" i="1"/>
  <c r="R2644" i="1"/>
  <c r="P2644" i="1"/>
  <c r="K2644" i="1"/>
  <c r="Z2643" i="1"/>
  <c r="W2643" i="1"/>
  <c r="V2643" i="1"/>
  <c r="U2643" i="1"/>
  <c r="R2643" i="1"/>
  <c r="P2643" i="1"/>
  <c r="K2643" i="1"/>
  <c r="Z2642" i="1"/>
  <c r="W2642" i="1"/>
  <c r="V2642" i="1"/>
  <c r="U2642" i="1"/>
  <c r="R2642" i="1"/>
  <c r="P2642" i="1"/>
  <c r="K2642" i="1"/>
  <c r="Z2641" i="1"/>
  <c r="W2641" i="1"/>
  <c r="V2641" i="1"/>
  <c r="U2641" i="1"/>
  <c r="R2641" i="1"/>
  <c r="P2641" i="1"/>
  <c r="K2641" i="1"/>
  <c r="Z2640" i="1"/>
  <c r="W2640" i="1"/>
  <c r="V2640" i="1"/>
  <c r="U2640" i="1"/>
  <c r="R2640" i="1"/>
  <c r="P2640" i="1"/>
  <c r="K2640" i="1"/>
  <c r="Z2639" i="1"/>
  <c r="W2639" i="1"/>
  <c r="V2639" i="1"/>
  <c r="U2639" i="1"/>
  <c r="R2639" i="1"/>
  <c r="P2639" i="1"/>
  <c r="K2639" i="1"/>
  <c r="Z2638" i="1"/>
  <c r="W2638" i="1"/>
  <c r="V2638" i="1"/>
  <c r="U2638" i="1"/>
  <c r="R2638" i="1"/>
  <c r="P2638" i="1"/>
  <c r="K2638" i="1"/>
  <c r="Z2637" i="1"/>
  <c r="W2637" i="1"/>
  <c r="V2637" i="1"/>
  <c r="U2637" i="1"/>
  <c r="R2637" i="1"/>
  <c r="P2637" i="1"/>
  <c r="K2637" i="1"/>
  <c r="Z2636" i="1"/>
  <c r="W2636" i="1"/>
  <c r="V2636" i="1"/>
  <c r="U2636" i="1"/>
  <c r="R2636" i="1"/>
  <c r="P2636" i="1"/>
  <c r="K2636" i="1"/>
  <c r="Z2635" i="1"/>
  <c r="W2635" i="1"/>
  <c r="V2635" i="1"/>
  <c r="U2635" i="1"/>
  <c r="R2635" i="1"/>
  <c r="P2635" i="1"/>
  <c r="K2635" i="1"/>
  <c r="Z2634" i="1"/>
  <c r="W2634" i="1"/>
  <c r="V2634" i="1"/>
  <c r="U2634" i="1"/>
  <c r="R2634" i="1"/>
  <c r="P2634" i="1"/>
  <c r="K2634" i="1"/>
  <c r="Z2633" i="1"/>
  <c r="W2633" i="1"/>
  <c r="V2633" i="1"/>
  <c r="U2633" i="1"/>
  <c r="R2633" i="1"/>
  <c r="P2633" i="1"/>
  <c r="K2633" i="1"/>
  <c r="Z2632" i="1"/>
  <c r="W2632" i="1"/>
  <c r="V2632" i="1"/>
  <c r="U2632" i="1"/>
  <c r="R2632" i="1"/>
  <c r="P2632" i="1"/>
  <c r="K2632" i="1"/>
  <c r="Z2631" i="1"/>
  <c r="W2631" i="1"/>
  <c r="V2631" i="1"/>
  <c r="U2631" i="1"/>
  <c r="R2631" i="1"/>
  <c r="P2631" i="1"/>
  <c r="K2631" i="1"/>
  <c r="Z2630" i="1"/>
  <c r="W2630" i="1"/>
  <c r="V2630" i="1"/>
  <c r="U2630" i="1"/>
  <c r="R2630" i="1"/>
  <c r="P2630" i="1"/>
  <c r="K2630" i="1"/>
  <c r="Z2629" i="1"/>
  <c r="W2629" i="1"/>
  <c r="V2629" i="1"/>
  <c r="U2629" i="1"/>
  <c r="R2629" i="1"/>
  <c r="P2629" i="1"/>
  <c r="K2629" i="1"/>
  <c r="Z2628" i="1"/>
  <c r="W2628" i="1"/>
  <c r="V2628" i="1"/>
  <c r="U2628" i="1"/>
  <c r="R2628" i="1"/>
  <c r="P2628" i="1"/>
  <c r="K2628" i="1"/>
  <c r="Z2627" i="1"/>
  <c r="W2627" i="1"/>
  <c r="V2627" i="1"/>
  <c r="U2627" i="1"/>
  <c r="R2627" i="1"/>
  <c r="P2627" i="1"/>
  <c r="K2627" i="1"/>
  <c r="Z2626" i="1"/>
  <c r="W2626" i="1"/>
  <c r="V2626" i="1"/>
  <c r="U2626" i="1"/>
  <c r="R2626" i="1"/>
  <c r="P2626" i="1"/>
  <c r="K2626" i="1"/>
  <c r="Z2625" i="1"/>
  <c r="W2625" i="1"/>
  <c r="V2625" i="1"/>
  <c r="U2625" i="1"/>
  <c r="R2625" i="1"/>
  <c r="P2625" i="1"/>
  <c r="K2625" i="1"/>
  <c r="Z2624" i="1"/>
  <c r="W2624" i="1"/>
  <c r="V2624" i="1"/>
  <c r="U2624" i="1"/>
  <c r="R2624" i="1"/>
  <c r="P2624" i="1"/>
  <c r="K2624" i="1"/>
  <c r="Z2623" i="1"/>
  <c r="W2623" i="1"/>
  <c r="V2623" i="1"/>
  <c r="U2623" i="1"/>
  <c r="R2623" i="1"/>
  <c r="P2623" i="1"/>
  <c r="K2623" i="1"/>
  <c r="Z2622" i="1"/>
  <c r="W2622" i="1"/>
  <c r="V2622" i="1"/>
  <c r="U2622" i="1"/>
  <c r="R2622" i="1"/>
  <c r="P2622" i="1"/>
  <c r="K2622" i="1"/>
  <c r="Z2621" i="1"/>
  <c r="W2621" i="1"/>
  <c r="V2621" i="1"/>
  <c r="U2621" i="1"/>
  <c r="R2621" i="1"/>
  <c r="P2621" i="1"/>
  <c r="K2621" i="1"/>
  <c r="Z2620" i="1"/>
  <c r="W2620" i="1"/>
  <c r="V2620" i="1"/>
  <c r="U2620" i="1"/>
  <c r="R2620" i="1"/>
  <c r="P2620" i="1"/>
  <c r="K2620" i="1"/>
  <c r="Z2619" i="1"/>
  <c r="W2619" i="1"/>
  <c r="V2619" i="1"/>
  <c r="U2619" i="1"/>
  <c r="R2619" i="1"/>
  <c r="P2619" i="1"/>
  <c r="K2619" i="1"/>
  <c r="Z2618" i="1"/>
  <c r="W2618" i="1"/>
  <c r="V2618" i="1"/>
  <c r="U2618" i="1"/>
  <c r="R2618" i="1"/>
  <c r="P2618" i="1"/>
  <c r="K2618" i="1"/>
  <c r="Z2617" i="1"/>
  <c r="W2617" i="1"/>
  <c r="V2617" i="1"/>
  <c r="U2617" i="1"/>
  <c r="R2617" i="1"/>
  <c r="P2617" i="1"/>
  <c r="K2617" i="1"/>
  <c r="Z2616" i="1"/>
  <c r="W2616" i="1"/>
  <c r="V2616" i="1"/>
  <c r="U2616" i="1"/>
  <c r="R2616" i="1"/>
  <c r="P2616" i="1"/>
  <c r="K2616" i="1"/>
  <c r="Z2615" i="1"/>
  <c r="W2615" i="1"/>
  <c r="V2615" i="1"/>
  <c r="U2615" i="1"/>
  <c r="R2615" i="1"/>
  <c r="P2615" i="1"/>
  <c r="K2615" i="1"/>
  <c r="Z2614" i="1"/>
  <c r="W2614" i="1"/>
  <c r="V2614" i="1"/>
  <c r="U2614" i="1"/>
  <c r="R2614" i="1"/>
  <c r="P2614" i="1"/>
  <c r="K2614" i="1"/>
  <c r="Z2613" i="1"/>
  <c r="W2613" i="1"/>
  <c r="V2613" i="1"/>
  <c r="U2613" i="1"/>
  <c r="R2613" i="1"/>
  <c r="P2613" i="1"/>
  <c r="K2613" i="1"/>
  <c r="Z2612" i="1"/>
  <c r="W2612" i="1"/>
  <c r="V2612" i="1"/>
  <c r="U2612" i="1"/>
  <c r="R2612" i="1"/>
  <c r="P2612" i="1"/>
  <c r="K2612" i="1"/>
  <c r="Z2611" i="1"/>
  <c r="W2611" i="1"/>
  <c r="V2611" i="1"/>
  <c r="U2611" i="1"/>
  <c r="R2611" i="1"/>
  <c r="P2611" i="1"/>
  <c r="K2611" i="1"/>
  <c r="Z2610" i="1"/>
  <c r="W2610" i="1"/>
  <c r="V2610" i="1"/>
  <c r="U2610" i="1"/>
  <c r="R2610" i="1"/>
  <c r="P2610" i="1"/>
  <c r="K2610" i="1"/>
  <c r="Z2609" i="1"/>
  <c r="W2609" i="1"/>
  <c r="V2609" i="1"/>
  <c r="U2609" i="1"/>
  <c r="R2609" i="1"/>
  <c r="P2609" i="1"/>
  <c r="K2609" i="1"/>
  <c r="Z2608" i="1"/>
  <c r="W2608" i="1"/>
  <c r="V2608" i="1"/>
  <c r="U2608" i="1"/>
  <c r="R2608" i="1"/>
  <c r="P2608" i="1"/>
  <c r="K2608" i="1"/>
  <c r="Z2607" i="1"/>
  <c r="W2607" i="1"/>
  <c r="V2607" i="1"/>
  <c r="U2607" i="1"/>
  <c r="R2607" i="1"/>
  <c r="P2607" i="1"/>
  <c r="K2607" i="1"/>
  <c r="Z2606" i="1"/>
  <c r="W2606" i="1"/>
  <c r="V2606" i="1"/>
  <c r="U2606" i="1"/>
  <c r="R2606" i="1"/>
  <c r="P2606" i="1"/>
  <c r="K2606" i="1"/>
  <c r="Z2605" i="1"/>
  <c r="W2605" i="1"/>
  <c r="V2605" i="1"/>
  <c r="U2605" i="1"/>
  <c r="R2605" i="1"/>
  <c r="P2605" i="1"/>
  <c r="K2605" i="1"/>
  <c r="Z2604" i="1"/>
  <c r="W2604" i="1"/>
  <c r="V2604" i="1"/>
  <c r="U2604" i="1"/>
  <c r="R2604" i="1"/>
  <c r="P2604" i="1"/>
  <c r="K2604" i="1"/>
  <c r="Z2603" i="1"/>
  <c r="W2603" i="1"/>
  <c r="V2603" i="1"/>
  <c r="U2603" i="1"/>
  <c r="R2603" i="1"/>
  <c r="P2603" i="1"/>
  <c r="K2603" i="1"/>
  <c r="Z2602" i="1"/>
  <c r="W2602" i="1"/>
  <c r="V2602" i="1"/>
  <c r="U2602" i="1"/>
  <c r="R2602" i="1"/>
  <c r="P2602" i="1"/>
  <c r="K2602" i="1"/>
  <c r="Z2601" i="1"/>
  <c r="W2601" i="1"/>
  <c r="V2601" i="1"/>
  <c r="U2601" i="1"/>
  <c r="R2601" i="1"/>
  <c r="P2601" i="1"/>
  <c r="K2601" i="1"/>
  <c r="Z2600" i="1"/>
  <c r="W2600" i="1"/>
  <c r="V2600" i="1"/>
  <c r="U2600" i="1"/>
  <c r="R2600" i="1"/>
  <c r="P2600" i="1"/>
  <c r="K2600" i="1"/>
  <c r="Z2599" i="1"/>
  <c r="W2599" i="1"/>
  <c r="V2599" i="1"/>
  <c r="U2599" i="1"/>
  <c r="R2599" i="1"/>
  <c r="P2599" i="1"/>
  <c r="K2599" i="1"/>
  <c r="Z2598" i="1"/>
  <c r="W2598" i="1"/>
  <c r="V2598" i="1"/>
  <c r="U2598" i="1"/>
  <c r="R2598" i="1"/>
  <c r="P2598" i="1"/>
  <c r="K2598" i="1"/>
  <c r="Z2597" i="1"/>
  <c r="W2597" i="1"/>
  <c r="V2597" i="1"/>
  <c r="U2597" i="1"/>
  <c r="R2597" i="1"/>
  <c r="P2597" i="1"/>
  <c r="K2597" i="1"/>
  <c r="Z2596" i="1"/>
  <c r="W2596" i="1"/>
  <c r="V2596" i="1"/>
  <c r="U2596" i="1"/>
  <c r="R2596" i="1"/>
  <c r="P2596" i="1"/>
  <c r="K2596" i="1"/>
  <c r="Z2595" i="1"/>
  <c r="W2595" i="1"/>
  <c r="V2595" i="1"/>
  <c r="U2595" i="1"/>
  <c r="R2595" i="1"/>
  <c r="P2595" i="1"/>
  <c r="K2595" i="1"/>
  <c r="Z2594" i="1"/>
  <c r="W2594" i="1"/>
  <c r="V2594" i="1"/>
  <c r="U2594" i="1"/>
  <c r="R2594" i="1"/>
  <c r="P2594" i="1"/>
  <c r="K2594" i="1"/>
  <c r="Z2593" i="1"/>
  <c r="W2593" i="1"/>
  <c r="V2593" i="1"/>
  <c r="U2593" i="1"/>
  <c r="R2593" i="1"/>
  <c r="P2593" i="1"/>
  <c r="K2593" i="1"/>
  <c r="Z2592" i="1"/>
  <c r="W2592" i="1"/>
  <c r="V2592" i="1"/>
  <c r="U2592" i="1"/>
  <c r="R2592" i="1"/>
  <c r="P2592" i="1"/>
  <c r="K2592" i="1"/>
  <c r="Z2591" i="1"/>
  <c r="W2591" i="1"/>
  <c r="V2591" i="1"/>
  <c r="U2591" i="1"/>
  <c r="R2591" i="1"/>
  <c r="P2591" i="1"/>
  <c r="K2591" i="1"/>
  <c r="Z2590" i="1"/>
  <c r="W2590" i="1"/>
  <c r="V2590" i="1"/>
  <c r="U2590" i="1"/>
  <c r="R2590" i="1"/>
  <c r="P2590" i="1"/>
  <c r="K2590" i="1"/>
  <c r="Z2589" i="1"/>
  <c r="W2589" i="1"/>
  <c r="V2589" i="1"/>
  <c r="U2589" i="1"/>
  <c r="R2589" i="1"/>
  <c r="P2589" i="1"/>
  <c r="K2589" i="1"/>
  <c r="Z2588" i="1"/>
  <c r="W2588" i="1"/>
  <c r="V2588" i="1"/>
  <c r="U2588" i="1"/>
  <c r="R2588" i="1"/>
  <c r="P2588" i="1"/>
  <c r="K2588" i="1"/>
  <c r="Z2587" i="1"/>
  <c r="W2587" i="1"/>
  <c r="V2587" i="1"/>
  <c r="U2587" i="1"/>
  <c r="R2587" i="1"/>
  <c r="P2587" i="1"/>
  <c r="K2587" i="1"/>
  <c r="Z2586" i="1"/>
  <c r="W2586" i="1"/>
  <c r="V2586" i="1"/>
  <c r="U2586" i="1"/>
  <c r="R2586" i="1"/>
  <c r="P2586" i="1"/>
  <c r="K2586" i="1"/>
  <c r="Z2585" i="1"/>
  <c r="W2585" i="1"/>
  <c r="V2585" i="1"/>
  <c r="U2585" i="1"/>
  <c r="R2585" i="1"/>
  <c r="P2585" i="1"/>
  <c r="K2585" i="1"/>
  <c r="Z2584" i="1"/>
  <c r="W2584" i="1"/>
  <c r="V2584" i="1"/>
  <c r="U2584" i="1"/>
  <c r="R2584" i="1"/>
  <c r="P2584" i="1"/>
  <c r="K2584" i="1"/>
  <c r="Z2583" i="1"/>
  <c r="W2583" i="1"/>
  <c r="V2583" i="1"/>
  <c r="U2583" i="1"/>
  <c r="R2583" i="1"/>
  <c r="P2583" i="1"/>
  <c r="K2583" i="1"/>
  <c r="Z2582" i="1"/>
  <c r="W2582" i="1"/>
  <c r="V2582" i="1"/>
  <c r="U2582" i="1"/>
  <c r="R2582" i="1"/>
  <c r="P2582" i="1"/>
  <c r="K2582" i="1"/>
  <c r="Z2581" i="1"/>
  <c r="W2581" i="1"/>
  <c r="V2581" i="1"/>
  <c r="U2581" i="1"/>
  <c r="R2581" i="1"/>
  <c r="P2581" i="1"/>
  <c r="K2581" i="1"/>
  <c r="Z2580" i="1"/>
  <c r="W2580" i="1"/>
  <c r="V2580" i="1"/>
  <c r="U2580" i="1"/>
  <c r="R2580" i="1"/>
  <c r="P2580" i="1"/>
  <c r="K2580" i="1"/>
  <c r="Z2579" i="1"/>
  <c r="W2579" i="1"/>
  <c r="V2579" i="1"/>
  <c r="U2579" i="1"/>
  <c r="R2579" i="1"/>
  <c r="P2579" i="1"/>
  <c r="K2579" i="1"/>
  <c r="Z2578" i="1"/>
  <c r="W2578" i="1"/>
  <c r="V2578" i="1"/>
  <c r="U2578" i="1"/>
  <c r="R2578" i="1"/>
  <c r="P2578" i="1"/>
  <c r="K2578" i="1"/>
  <c r="Z2577" i="1"/>
  <c r="W2577" i="1"/>
  <c r="V2577" i="1"/>
  <c r="U2577" i="1"/>
  <c r="R2577" i="1"/>
  <c r="P2577" i="1"/>
  <c r="K2577" i="1"/>
  <c r="Z2576" i="1"/>
  <c r="W2576" i="1"/>
  <c r="V2576" i="1"/>
  <c r="U2576" i="1"/>
  <c r="R2576" i="1"/>
  <c r="P2576" i="1"/>
  <c r="K2576" i="1"/>
  <c r="Z2575" i="1"/>
  <c r="W2575" i="1"/>
  <c r="V2575" i="1"/>
  <c r="U2575" i="1"/>
  <c r="R2575" i="1"/>
  <c r="P2575" i="1"/>
  <c r="K2575" i="1"/>
  <c r="Z2574" i="1"/>
  <c r="W2574" i="1"/>
  <c r="V2574" i="1"/>
  <c r="U2574" i="1"/>
  <c r="R2574" i="1"/>
  <c r="P2574" i="1"/>
  <c r="K2574" i="1"/>
  <c r="Z2573" i="1"/>
  <c r="W2573" i="1"/>
  <c r="V2573" i="1"/>
  <c r="U2573" i="1"/>
  <c r="R2573" i="1"/>
  <c r="P2573" i="1"/>
  <c r="K2573" i="1"/>
  <c r="Z2572" i="1"/>
  <c r="W2572" i="1"/>
  <c r="V2572" i="1"/>
  <c r="U2572" i="1"/>
  <c r="R2572" i="1"/>
  <c r="P2572" i="1"/>
  <c r="K2572" i="1"/>
  <c r="Z2571" i="1"/>
  <c r="W2571" i="1"/>
  <c r="V2571" i="1"/>
  <c r="U2571" i="1"/>
  <c r="R2571" i="1"/>
  <c r="P2571" i="1"/>
  <c r="K2571" i="1"/>
  <c r="Z2570" i="1"/>
  <c r="W2570" i="1"/>
  <c r="V2570" i="1"/>
  <c r="U2570" i="1"/>
  <c r="R2570" i="1"/>
  <c r="P2570" i="1"/>
  <c r="K2570" i="1"/>
  <c r="Z2569" i="1"/>
  <c r="W2569" i="1"/>
  <c r="V2569" i="1"/>
  <c r="U2569" i="1"/>
  <c r="R2569" i="1"/>
  <c r="P2569" i="1"/>
  <c r="K2569" i="1"/>
  <c r="Z2568" i="1"/>
  <c r="W2568" i="1"/>
  <c r="V2568" i="1"/>
  <c r="U2568" i="1"/>
  <c r="R2568" i="1"/>
  <c r="P2568" i="1"/>
  <c r="K2568" i="1"/>
  <c r="Z2567" i="1"/>
  <c r="W2567" i="1"/>
  <c r="V2567" i="1"/>
  <c r="U2567" i="1"/>
  <c r="R2567" i="1"/>
  <c r="P2567" i="1"/>
  <c r="K2567" i="1"/>
  <c r="Z2566" i="1"/>
  <c r="W2566" i="1"/>
  <c r="V2566" i="1"/>
  <c r="U2566" i="1"/>
  <c r="R2566" i="1"/>
  <c r="P2566" i="1"/>
  <c r="K2566" i="1"/>
  <c r="Z2565" i="1"/>
  <c r="W2565" i="1"/>
  <c r="V2565" i="1"/>
  <c r="U2565" i="1"/>
  <c r="R2565" i="1"/>
  <c r="P2565" i="1"/>
  <c r="K2565" i="1"/>
  <c r="Z2564" i="1"/>
  <c r="W2564" i="1"/>
  <c r="V2564" i="1"/>
  <c r="U2564" i="1"/>
  <c r="R2564" i="1"/>
  <c r="P2564" i="1"/>
  <c r="K2564" i="1"/>
  <c r="Z2563" i="1"/>
  <c r="W2563" i="1"/>
  <c r="V2563" i="1"/>
  <c r="U2563" i="1"/>
  <c r="R2563" i="1"/>
  <c r="P2563" i="1"/>
  <c r="K2563" i="1"/>
  <c r="Z2562" i="1"/>
  <c r="W2562" i="1"/>
  <c r="V2562" i="1"/>
  <c r="U2562" i="1"/>
  <c r="R2562" i="1"/>
  <c r="P2562" i="1"/>
  <c r="K2562" i="1"/>
  <c r="Z2561" i="1"/>
  <c r="W2561" i="1"/>
  <c r="V2561" i="1"/>
  <c r="U2561" i="1"/>
  <c r="R2561" i="1"/>
  <c r="P2561" i="1"/>
  <c r="K2561" i="1"/>
  <c r="Z2560" i="1"/>
  <c r="W2560" i="1"/>
  <c r="V2560" i="1"/>
  <c r="U2560" i="1"/>
  <c r="R2560" i="1"/>
  <c r="P2560" i="1"/>
  <c r="K2560" i="1"/>
  <c r="Z2559" i="1"/>
  <c r="W2559" i="1"/>
  <c r="V2559" i="1"/>
  <c r="U2559" i="1"/>
  <c r="R2559" i="1"/>
  <c r="P2559" i="1"/>
  <c r="K2559" i="1"/>
  <c r="Z2558" i="1"/>
  <c r="W2558" i="1"/>
  <c r="V2558" i="1"/>
  <c r="U2558" i="1"/>
  <c r="R2558" i="1"/>
  <c r="P2558" i="1"/>
  <c r="K2558" i="1"/>
  <c r="Z2557" i="1"/>
  <c r="W2557" i="1"/>
  <c r="V2557" i="1"/>
  <c r="U2557" i="1"/>
  <c r="R2557" i="1"/>
  <c r="P2557" i="1"/>
  <c r="K2557" i="1"/>
  <c r="Z2556" i="1"/>
  <c r="W2556" i="1"/>
  <c r="V2556" i="1"/>
  <c r="U2556" i="1"/>
  <c r="R2556" i="1"/>
  <c r="P2556" i="1"/>
  <c r="K2556" i="1"/>
  <c r="Z2555" i="1"/>
  <c r="W2555" i="1"/>
  <c r="V2555" i="1"/>
  <c r="U2555" i="1"/>
  <c r="R2555" i="1"/>
  <c r="P2555" i="1"/>
  <c r="K2555" i="1"/>
  <c r="Z2554" i="1"/>
  <c r="W2554" i="1"/>
  <c r="V2554" i="1"/>
  <c r="U2554" i="1"/>
  <c r="R2554" i="1"/>
  <c r="P2554" i="1"/>
  <c r="K2554" i="1"/>
  <c r="Z2553" i="1"/>
  <c r="W2553" i="1"/>
  <c r="V2553" i="1"/>
  <c r="U2553" i="1"/>
  <c r="R2553" i="1"/>
  <c r="P2553" i="1"/>
  <c r="K2553" i="1"/>
  <c r="Z2552" i="1"/>
  <c r="W2552" i="1"/>
  <c r="V2552" i="1"/>
  <c r="U2552" i="1"/>
  <c r="R2552" i="1"/>
  <c r="P2552" i="1"/>
  <c r="K2552" i="1"/>
  <c r="Z2551" i="1"/>
  <c r="W2551" i="1"/>
  <c r="V2551" i="1"/>
  <c r="U2551" i="1"/>
  <c r="R2551" i="1"/>
  <c r="P2551" i="1"/>
  <c r="K2551" i="1"/>
  <c r="Z2550" i="1"/>
  <c r="W2550" i="1"/>
  <c r="V2550" i="1"/>
  <c r="U2550" i="1"/>
  <c r="R2550" i="1"/>
  <c r="P2550" i="1"/>
  <c r="K2550" i="1"/>
  <c r="Z2549" i="1"/>
  <c r="W2549" i="1"/>
  <c r="V2549" i="1"/>
  <c r="U2549" i="1"/>
  <c r="R2549" i="1"/>
  <c r="P2549" i="1"/>
  <c r="K2549" i="1"/>
  <c r="Z2548" i="1"/>
  <c r="W2548" i="1"/>
  <c r="V2548" i="1"/>
  <c r="U2548" i="1"/>
  <c r="R2548" i="1"/>
  <c r="P2548" i="1"/>
  <c r="K2548" i="1"/>
  <c r="Z2547" i="1"/>
  <c r="W2547" i="1"/>
  <c r="V2547" i="1"/>
  <c r="U2547" i="1"/>
  <c r="R2547" i="1"/>
  <c r="P2547" i="1"/>
  <c r="K2547" i="1"/>
  <c r="Z2546" i="1"/>
  <c r="W2546" i="1"/>
  <c r="V2546" i="1"/>
  <c r="U2546" i="1"/>
  <c r="R2546" i="1"/>
  <c r="P2546" i="1"/>
  <c r="K2546" i="1"/>
  <c r="Z2545" i="1"/>
  <c r="W2545" i="1"/>
  <c r="V2545" i="1"/>
  <c r="U2545" i="1"/>
  <c r="R2545" i="1"/>
  <c r="P2545" i="1"/>
  <c r="K2545" i="1"/>
  <c r="Z2544" i="1"/>
  <c r="W2544" i="1"/>
  <c r="V2544" i="1"/>
  <c r="U2544" i="1"/>
  <c r="R2544" i="1"/>
  <c r="P2544" i="1"/>
  <c r="K2544" i="1"/>
  <c r="Z2543" i="1"/>
  <c r="W2543" i="1"/>
  <c r="V2543" i="1"/>
  <c r="U2543" i="1"/>
  <c r="R2543" i="1"/>
  <c r="P2543" i="1"/>
  <c r="K2543" i="1"/>
  <c r="Z2542" i="1"/>
  <c r="W2542" i="1"/>
  <c r="V2542" i="1"/>
  <c r="U2542" i="1"/>
  <c r="R2542" i="1"/>
  <c r="P2542" i="1"/>
  <c r="K2542" i="1"/>
  <c r="Z2541" i="1"/>
  <c r="W2541" i="1"/>
  <c r="V2541" i="1"/>
  <c r="U2541" i="1"/>
  <c r="R2541" i="1"/>
  <c r="P2541" i="1"/>
  <c r="K2541" i="1"/>
  <c r="Z2540" i="1"/>
  <c r="W2540" i="1"/>
  <c r="V2540" i="1"/>
  <c r="U2540" i="1"/>
  <c r="R2540" i="1"/>
  <c r="P2540" i="1"/>
  <c r="K2540" i="1"/>
  <c r="Z2539" i="1"/>
  <c r="W2539" i="1"/>
  <c r="V2539" i="1"/>
  <c r="U2539" i="1"/>
  <c r="R2539" i="1"/>
  <c r="P2539" i="1"/>
  <c r="K2539" i="1"/>
  <c r="Z2538" i="1"/>
  <c r="W2538" i="1"/>
  <c r="V2538" i="1"/>
  <c r="U2538" i="1"/>
  <c r="R2538" i="1"/>
  <c r="P2538" i="1"/>
  <c r="K2538" i="1"/>
  <c r="Z2537" i="1"/>
  <c r="W2537" i="1"/>
  <c r="V2537" i="1"/>
  <c r="U2537" i="1"/>
  <c r="R2537" i="1"/>
  <c r="P2537" i="1"/>
  <c r="K2537" i="1"/>
  <c r="Z2536" i="1"/>
  <c r="W2536" i="1"/>
  <c r="V2536" i="1"/>
  <c r="U2536" i="1"/>
  <c r="R2536" i="1"/>
  <c r="P2536" i="1"/>
  <c r="K2536" i="1"/>
  <c r="Z2535" i="1"/>
  <c r="W2535" i="1"/>
  <c r="V2535" i="1"/>
  <c r="U2535" i="1"/>
  <c r="R2535" i="1"/>
  <c r="P2535" i="1"/>
  <c r="K2535" i="1"/>
  <c r="Z2534" i="1"/>
  <c r="W2534" i="1"/>
  <c r="V2534" i="1"/>
  <c r="U2534" i="1"/>
  <c r="R2534" i="1"/>
  <c r="P2534" i="1"/>
  <c r="K2534" i="1"/>
  <c r="Z2533" i="1"/>
  <c r="W2533" i="1"/>
  <c r="V2533" i="1"/>
  <c r="U2533" i="1"/>
  <c r="R2533" i="1"/>
  <c r="P2533" i="1"/>
  <c r="K2533" i="1"/>
  <c r="Z2532" i="1"/>
  <c r="W2532" i="1"/>
  <c r="V2532" i="1"/>
  <c r="U2532" i="1"/>
  <c r="R2532" i="1"/>
  <c r="P2532" i="1"/>
  <c r="K2532" i="1"/>
  <c r="Z2531" i="1"/>
  <c r="W2531" i="1"/>
  <c r="V2531" i="1"/>
  <c r="U2531" i="1"/>
  <c r="R2531" i="1"/>
  <c r="P2531" i="1"/>
  <c r="K2531" i="1"/>
  <c r="Z2530" i="1"/>
  <c r="W2530" i="1"/>
  <c r="V2530" i="1"/>
  <c r="U2530" i="1"/>
  <c r="R2530" i="1"/>
  <c r="P2530" i="1"/>
  <c r="K2530" i="1"/>
  <c r="Z2529" i="1"/>
  <c r="W2529" i="1"/>
  <c r="V2529" i="1"/>
  <c r="U2529" i="1"/>
  <c r="R2529" i="1"/>
  <c r="P2529" i="1"/>
  <c r="K2529" i="1"/>
  <c r="Z2528" i="1"/>
  <c r="W2528" i="1"/>
  <c r="V2528" i="1"/>
  <c r="U2528" i="1"/>
  <c r="R2528" i="1"/>
  <c r="P2528" i="1"/>
  <c r="K2528" i="1"/>
  <c r="Z2527" i="1"/>
  <c r="W2527" i="1"/>
  <c r="V2527" i="1"/>
  <c r="U2527" i="1"/>
  <c r="R2527" i="1"/>
  <c r="P2527" i="1"/>
  <c r="K2527" i="1"/>
  <c r="Z2526" i="1"/>
  <c r="W2526" i="1"/>
  <c r="V2526" i="1"/>
  <c r="U2526" i="1"/>
  <c r="R2526" i="1"/>
  <c r="P2526" i="1"/>
  <c r="K2526" i="1"/>
  <c r="Z2525" i="1"/>
  <c r="W2525" i="1"/>
  <c r="V2525" i="1"/>
  <c r="U2525" i="1"/>
  <c r="R2525" i="1"/>
  <c r="P2525" i="1"/>
  <c r="K2525" i="1"/>
  <c r="Z2524" i="1"/>
  <c r="W2524" i="1"/>
  <c r="V2524" i="1"/>
  <c r="U2524" i="1"/>
  <c r="R2524" i="1"/>
  <c r="P2524" i="1"/>
  <c r="K2524" i="1"/>
  <c r="Z2523" i="1"/>
  <c r="W2523" i="1"/>
  <c r="V2523" i="1"/>
  <c r="U2523" i="1"/>
  <c r="R2523" i="1"/>
  <c r="P2523" i="1"/>
  <c r="K2523" i="1"/>
  <c r="Z2522" i="1"/>
  <c r="W2522" i="1"/>
  <c r="V2522" i="1"/>
  <c r="U2522" i="1"/>
  <c r="R2522" i="1"/>
  <c r="P2522" i="1"/>
  <c r="K2522" i="1"/>
  <c r="Z2521" i="1"/>
  <c r="W2521" i="1"/>
  <c r="V2521" i="1"/>
  <c r="U2521" i="1"/>
  <c r="R2521" i="1"/>
  <c r="P2521" i="1"/>
  <c r="K2521" i="1"/>
  <c r="Z2520" i="1"/>
  <c r="W2520" i="1"/>
  <c r="V2520" i="1"/>
  <c r="U2520" i="1"/>
  <c r="R2520" i="1"/>
  <c r="P2520" i="1"/>
  <c r="K2520" i="1"/>
  <c r="Z2519" i="1"/>
  <c r="W2519" i="1"/>
  <c r="V2519" i="1"/>
  <c r="U2519" i="1"/>
  <c r="R2519" i="1"/>
  <c r="P2519" i="1"/>
  <c r="K2519" i="1"/>
  <c r="Z2518" i="1"/>
  <c r="W2518" i="1"/>
  <c r="V2518" i="1"/>
  <c r="U2518" i="1"/>
  <c r="R2518" i="1"/>
  <c r="P2518" i="1"/>
  <c r="K2518" i="1"/>
  <c r="Z2517" i="1"/>
  <c r="W2517" i="1"/>
  <c r="V2517" i="1"/>
  <c r="U2517" i="1"/>
  <c r="R2517" i="1"/>
  <c r="P2517" i="1"/>
  <c r="K2517" i="1"/>
  <c r="Z2516" i="1"/>
  <c r="W2516" i="1"/>
  <c r="V2516" i="1"/>
  <c r="U2516" i="1"/>
  <c r="R2516" i="1"/>
  <c r="P2516" i="1"/>
  <c r="K2516" i="1"/>
  <c r="Z2515" i="1"/>
  <c r="W2515" i="1"/>
  <c r="V2515" i="1"/>
  <c r="U2515" i="1"/>
  <c r="R2515" i="1"/>
  <c r="P2515" i="1"/>
  <c r="K2515" i="1"/>
  <c r="Z2514" i="1"/>
  <c r="W2514" i="1"/>
  <c r="V2514" i="1"/>
  <c r="U2514" i="1"/>
  <c r="R2514" i="1"/>
  <c r="P2514" i="1"/>
  <c r="K2514" i="1"/>
  <c r="Z2513" i="1"/>
  <c r="W2513" i="1"/>
  <c r="V2513" i="1"/>
  <c r="U2513" i="1"/>
  <c r="R2513" i="1"/>
  <c r="P2513" i="1"/>
  <c r="K2513" i="1"/>
  <c r="Z2512" i="1"/>
  <c r="W2512" i="1"/>
  <c r="V2512" i="1"/>
  <c r="U2512" i="1"/>
  <c r="R2512" i="1"/>
  <c r="P2512" i="1"/>
  <c r="K2512" i="1"/>
  <c r="Z2511" i="1"/>
  <c r="W2511" i="1"/>
  <c r="V2511" i="1"/>
  <c r="U2511" i="1"/>
  <c r="R2511" i="1"/>
  <c r="P2511" i="1"/>
  <c r="K2511" i="1"/>
  <c r="Z2510" i="1"/>
  <c r="W2510" i="1"/>
  <c r="V2510" i="1"/>
  <c r="U2510" i="1"/>
  <c r="R2510" i="1"/>
  <c r="P2510" i="1"/>
  <c r="K2510" i="1"/>
  <c r="Z2509" i="1"/>
  <c r="W2509" i="1"/>
  <c r="V2509" i="1"/>
  <c r="U2509" i="1"/>
  <c r="R2509" i="1"/>
  <c r="P2509" i="1"/>
  <c r="K2509" i="1"/>
  <c r="Z2508" i="1"/>
  <c r="W2508" i="1"/>
  <c r="V2508" i="1"/>
  <c r="U2508" i="1"/>
  <c r="R2508" i="1"/>
  <c r="P2508" i="1"/>
  <c r="K2508" i="1"/>
  <c r="Z2507" i="1"/>
  <c r="W2507" i="1"/>
  <c r="V2507" i="1"/>
  <c r="U2507" i="1"/>
  <c r="R2507" i="1"/>
  <c r="P2507" i="1"/>
  <c r="K2507" i="1"/>
  <c r="Z2506" i="1"/>
  <c r="W2506" i="1"/>
  <c r="V2506" i="1"/>
  <c r="U2506" i="1"/>
  <c r="R2506" i="1"/>
  <c r="P2506" i="1"/>
  <c r="K2506" i="1"/>
  <c r="Z2505" i="1"/>
  <c r="W2505" i="1"/>
  <c r="V2505" i="1"/>
  <c r="U2505" i="1"/>
  <c r="R2505" i="1"/>
  <c r="P2505" i="1"/>
  <c r="K2505" i="1"/>
  <c r="Z2504" i="1"/>
  <c r="W2504" i="1"/>
  <c r="V2504" i="1"/>
  <c r="U2504" i="1"/>
  <c r="R2504" i="1"/>
  <c r="P2504" i="1"/>
  <c r="K2504" i="1"/>
  <c r="Z2503" i="1"/>
  <c r="W2503" i="1"/>
  <c r="V2503" i="1"/>
  <c r="U2503" i="1"/>
  <c r="R2503" i="1"/>
  <c r="P2503" i="1"/>
  <c r="K2503" i="1"/>
  <c r="Z2502" i="1"/>
  <c r="W2502" i="1"/>
  <c r="V2502" i="1"/>
  <c r="U2502" i="1"/>
  <c r="R2502" i="1"/>
  <c r="P2502" i="1"/>
  <c r="K2502" i="1"/>
  <c r="Z2501" i="1"/>
  <c r="W2501" i="1"/>
  <c r="V2501" i="1"/>
  <c r="U2501" i="1"/>
  <c r="R2501" i="1"/>
  <c r="P2501" i="1"/>
  <c r="K2501" i="1"/>
  <c r="Z2500" i="1"/>
  <c r="W2500" i="1"/>
  <c r="V2500" i="1"/>
  <c r="U2500" i="1"/>
  <c r="R2500" i="1"/>
  <c r="P2500" i="1"/>
  <c r="K2500" i="1"/>
  <c r="Z2499" i="1"/>
  <c r="W2499" i="1"/>
  <c r="V2499" i="1"/>
  <c r="U2499" i="1"/>
  <c r="R2499" i="1"/>
  <c r="P2499" i="1"/>
  <c r="K2499" i="1"/>
  <c r="Z2498" i="1"/>
  <c r="W2498" i="1"/>
  <c r="V2498" i="1"/>
  <c r="U2498" i="1"/>
  <c r="R2498" i="1"/>
  <c r="P2498" i="1"/>
  <c r="K2498" i="1"/>
  <c r="Z2497" i="1"/>
  <c r="W2497" i="1"/>
  <c r="V2497" i="1"/>
  <c r="U2497" i="1"/>
  <c r="R2497" i="1"/>
  <c r="P2497" i="1"/>
  <c r="K2497" i="1"/>
  <c r="Z2496" i="1"/>
  <c r="W2496" i="1"/>
  <c r="V2496" i="1"/>
  <c r="U2496" i="1"/>
  <c r="R2496" i="1"/>
  <c r="P2496" i="1"/>
  <c r="K2496" i="1"/>
  <c r="Z2495" i="1"/>
  <c r="W2495" i="1"/>
  <c r="V2495" i="1"/>
  <c r="U2495" i="1"/>
  <c r="R2495" i="1"/>
  <c r="P2495" i="1"/>
  <c r="K2495" i="1"/>
  <c r="Z2494" i="1"/>
  <c r="W2494" i="1"/>
  <c r="V2494" i="1"/>
  <c r="U2494" i="1"/>
  <c r="R2494" i="1"/>
  <c r="P2494" i="1"/>
  <c r="K2494" i="1"/>
  <c r="Z2493" i="1"/>
  <c r="W2493" i="1"/>
  <c r="V2493" i="1"/>
  <c r="U2493" i="1"/>
  <c r="R2493" i="1"/>
  <c r="P2493" i="1"/>
  <c r="K2493" i="1"/>
  <c r="Z2492" i="1"/>
  <c r="W2492" i="1"/>
  <c r="V2492" i="1"/>
  <c r="U2492" i="1"/>
  <c r="R2492" i="1"/>
  <c r="P2492" i="1"/>
  <c r="K2492" i="1"/>
  <c r="Z2491" i="1"/>
  <c r="W2491" i="1"/>
  <c r="V2491" i="1"/>
  <c r="U2491" i="1"/>
  <c r="R2491" i="1"/>
  <c r="P2491" i="1"/>
  <c r="K2491" i="1"/>
  <c r="Z2490" i="1"/>
  <c r="W2490" i="1"/>
  <c r="V2490" i="1"/>
  <c r="U2490" i="1"/>
  <c r="R2490" i="1"/>
  <c r="P2490" i="1"/>
  <c r="K2490" i="1"/>
  <c r="Z2489" i="1"/>
  <c r="W2489" i="1"/>
  <c r="V2489" i="1"/>
  <c r="U2489" i="1"/>
  <c r="R2489" i="1"/>
  <c r="P2489" i="1"/>
  <c r="K2489" i="1"/>
  <c r="Z2488" i="1"/>
  <c r="W2488" i="1"/>
  <c r="V2488" i="1"/>
  <c r="U2488" i="1"/>
  <c r="R2488" i="1"/>
  <c r="P2488" i="1"/>
  <c r="K2488" i="1"/>
  <c r="Z2487" i="1"/>
  <c r="W2487" i="1"/>
  <c r="V2487" i="1"/>
  <c r="U2487" i="1"/>
  <c r="R2487" i="1"/>
  <c r="P2487" i="1"/>
  <c r="K2487" i="1"/>
  <c r="Z2486" i="1"/>
  <c r="W2486" i="1"/>
  <c r="V2486" i="1"/>
  <c r="U2486" i="1"/>
  <c r="R2486" i="1"/>
  <c r="P2486" i="1"/>
  <c r="K2486" i="1"/>
  <c r="Z2485" i="1"/>
  <c r="W2485" i="1"/>
  <c r="V2485" i="1"/>
  <c r="U2485" i="1"/>
  <c r="R2485" i="1"/>
  <c r="P2485" i="1"/>
  <c r="K2485" i="1"/>
  <c r="Z2484" i="1"/>
  <c r="W2484" i="1"/>
  <c r="V2484" i="1"/>
  <c r="U2484" i="1"/>
  <c r="R2484" i="1"/>
  <c r="P2484" i="1"/>
  <c r="K2484" i="1"/>
  <c r="Z2483" i="1"/>
  <c r="W2483" i="1"/>
  <c r="V2483" i="1"/>
  <c r="U2483" i="1"/>
  <c r="R2483" i="1"/>
  <c r="P2483" i="1"/>
  <c r="K2483" i="1"/>
  <c r="Z2482" i="1"/>
  <c r="W2482" i="1"/>
  <c r="V2482" i="1"/>
  <c r="U2482" i="1"/>
  <c r="R2482" i="1"/>
  <c r="P2482" i="1"/>
  <c r="K2482" i="1"/>
  <c r="Z2481" i="1"/>
  <c r="W2481" i="1"/>
  <c r="V2481" i="1"/>
  <c r="U2481" i="1"/>
  <c r="R2481" i="1"/>
  <c r="P2481" i="1"/>
  <c r="K2481" i="1"/>
  <c r="Z2480" i="1"/>
  <c r="W2480" i="1"/>
  <c r="V2480" i="1"/>
  <c r="U2480" i="1"/>
  <c r="R2480" i="1"/>
  <c r="P2480" i="1"/>
  <c r="K2480" i="1"/>
  <c r="Z2479" i="1"/>
  <c r="W2479" i="1"/>
  <c r="V2479" i="1"/>
  <c r="U2479" i="1"/>
  <c r="R2479" i="1"/>
  <c r="P2479" i="1"/>
  <c r="K2479" i="1"/>
  <c r="Z2478" i="1"/>
  <c r="W2478" i="1"/>
  <c r="V2478" i="1"/>
  <c r="U2478" i="1"/>
  <c r="R2478" i="1"/>
  <c r="P2478" i="1"/>
  <c r="K2478" i="1"/>
  <c r="Z2477" i="1"/>
  <c r="W2477" i="1"/>
  <c r="V2477" i="1"/>
  <c r="U2477" i="1"/>
  <c r="R2477" i="1"/>
  <c r="P2477" i="1"/>
  <c r="K2477" i="1"/>
  <c r="Z2476" i="1"/>
  <c r="W2476" i="1"/>
  <c r="V2476" i="1"/>
  <c r="U2476" i="1"/>
  <c r="R2476" i="1"/>
  <c r="P2476" i="1"/>
  <c r="K2476" i="1"/>
  <c r="Z2475" i="1"/>
  <c r="W2475" i="1"/>
  <c r="V2475" i="1"/>
  <c r="U2475" i="1"/>
  <c r="R2475" i="1"/>
  <c r="P2475" i="1"/>
  <c r="K2475" i="1"/>
  <c r="Z2474" i="1"/>
  <c r="W2474" i="1"/>
  <c r="V2474" i="1"/>
  <c r="U2474" i="1"/>
  <c r="R2474" i="1"/>
  <c r="P2474" i="1"/>
  <c r="K2474" i="1"/>
  <c r="Z2473" i="1"/>
  <c r="W2473" i="1"/>
  <c r="V2473" i="1"/>
  <c r="U2473" i="1"/>
  <c r="R2473" i="1"/>
  <c r="P2473" i="1"/>
  <c r="K2473" i="1"/>
  <c r="Z2472" i="1"/>
  <c r="W2472" i="1"/>
  <c r="V2472" i="1"/>
  <c r="U2472" i="1"/>
  <c r="R2472" i="1"/>
  <c r="P2472" i="1"/>
  <c r="K2472" i="1"/>
  <c r="Z2471" i="1"/>
  <c r="W2471" i="1"/>
  <c r="V2471" i="1"/>
  <c r="U2471" i="1"/>
  <c r="R2471" i="1"/>
  <c r="P2471" i="1"/>
  <c r="K2471" i="1"/>
  <c r="Z2470" i="1"/>
  <c r="W2470" i="1"/>
  <c r="V2470" i="1"/>
  <c r="U2470" i="1"/>
  <c r="R2470" i="1"/>
  <c r="P2470" i="1"/>
  <c r="K2470" i="1"/>
  <c r="Z2469" i="1"/>
  <c r="W2469" i="1"/>
  <c r="V2469" i="1"/>
  <c r="U2469" i="1"/>
  <c r="R2469" i="1"/>
  <c r="P2469" i="1"/>
  <c r="K2469" i="1"/>
  <c r="Z2468" i="1"/>
  <c r="W2468" i="1"/>
  <c r="V2468" i="1"/>
  <c r="U2468" i="1"/>
  <c r="R2468" i="1"/>
  <c r="P2468" i="1"/>
  <c r="K2468" i="1"/>
  <c r="Z2467" i="1"/>
  <c r="W2467" i="1"/>
  <c r="V2467" i="1"/>
  <c r="U2467" i="1"/>
  <c r="R2467" i="1"/>
  <c r="P2467" i="1"/>
  <c r="K2467" i="1"/>
  <c r="Z2466" i="1"/>
  <c r="W2466" i="1"/>
  <c r="V2466" i="1"/>
  <c r="U2466" i="1"/>
  <c r="R2466" i="1"/>
  <c r="P2466" i="1"/>
  <c r="K2466" i="1"/>
  <c r="Z2465" i="1"/>
  <c r="W2465" i="1"/>
  <c r="V2465" i="1"/>
  <c r="U2465" i="1"/>
  <c r="R2465" i="1"/>
  <c r="P2465" i="1"/>
  <c r="K2465" i="1"/>
  <c r="Z2464" i="1"/>
  <c r="W2464" i="1"/>
  <c r="V2464" i="1"/>
  <c r="U2464" i="1"/>
  <c r="R2464" i="1"/>
  <c r="P2464" i="1"/>
  <c r="K2464" i="1"/>
  <c r="Z2463" i="1"/>
  <c r="W2463" i="1"/>
  <c r="V2463" i="1"/>
  <c r="U2463" i="1"/>
  <c r="R2463" i="1"/>
  <c r="P2463" i="1"/>
  <c r="K2463" i="1"/>
  <c r="Z2462" i="1"/>
  <c r="W2462" i="1"/>
  <c r="V2462" i="1"/>
  <c r="U2462" i="1"/>
  <c r="R2462" i="1"/>
  <c r="P2462" i="1"/>
  <c r="K2462" i="1"/>
  <c r="Z2461" i="1"/>
  <c r="W2461" i="1"/>
  <c r="V2461" i="1"/>
  <c r="U2461" i="1"/>
  <c r="R2461" i="1"/>
  <c r="P2461" i="1"/>
  <c r="K2461" i="1"/>
  <c r="Z2460" i="1"/>
  <c r="W2460" i="1"/>
  <c r="V2460" i="1"/>
  <c r="U2460" i="1"/>
  <c r="R2460" i="1"/>
  <c r="P2460" i="1"/>
  <c r="K2460" i="1"/>
  <c r="Z2459" i="1"/>
  <c r="W2459" i="1"/>
  <c r="V2459" i="1"/>
  <c r="U2459" i="1"/>
  <c r="R2459" i="1"/>
  <c r="P2459" i="1"/>
  <c r="K2459" i="1"/>
  <c r="Z2458" i="1"/>
  <c r="W2458" i="1"/>
  <c r="V2458" i="1"/>
  <c r="U2458" i="1"/>
  <c r="R2458" i="1"/>
  <c r="P2458" i="1"/>
  <c r="K2458" i="1"/>
  <c r="Z2457" i="1"/>
  <c r="W2457" i="1"/>
  <c r="V2457" i="1"/>
  <c r="U2457" i="1"/>
  <c r="R2457" i="1"/>
  <c r="P2457" i="1"/>
  <c r="K2457" i="1"/>
  <c r="Z2456" i="1"/>
  <c r="W2456" i="1"/>
  <c r="V2456" i="1"/>
  <c r="U2456" i="1"/>
  <c r="R2456" i="1"/>
  <c r="P2456" i="1"/>
  <c r="K2456" i="1"/>
  <c r="Z2455" i="1"/>
  <c r="W2455" i="1"/>
  <c r="V2455" i="1"/>
  <c r="U2455" i="1"/>
  <c r="R2455" i="1"/>
  <c r="P2455" i="1"/>
  <c r="K2455" i="1"/>
  <c r="Z2454" i="1"/>
  <c r="W2454" i="1"/>
  <c r="V2454" i="1"/>
  <c r="U2454" i="1"/>
  <c r="R2454" i="1"/>
  <c r="P2454" i="1"/>
  <c r="K2454" i="1"/>
  <c r="Z2453" i="1"/>
  <c r="W2453" i="1"/>
  <c r="V2453" i="1"/>
  <c r="U2453" i="1"/>
  <c r="R2453" i="1"/>
  <c r="P2453" i="1"/>
  <c r="K2453" i="1"/>
  <c r="Z2452" i="1"/>
  <c r="W2452" i="1"/>
  <c r="V2452" i="1"/>
  <c r="U2452" i="1"/>
  <c r="R2452" i="1"/>
  <c r="P2452" i="1"/>
  <c r="K2452" i="1"/>
  <c r="Z2451" i="1"/>
  <c r="W2451" i="1"/>
  <c r="V2451" i="1"/>
  <c r="U2451" i="1"/>
  <c r="R2451" i="1"/>
  <c r="P2451" i="1"/>
  <c r="K2451" i="1"/>
  <c r="Z2450" i="1"/>
  <c r="W2450" i="1"/>
  <c r="V2450" i="1"/>
  <c r="U2450" i="1"/>
  <c r="R2450" i="1"/>
  <c r="P2450" i="1"/>
  <c r="K2450" i="1"/>
  <c r="Z2449" i="1"/>
  <c r="W2449" i="1"/>
  <c r="V2449" i="1"/>
  <c r="U2449" i="1"/>
  <c r="R2449" i="1"/>
  <c r="P2449" i="1"/>
  <c r="K2449" i="1"/>
  <c r="Z2448" i="1"/>
  <c r="W2448" i="1"/>
  <c r="V2448" i="1"/>
  <c r="U2448" i="1"/>
  <c r="R2448" i="1"/>
  <c r="P2448" i="1"/>
  <c r="K2448" i="1"/>
  <c r="Z2447" i="1"/>
  <c r="W2447" i="1"/>
  <c r="V2447" i="1"/>
  <c r="U2447" i="1"/>
  <c r="R2447" i="1"/>
  <c r="P2447" i="1"/>
  <c r="K2447" i="1"/>
  <c r="Z2446" i="1"/>
  <c r="W2446" i="1"/>
  <c r="V2446" i="1"/>
  <c r="U2446" i="1"/>
  <c r="R2446" i="1"/>
  <c r="P2446" i="1"/>
  <c r="K2446" i="1"/>
  <c r="Z2445" i="1"/>
  <c r="W2445" i="1"/>
  <c r="V2445" i="1"/>
  <c r="U2445" i="1"/>
  <c r="R2445" i="1"/>
  <c r="P2445" i="1"/>
  <c r="K2445" i="1"/>
  <c r="Z2444" i="1"/>
  <c r="W2444" i="1"/>
  <c r="V2444" i="1"/>
  <c r="U2444" i="1"/>
  <c r="R2444" i="1"/>
  <c r="P2444" i="1"/>
  <c r="K2444" i="1"/>
  <c r="Z2443" i="1"/>
  <c r="W2443" i="1"/>
  <c r="V2443" i="1"/>
  <c r="U2443" i="1"/>
  <c r="R2443" i="1"/>
  <c r="P2443" i="1"/>
  <c r="K2443" i="1"/>
  <c r="Z2442" i="1"/>
  <c r="W2442" i="1"/>
  <c r="V2442" i="1"/>
  <c r="U2442" i="1"/>
  <c r="R2442" i="1"/>
  <c r="P2442" i="1"/>
  <c r="K2442" i="1"/>
  <c r="Z2441" i="1"/>
  <c r="W2441" i="1"/>
  <c r="V2441" i="1"/>
  <c r="U2441" i="1"/>
  <c r="R2441" i="1"/>
  <c r="P2441" i="1"/>
  <c r="K2441" i="1"/>
  <c r="Z2440" i="1"/>
  <c r="W2440" i="1"/>
  <c r="V2440" i="1"/>
  <c r="U2440" i="1"/>
  <c r="R2440" i="1"/>
  <c r="P2440" i="1"/>
  <c r="K2440" i="1"/>
  <c r="Z2439" i="1"/>
  <c r="W2439" i="1"/>
  <c r="V2439" i="1"/>
  <c r="U2439" i="1"/>
  <c r="R2439" i="1"/>
  <c r="P2439" i="1"/>
  <c r="K2439" i="1"/>
  <c r="Z2438" i="1"/>
  <c r="W2438" i="1"/>
  <c r="V2438" i="1"/>
  <c r="U2438" i="1"/>
  <c r="R2438" i="1"/>
  <c r="P2438" i="1"/>
  <c r="K2438" i="1"/>
  <c r="Z2437" i="1"/>
  <c r="W2437" i="1"/>
  <c r="V2437" i="1"/>
  <c r="U2437" i="1"/>
  <c r="R2437" i="1"/>
  <c r="P2437" i="1"/>
  <c r="K2437" i="1"/>
  <c r="Z2436" i="1"/>
  <c r="W2436" i="1"/>
  <c r="V2436" i="1"/>
  <c r="U2436" i="1"/>
  <c r="R2436" i="1"/>
  <c r="P2436" i="1"/>
  <c r="K2436" i="1"/>
  <c r="Z2435" i="1"/>
  <c r="W2435" i="1"/>
  <c r="V2435" i="1"/>
  <c r="U2435" i="1"/>
  <c r="R2435" i="1"/>
  <c r="P2435" i="1"/>
  <c r="K2435" i="1"/>
  <c r="Z2434" i="1"/>
  <c r="W2434" i="1"/>
  <c r="V2434" i="1"/>
  <c r="U2434" i="1"/>
  <c r="R2434" i="1"/>
  <c r="P2434" i="1"/>
  <c r="K2434" i="1"/>
  <c r="Z2433" i="1"/>
  <c r="W2433" i="1"/>
  <c r="V2433" i="1"/>
  <c r="U2433" i="1"/>
  <c r="R2433" i="1"/>
  <c r="P2433" i="1"/>
  <c r="K2433" i="1"/>
  <c r="Z2432" i="1"/>
  <c r="W2432" i="1"/>
  <c r="V2432" i="1"/>
  <c r="U2432" i="1"/>
  <c r="R2432" i="1"/>
  <c r="P2432" i="1"/>
  <c r="K2432" i="1"/>
  <c r="Z2431" i="1"/>
  <c r="W2431" i="1"/>
  <c r="V2431" i="1"/>
  <c r="U2431" i="1"/>
  <c r="R2431" i="1"/>
  <c r="P2431" i="1"/>
  <c r="K2431" i="1"/>
  <c r="Z2430" i="1"/>
  <c r="W2430" i="1"/>
  <c r="V2430" i="1"/>
  <c r="U2430" i="1"/>
  <c r="R2430" i="1"/>
  <c r="P2430" i="1"/>
  <c r="K2430" i="1"/>
  <c r="Z2429" i="1"/>
  <c r="W2429" i="1"/>
  <c r="V2429" i="1"/>
  <c r="U2429" i="1"/>
  <c r="R2429" i="1"/>
  <c r="P2429" i="1"/>
  <c r="K2429" i="1"/>
  <c r="Z2428" i="1"/>
  <c r="W2428" i="1"/>
  <c r="V2428" i="1"/>
  <c r="U2428" i="1"/>
  <c r="R2428" i="1"/>
  <c r="P2428" i="1"/>
  <c r="K2428" i="1"/>
  <c r="Z2427" i="1"/>
  <c r="W2427" i="1"/>
  <c r="V2427" i="1"/>
  <c r="U2427" i="1"/>
  <c r="R2427" i="1"/>
  <c r="P2427" i="1"/>
  <c r="K2427" i="1"/>
  <c r="Z2426" i="1"/>
  <c r="W2426" i="1"/>
  <c r="V2426" i="1"/>
  <c r="U2426" i="1"/>
  <c r="R2426" i="1"/>
  <c r="P2426" i="1"/>
  <c r="K2426" i="1"/>
  <c r="Z2425" i="1"/>
  <c r="W2425" i="1"/>
  <c r="V2425" i="1"/>
  <c r="U2425" i="1"/>
  <c r="R2425" i="1"/>
  <c r="P2425" i="1"/>
  <c r="K2425" i="1"/>
  <c r="Z2424" i="1"/>
  <c r="W2424" i="1"/>
  <c r="V2424" i="1"/>
  <c r="U2424" i="1"/>
  <c r="R2424" i="1"/>
  <c r="P2424" i="1"/>
  <c r="K2424" i="1"/>
  <c r="Z2423" i="1"/>
  <c r="W2423" i="1"/>
  <c r="V2423" i="1"/>
  <c r="U2423" i="1"/>
  <c r="R2423" i="1"/>
  <c r="P2423" i="1"/>
  <c r="K2423" i="1"/>
  <c r="Z2422" i="1"/>
  <c r="W2422" i="1"/>
  <c r="V2422" i="1"/>
  <c r="U2422" i="1"/>
  <c r="R2422" i="1"/>
  <c r="P2422" i="1"/>
  <c r="K2422" i="1"/>
  <c r="Z2421" i="1"/>
  <c r="W2421" i="1"/>
  <c r="V2421" i="1"/>
  <c r="U2421" i="1"/>
  <c r="R2421" i="1"/>
  <c r="P2421" i="1"/>
  <c r="K2421" i="1"/>
  <c r="Z2420" i="1"/>
  <c r="W2420" i="1"/>
  <c r="V2420" i="1"/>
  <c r="U2420" i="1"/>
  <c r="R2420" i="1"/>
  <c r="P2420" i="1"/>
  <c r="K2420" i="1"/>
  <c r="Z2419" i="1"/>
  <c r="W2419" i="1"/>
  <c r="V2419" i="1"/>
  <c r="U2419" i="1"/>
  <c r="R2419" i="1"/>
  <c r="P2419" i="1"/>
  <c r="K2419" i="1"/>
  <c r="Z2418" i="1"/>
  <c r="W2418" i="1"/>
  <c r="V2418" i="1"/>
  <c r="U2418" i="1"/>
  <c r="R2418" i="1"/>
  <c r="P2418" i="1"/>
  <c r="K2418" i="1"/>
  <c r="Z2417" i="1"/>
  <c r="W2417" i="1"/>
  <c r="V2417" i="1"/>
  <c r="U2417" i="1"/>
  <c r="R2417" i="1"/>
  <c r="P2417" i="1"/>
  <c r="K2417" i="1"/>
  <c r="Z2416" i="1"/>
  <c r="W2416" i="1"/>
  <c r="V2416" i="1"/>
  <c r="U2416" i="1"/>
  <c r="R2416" i="1"/>
  <c r="P2416" i="1"/>
  <c r="K2416" i="1"/>
  <c r="Z2415" i="1"/>
  <c r="W2415" i="1"/>
  <c r="V2415" i="1"/>
  <c r="U2415" i="1"/>
  <c r="R2415" i="1"/>
  <c r="P2415" i="1"/>
  <c r="K2415" i="1"/>
  <c r="Z2414" i="1"/>
  <c r="W2414" i="1"/>
  <c r="V2414" i="1"/>
  <c r="U2414" i="1"/>
  <c r="R2414" i="1"/>
  <c r="P2414" i="1"/>
  <c r="K2414" i="1"/>
  <c r="Z2413" i="1"/>
  <c r="W2413" i="1"/>
  <c r="V2413" i="1"/>
  <c r="U2413" i="1"/>
  <c r="R2413" i="1"/>
  <c r="P2413" i="1"/>
  <c r="K2413" i="1"/>
  <c r="Z2412" i="1"/>
  <c r="W2412" i="1"/>
  <c r="V2412" i="1"/>
  <c r="U2412" i="1"/>
  <c r="R2412" i="1"/>
  <c r="P2412" i="1"/>
  <c r="K2412" i="1"/>
  <c r="Z2411" i="1"/>
  <c r="W2411" i="1"/>
  <c r="V2411" i="1"/>
  <c r="U2411" i="1"/>
  <c r="R2411" i="1"/>
  <c r="P2411" i="1"/>
  <c r="K2411" i="1"/>
  <c r="Z2410" i="1"/>
  <c r="W2410" i="1"/>
  <c r="V2410" i="1"/>
  <c r="U2410" i="1"/>
  <c r="R2410" i="1"/>
  <c r="P2410" i="1"/>
  <c r="K2410" i="1"/>
  <c r="Z2409" i="1"/>
  <c r="W2409" i="1"/>
  <c r="V2409" i="1"/>
  <c r="U2409" i="1"/>
  <c r="R2409" i="1"/>
  <c r="P2409" i="1"/>
  <c r="K2409" i="1"/>
  <c r="Z2408" i="1"/>
  <c r="W2408" i="1"/>
  <c r="V2408" i="1"/>
  <c r="U2408" i="1"/>
  <c r="R2408" i="1"/>
  <c r="P2408" i="1"/>
  <c r="K2408" i="1"/>
  <c r="Z2407" i="1"/>
  <c r="W2407" i="1"/>
  <c r="V2407" i="1"/>
  <c r="U2407" i="1"/>
  <c r="R2407" i="1"/>
  <c r="P2407" i="1"/>
  <c r="K2407" i="1"/>
  <c r="Z2406" i="1"/>
  <c r="W2406" i="1"/>
  <c r="V2406" i="1"/>
  <c r="U2406" i="1"/>
  <c r="R2406" i="1"/>
  <c r="P2406" i="1"/>
  <c r="K2406" i="1"/>
  <c r="Z2405" i="1"/>
  <c r="W2405" i="1"/>
  <c r="V2405" i="1"/>
  <c r="U2405" i="1"/>
  <c r="R2405" i="1"/>
  <c r="P2405" i="1"/>
  <c r="K2405" i="1"/>
  <c r="Z2404" i="1"/>
  <c r="W2404" i="1"/>
  <c r="V2404" i="1"/>
  <c r="U2404" i="1"/>
  <c r="R2404" i="1"/>
  <c r="P2404" i="1"/>
  <c r="K2404" i="1"/>
  <c r="Z2403" i="1"/>
  <c r="W2403" i="1"/>
  <c r="V2403" i="1"/>
  <c r="U2403" i="1"/>
  <c r="R2403" i="1"/>
  <c r="P2403" i="1"/>
  <c r="K2403" i="1"/>
  <c r="Z2402" i="1"/>
  <c r="W2402" i="1"/>
  <c r="V2402" i="1"/>
  <c r="U2402" i="1"/>
  <c r="R2402" i="1"/>
  <c r="P2402" i="1"/>
  <c r="K2402" i="1"/>
  <c r="Z2401" i="1"/>
  <c r="W2401" i="1"/>
  <c r="V2401" i="1"/>
  <c r="U2401" i="1"/>
  <c r="R2401" i="1"/>
  <c r="P2401" i="1"/>
  <c r="K2401" i="1"/>
  <c r="Z2400" i="1"/>
  <c r="W2400" i="1"/>
  <c r="V2400" i="1"/>
  <c r="U2400" i="1"/>
  <c r="R2400" i="1"/>
  <c r="P2400" i="1"/>
  <c r="K2400" i="1"/>
  <c r="Z2399" i="1"/>
  <c r="W2399" i="1"/>
  <c r="V2399" i="1"/>
  <c r="U2399" i="1"/>
  <c r="R2399" i="1"/>
  <c r="P2399" i="1"/>
  <c r="K2399" i="1"/>
  <c r="Z2398" i="1"/>
  <c r="W2398" i="1"/>
  <c r="V2398" i="1"/>
  <c r="U2398" i="1"/>
  <c r="R2398" i="1"/>
  <c r="P2398" i="1"/>
  <c r="K2398" i="1"/>
  <c r="Z2397" i="1"/>
  <c r="W2397" i="1"/>
  <c r="V2397" i="1"/>
  <c r="U2397" i="1"/>
  <c r="R2397" i="1"/>
  <c r="P2397" i="1"/>
  <c r="K2397" i="1"/>
  <c r="Z2396" i="1"/>
  <c r="W2396" i="1"/>
  <c r="V2396" i="1"/>
  <c r="U2396" i="1"/>
  <c r="R2396" i="1"/>
  <c r="P2396" i="1"/>
  <c r="K2396" i="1"/>
  <c r="Z2395" i="1"/>
  <c r="W2395" i="1"/>
  <c r="V2395" i="1"/>
  <c r="U2395" i="1"/>
  <c r="R2395" i="1"/>
  <c r="P2395" i="1"/>
  <c r="K2395" i="1"/>
  <c r="Z2394" i="1"/>
  <c r="W2394" i="1"/>
  <c r="V2394" i="1"/>
  <c r="U2394" i="1"/>
  <c r="R2394" i="1"/>
  <c r="P2394" i="1"/>
  <c r="K2394" i="1"/>
  <c r="Z2393" i="1"/>
  <c r="W2393" i="1"/>
  <c r="V2393" i="1"/>
  <c r="U2393" i="1"/>
  <c r="R2393" i="1"/>
  <c r="P2393" i="1"/>
  <c r="K2393" i="1"/>
  <c r="Z2392" i="1"/>
  <c r="W2392" i="1"/>
  <c r="V2392" i="1"/>
  <c r="U2392" i="1"/>
  <c r="R2392" i="1"/>
  <c r="P2392" i="1"/>
  <c r="K2392" i="1"/>
  <c r="Z2391" i="1"/>
  <c r="W2391" i="1"/>
  <c r="V2391" i="1"/>
  <c r="U2391" i="1"/>
  <c r="R2391" i="1"/>
  <c r="P2391" i="1"/>
  <c r="K2391" i="1"/>
  <c r="Z2390" i="1"/>
  <c r="W2390" i="1"/>
  <c r="V2390" i="1"/>
  <c r="U2390" i="1"/>
  <c r="R2390" i="1"/>
  <c r="P2390" i="1"/>
  <c r="K2390" i="1"/>
  <c r="Z2389" i="1"/>
  <c r="W2389" i="1"/>
  <c r="V2389" i="1"/>
  <c r="U2389" i="1"/>
  <c r="R2389" i="1"/>
  <c r="P2389" i="1"/>
  <c r="K2389" i="1"/>
  <c r="Z2388" i="1"/>
  <c r="W2388" i="1"/>
  <c r="V2388" i="1"/>
  <c r="U2388" i="1"/>
  <c r="R2388" i="1"/>
  <c r="P2388" i="1"/>
  <c r="K2388" i="1"/>
  <c r="Z2387" i="1"/>
  <c r="W2387" i="1"/>
  <c r="V2387" i="1"/>
  <c r="U2387" i="1"/>
  <c r="R2387" i="1"/>
  <c r="P2387" i="1"/>
  <c r="K2387" i="1"/>
  <c r="Z2386" i="1"/>
  <c r="W2386" i="1"/>
  <c r="V2386" i="1"/>
  <c r="U2386" i="1"/>
  <c r="R2386" i="1"/>
  <c r="P2386" i="1"/>
  <c r="K2386" i="1"/>
  <c r="Z2385" i="1"/>
  <c r="W2385" i="1"/>
  <c r="V2385" i="1"/>
  <c r="U2385" i="1"/>
  <c r="R2385" i="1"/>
  <c r="P2385" i="1"/>
  <c r="K2385" i="1"/>
  <c r="Z2384" i="1"/>
  <c r="W2384" i="1"/>
  <c r="V2384" i="1"/>
  <c r="U2384" i="1"/>
  <c r="R2384" i="1"/>
  <c r="P2384" i="1"/>
  <c r="K2384" i="1"/>
  <c r="Z2383" i="1"/>
  <c r="W2383" i="1"/>
  <c r="V2383" i="1"/>
  <c r="U2383" i="1"/>
  <c r="R2383" i="1"/>
  <c r="P2383" i="1"/>
  <c r="K2383" i="1"/>
  <c r="Z2382" i="1"/>
  <c r="W2382" i="1"/>
  <c r="V2382" i="1"/>
  <c r="U2382" i="1"/>
  <c r="R2382" i="1"/>
  <c r="P2382" i="1"/>
  <c r="K2382" i="1"/>
  <c r="Z2381" i="1"/>
  <c r="W2381" i="1"/>
  <c r="V2381" i="1"/>
  <c r="U2381" i="1"/>
  <c r="R2381" i="1"/>
  <c r="P2381" i="1"/>
  <c r="K2381" i="1"/>
  <c r="Z2380" i="1"/>
  <c r="W2380" i="1"/>
  <c r="V2380" i="1"/>
  <c r="U2380" i="1"/>
  <c r="R2380" i="1"/>
  <c r="P2380" i="1"/>
  <c r="K2380" i="1"/>
  <c r="Z2379" i="1"/>
  <c r="W2379" i="1"/>
  <c r="V2379" i="1"/>
  <c r="U2379" i="1"/>
  <c r="R2379" i="1"/>
  <c r="P2379" i="1"/>
  <c r="K2379" i="1"/>
  <c r="Z2378" i="1"/>
  <c r="W2378" i="1"/>
  <c r="V2378" i="1"/>
  <c r="U2378" i="1"/>
  <c r="R2378" i="1"/>
  <c r="P2378" i="1"/>
  <c r="K2378" i="1"/>
  <c r="Z2377" i="1"/>
  <c r="W2377" i="1"/>
  <c r="V2377" i="1"/>
  <c r="U2377" i="1"/>
  <c r="R2377" i="1"/>
  <c r="P2377" i="1"/>
  <c r="K2377" i="1"/>
  <c r="Z2376" i="1"/>
  <c r="W2376" i="1"/>
  <c r="V2376" i="1"/>
  <c r="U2376" i="1"/>
  <c r="R2376" i="1"/>
  <c r="P2376" i="1"/>
  <c r="K2376" i="1"/>
  <c r="Z2375" i="1"/>
  <c r="W2375" i="1"/>
  <c r="V2375" i="1"/>
  <c r="U2375" i="1"/>
  <c r="R2375" i="1"/>
  <c r="P2375" i="1"/>
  <c r="K2375" i="1"/>
  <c r="Z2374" i="1"/>
  <c r="W2374" i="1"/>
  <c r="V2374" i="1"/>
  <c r="U2374" i="1"/>
  <c r="R2374" i="1"/>
  <c r="P2374" i="1"/>
  <c r="K2374" i="1"/>
  <c r="Z2373" i="1"/>
  <c r="W2373" i="1"/>
  <c r="V2373" i="1"/>
  <c r="U2373" i="1"/>
  <c r="R2373" i="1"/>
  <c r="P2373" i="1"/>
  <c r="K2373" i="1"/>
  <c r="Z2372" i="1"/>
  <c r="W2372" i="1"/>
  <c r="V2372" i="1"/>
  <c r="U2372" i="1"/>
  <c r="R2372" i="1"/>
  <c r="P2372" i="1"/>
  <c r="K2372" i="1"/>
  <c r="Z2371" i="1"/>
  <c r="W2371" i="1"/>
  <c r="V2371" i="1"/>
  <c r="U2371" i="1"/>
  <c r="R2371" i="1"/>
  <c r="P2371" i="1"/>
  <c r="K2371" i="1"/>
  <c r="Z2370" i="1"/>
  <c r="W2370" i="1"/>
  <c r="V2370" i="1"/>
  <c r="U2370" i="1"/>
  <c r="R2370" i="1"/>
  <c r="P2370" i="1"/>
  <c r="K2370" i="1"/>
  <c r="Z2369" i="1"/>
  <c r="W2369" i="1"/>
  <c r="V2369" i="1"/>
  <c r="U2369" i="1"/>
  <c r="R2369" i="1"/>
  <c r="P2369" i="1"/>
  <c r="K2369" i="1"/>
  <c r="Z2368" i="1"/>
  <c r="W2368" i="1"/>
  <c r="V2368" i="1"/>
  <c r="U2368" i="1"/>
  <c r="R2368" i="1"/>
  <c r="P2368" i="1"/>
  <c r="K2368" i="1"/>
  <c r="Z2367" i="1"/>
  <c r="W2367" i="1"/>
  <c r="V2367" i="1"/>
  <c r="U2367" i="1"/>
  <c r="R2367" i="1"/>
  <c r="P2367" i="1"/>
  <c r="K2367" i="1"/>
  <c r="Z2366" i="1"/>
  <c r="W2366" i="1"/>
  <c r="V2366" i="1"/>
  <c r="U2366" i="1"/>
  <c r="R2366" i="1"/>
  <c r="P2366" i="1"/>
  <c r="K2366" i="1"/>
  <c r="Z2365" i="1"/>
  <c r="W2365" i="1"/>
  <c r="V2365" i="1"/>
  <c r="U2365" i="1"/>
  <c r="R2365" i="1"/>
  <c r="P2365" i="1"/>
  <c r="K2365" i="1"/>
  <c r="Z2364" i="1"/>
  <c r="W2364" i="1"/>
  <c r="V2364" i="1"/>
  <c r="U2364" i="1"/>
  <c r="R2364" i="1"/>
  <c r="P2364" i="1"/>
  <c r="K2364" i="1"/>
  <c r="Z2363" i="1"/>
  <c r="W2363" i="1"/>
  <c r="V2363" i="1"/>
  <c r="U2363" i="1"/>
  <c r="R2363" i="1"/>
  <c r="P2363" i="1"/>
  <c r="K2363" i="1"/>
  <c r="Z2362" i="1"/>
  <c r="W2362" i="1"/>
  <c r="V2362" i="1"/>
  <c r="U2362" i="1"/>
  <c r="R2362" i="1"/>
  <c r="P2362" i="1"/>
  <c r="K2362" i="1"/>
  <c r="Z2361" i="1"/>
  <c r="W2361" i="1"/>
  <c r="V2361" i="1"/>
  <c r="U2361" i="1"/>
  <c r="R2361" i="1"/>
  <c r="P2361" i="1"/>
  <c r="K2361" i="1"/>
  <c r="Z2360" i="1"/>
  <c r="W2360" i="1"/>
  <c r="V2360" i="1"/>
  <c r="U2360" i="1"/>
  <c r="R2360" i="1"/>
  <c r="P2360" i="1"/>
  <c r="K2360" i="1"/>
  <c r="Z2359" i="1"/>
  <c r="W2359" i="1"/>
  <c r="V2359" i="1"/>
  <c r="U2359" i="1"/>
  <c r="R2359" i="1"/>
  <c r="P2359" i="1"/>
  <c r="K2359" i="1"/>
  <c r="Z2358" i="1"/>
  <c r="W2358" i="1"/>
  <c r="V2358" i="1"/>
  <c r="U2358" i="1"/>
  <c r="R2358" i="1"/>
  <c r="P2358" i="1"/>
  <c r="K2358" i="1"/>
  <c r="Z2357" i="1"/>
  <c r="W2357" i="1"/>
  <c r="V2357" i="1"/>
  <c r="U2357" i="1"/>
  <c r="R2357" i="1"/>
  <c r="P2357" i="1"/>
  <c r="K2357" i="1"/>
  <c r="Z2356" i="1"/>
  <c r="W2356" i="1"/>
  <c r="V2356" i="1"/>
  <c r="U2356" i="1"/>
  <c r="R2356" i="1"/>
  <c r="P2356" i="1"/>
  <c r="K2356" i="1"/>
  <c r="Z2355" i="1"/>
  <c r="W2355" i="1"/>
  <c r="V2355" i="1"/>
  <c r="U2355" i="1"/>
  <c r="R2355" i="1"/>
  <c r="P2355" i="1"/>
  <c r="K2355" i="1"/>
  <c r="Z2354" i="1"/>
  <c r="W2354" i="1"/>
  <c r="V2354" i="1"/>
  <c r="U2354" i="1"/>
  <c r="R2354" i="1"/>
  <c r="P2354" i="1"/>
  <c r="K2354" i="1"/>
  <c r="Z2353" i="1"/>
  <c r="W2353" i="1"/>
  <c r="V2353" i="1"/>
  <c r="U2353" i="1"/>
  <c r="R2353" i="1"/>
  <c r="P2353" i="1"/>
  <c r="K2353" i="1"/>
  <c r="Z2352" i="1"/>
  <c r="W2352" i="1"/>
  <c r="V2352" i="1"/>
  <c r="U2352" i="1"/>
  <c r="R2352" i="1"/>
  <c r="P2352" i="1"/>
  <c r="K2352" i="1"/>
  <c r="Z2351" i="1"/>
  <c r="W2351" i="1"/>
  <c r="V2351" i="1"/>
  <c r="U2351" i="1"/>
  <c r="R2351" i="1"/>
  <c r="P2351" i="1"/>
  <c r="K2351" i="1"/>
  <c r="Z2350" i="1"/>
  <c r="W2350" i="1"/>
  <c r="V2350" i="1"/>
  <c r="U2350" i="1"/>
  <c r="R2350" i="1"/>
  <c r="P2350" i="1"/>
  <c r="K2350" i="1"/>
  <c r="Z2349" i="1"/>
  <c r="W2349" i="1"/>
  <c r="V2349" i="1"/>
  <c r="U2349" i="1"/>
  <c r="R2349" i="1"/>
  <c r="P2349" i="1"/>
  <c r="K2349" i="1"/>
  <c r="Z2348" i="1"/>
  <c r="W2348" i="1"/>
  <c r="V2348" i="1"/>
  <c r="U2348" i="1"/>
  <c r="R2348" i="1"/>
  <c r="P2348" i="1"/>
  <c r="K2348" i="1"/>
  <c r="Z2347" i="1"/>
  <c r="W2347" i="1"/>
  <c r="V2347" i="1"/>
  <c r="U2347" i="1"/>
  <c r="R2347" i="1"/>
  <c r="P2347" i="1"/>
  <c r="K2347" i="1"/>
  <c r="Z2346" i="1"/>
  <c r="W2346" i="1"/>
  <c r="V2346" i="1"/>
  <c r="U2346" i="1"/>
  <c r="R2346" i="1"/>
  <c r="P2346" i="1"/>
  <c r="K2346" i="1"/>
  <c r="Z2345" i="1"/>
  <c r="W2345" i="1"/>
  <c r="V2345" i="1"/>
  <c r="U2345" i="1"/>
  <c r="R2345" i="1"/>
  <c r="P2345" i="1"/>
  <c r="K2345" i="1"/>
  <c r="Z2344" i="1"/>
  <c r="W2344" i="1"/>
  <c r="V2344" i="1"/>
  <c r="U2344" i="1"/>
  <c r="R2344" i="1"/>
  <c r="P2344" i="1"/>
  <c r="K2344" i="1"/>
  <c r="Z2343" i="1"/>
  <c r="W2343" i="1"/>
  <c r="V2343" i="1"/>
  <c r="U2343" i="1"/>
  <c r="R2343" i="1"/>
  <c r="P2343" i="1"/>
  <c r="K2343" i="1"/>
  <c r="Z2342" i="1"/>
  <c r="W2342" i="1"/>
  <c r="V2342" i="1"/>
  <c r="U2342" i="1"/>
  <c r="R2342" i="1"/>
  <c r="P2342" i="1"/>
  <c r="K2342" i="1"/>
  <c r="Z2341" i="1"/>
  <c r="W2341" i="1"/>
  <c r="V2341" i="1"/>
  <c r="U2341" i="1"/>
  <c r="R2341" i="1"/>
  <c r="P2341" i="1"/>
  <c r="K2341" i="1"/>
  <c r="Z2340" i="1"/>
  <c r="W2340" i="1"/>
  <c r="V2340" i="1"/>
  <c r="U2340" i="1"/>
  <c r="R2340" i="1"/>
  <c r="P2340" i="1"/>
  <c r="K2340" i="1"/>
  <c r="Z2339" i="1"/>
  <c r="W2339" i="1"/>
  <c r="V2339" i="1"/>
  <c r="U2339" i="1"/>
  <c r="R2339" i="1"/>
  <c r="P2339" i="1"/>
  <c r="K2339" i="1"/>
  <c r="Z2338" i="1"/>
  <c r="W2338" i="1"/>
  <c r="V2338" i="1"/>
  <c r="U2338" i="1"/>
  <c r="R2338" i="1"/>
  <c r="P2338" i="1"/>
  <c r="K2338" i="1"/>
  <c r="Z2337" i="1"/>
  <c r="W2337" i="1"/>
  <c r="V2337" i="1"/>
  <c r="U2337" i="1"/>
  <c r="R2337" i="1"/>
  <c r="P2337" i="1"/>
  <c r="K2337" i="1"/>
  <c r="Z2336" i="1"/>
  <c r="W2336" i="1"/>
  <c r="V2336" i="1"/>
  <c r="U2336" i="1"/>
  <c r="R2336" i="1"/>
  <c r="P2336" i="1"/>
  <c r="K2336" i="1"/>
  <c r="Z2335" i="1"/>
  <c r="W2335" i="1"/>
  <c r="V2335" i="1"/>
  <c r="U2335" i="1"/>
  <c r="R2335" i="1"/>
  <c r="P2335" i="1"/>
  <c r="K2335" i="1"/>
  <c r="Z2334" i="1"/>
  <c r="W2334" i="1"/>
  <c r="V2334" i="1"/>
  <c r="U2334" i="1"/>
  <c r="R2334" i="1"/>
  <c r="P2334" i="1"/>
  <c r="K2334" i="1"/>
  <c r="Z2333" i="1"/>
  <c r="W2333" i="1"/>
  <c r="V2333" i="1"/>
  <c r="U2333" i="1"/>
  <c r="R2333" i="1"/>
  <c r="P2333" i="1"/>
  <c r="K2333" i="1"/>
  <c r="Z2332" i="1"/>
  <c r="W2332" i="1"/>
  <c r="V2332" i="1"/>
  <c r="U2332" i="1"/>
  <c r="R2332" i="1"/>
  <c r="P2332" i="1"/>
  <c r="K2332" i="1"/>
  <c r="Z2331" i="1"/>
  <c r="W2331" i="1"/>
  <c r="V2331" i="1"/>
  <c r="U2331" i="1"/>
  <c r="R2331" i="1"/>
  <c r="P2331" i="1"/>
  <c r="K2331" i="1"/>
  <c r="Z2330" i="1"/>
  <c r="W2330" i="1"/>
  <c r="V2330" i="1"/>
  <c r="U2330" i="1"/>
  <c r="R2330" i="1"/>
  <c r="P2330" i="1"/>
  <c r="K2330" i="1"/>
  <c r="Z2329" i="1"/>
  <c r="W2329" i="1"/>
  <c r="V2329" i="1"/>
  <c r="U2329" i="1"/>
  <c r="R2329" i="1"/>
  <c r="P2329" i="1"/>
  <c r="K2329" i="1"/>
  <c r="Z2328" i="1"/>
  <c r="W2328" i="1"/>
  <c r="V2328" i="1"/>
  <c r="U2328" i="1"/>
  <c r="R2328" i="1"/>
  <c r="P2328" i="1"/>
  <c r="K2328" i="1"/>
  <c r="Z2327" i="1"/>
  <c r="W2327" i="1"/>
  <c r="V2327" i="1"/>
  <c r="U2327" i="1"/>
  <c r="R2327" i="1"/>
  <c r="P2327" i="1"/>
  <c r="K2327" i="1"/>
  <c r="Z2326" i="1"/>
  <c r="W2326" i="1"/>
  <c r="V2326" i="1"/>
  <c r="U2326" i="1"/>
  <c r="R2326" i="1"/>
  <c r="P2326" i="1"/>
  <c r="K2326" i="1"/>
  <c r="Z2325" i="1"/>
  <c r="W2325" i="1"/>
  <c r="V2325" i="1"/>
  <c r="U2325" i="1"/>
  <c r="R2325" i="1"/>
  <c r="P2325" i="1"/>
  <c r="K2325" i="1"/>
  <c r="Z2324" i="1"/>
  <c r="W2324" i="1"/>
  <c r="V2324" i="1"/>
  <c r="U2324" i="1"/>
  <c r="R2324" i="1"/>
  <c r="P2324" i="1"/>
  <c r="K2324" i="1"/>
  <c r="Z2323" i="1"/>
  <c r="W2323" i="1"/>
  <c r="V2323" i="1"/>
  <c r="U2323" i="1"/>
  <c r="R2323" i="1"/>
  <c r="P2323" i="1"/>
  <c r="K2323" i="1"/>
  <c r="Z2322" i="1"/>
  <c r="W2322" i="1"/>
  <c r="V2322" i="1"/>
  <c r="U2322" i="1"/>
  <c r="R2322" i="1"/>
  <c r="P2322" i="1"/>
  <c r="K2322" i="1"/>
  <c r="Z2321" i="1"/>
  <c r="W2321" i="1"/>
  <c r="V2321" i="1"/>
  <c r="U2321" i="1"/>
  <c r="R2321" i="1"/>
  <c r="P2321" i="1"/>
  <c r="K2321" i="1"/>
  <c r="Z2320" i="1"/>
  <c r="W2320" i="1"/>
  <c r="V2320" i="1"/>
  <c r="U2320" i="1"/>
  <c r="R2320" i="1"/>
  <c r="P2320" i="1"/>
  <c r="K2320" i="1"/>
  <c r="Z2319" i="1"/>
  <c r="W2319" i="1"/>
  <c r="V2319" i="1"/>
  <c r="U2319" i="1"/>
  <c r="R2319" i="1"/>
  <c r="P2319" i="1"/>
  <c r="K2319" i="1"/>
  <c r="Z2318" i="1"/>
  <c r="W2318" i="1"/>
  <c r="V2318" i="1"/>
  <c r="U2318" i="1"/>
  <c r="R2318" i="1"/>
  <c r="P2318" i="1"/>
  <c r="K2318" i="1"/>
  <c r="Z2317" i="1"/>
  <c r="W2317" i="1"/>
  <c r="V2317" i="1"/>
  <c r="U2317" i="1"/>
  <c r="R2317" i="1"/>
  <c r="P2317" i="1"/>
  <c r="K2317" i="1"/>
  <c r="Z2316" i="1"/>
  <c r="W2316" i="1"/>
  <c r="V2316" i="1"/>
  <c r="U2316" i="1"/>
  <c r="R2316" i="1"/>
  <c r="P2316" i="1"/>
  <c r="K2316" i="1"/>
  <c r="Z2315" i="1"/>
  <c r="W2315" i="1"/>
  <c r="V2315" i="1"/>
  <c r="U2315" i="1"/>
  <c r="R2315" i="1"/>
  <c r="P2315" i="1"/>
  <c r="K2315" i="1"/>
  <c r="Z2314" i="1"/>
  <c r="W2314" i="1"/>
  <c r="V2314" i="1"/>
  <c r="U2314" i="1"/>
  <c r="R2314" i="1"/>
  <c r="P2314" i="1"/>
  <c r="K2314" i="1"/>
  <c r="Z2313" i="1"/>
  <c r="W2313" i="1"/>
  <c r="V2313" i="1"/>
  <c r="U2313" i="1"/>
  <c r="R2313" i="1"/>
  <c r="P2313" i="1"/>
  <c r="K2313" i="1"/>
  <c r="Z2312" i="1"/>
  <c r="W2312" i="1"/>
  <c r="V2312" i="1"/>
  <c r="U2312" i="1"/>
  <c r="R2312" i="1"/>
  <c r="P2312" i="1"/>
  <c r="K2312" i="1"/>
  <c r="Z2311" i="1"/>
  <c r="W2311" i="1"/>
  <c r="V2311" i="1"/>
  <c r="U2311" i="1"/>
  <c r="R2311" i="1"/>
  <c r="P2311" i="1"/>
  <c r="K2311" i="1"/>
  <c r="Z2310" i="1"/>
  <c r="W2310" i="1"/>
  <c r="V2310" i="1"/>
  <c r="U2310" i="1"/>
  <c r="R2310" i="1"/>
  <c r="P2310" i="1"/>
  <c r="K2310" i="1"/>
  <c r="Z2309" i="1"/>
  <c r="W2309" i="1"/>
  <c r="V2309" i="1"/>
  <c r="U2309" i="1"/>
  <c r="R2309" i="1"/>
  <c r="P2309" i="1"/>
  <c r="K2309" i="1"/>
  <c r="Z2308" i="1"/>
  <c r="W2308" i="1"/>
  <c r="V2308" i="1"/>
  <c r="U2308" i="1"/>
  <c r="R2308" i="1"/>
  <c r="P2308" i="1"/>
  <c r="K2308" i="1"/>
  <c r="Z2307" i="1"/>
  <c r="W2307" i="1"/>
  <c r="V2307" i="1"/>
  <c r="U2307" i="1"/>
  <c r="R2307" i="1"/>
  <c r="P2307" i="1"/>
  <c r="K2307" i="1"/>
  <c r="Z2306" i="1"/>
  <c r="W2306" i="1"/>
  <c r="V2306" i="1"/>
  <c r="U2306" i="1"/>
  <c r="R2306" i="1"/>
  <c r="P2306" i="1"/>
  <c r="K2306" i="1"/>
  <c r="Z2305" i="1"/>
  <c r="W2305" i="1"/>
  <c r="V2305" i="1"/>
  <c r="U2305" i="1"/>
  <c r="R2305" i="1"/>
  <c r="P2305" i="1"/>
  <c r="K2305" i="1"/>
  <c r="Z2304" i="1"/>
  <c r="W2304" i="1"/>
  <c r="V2304" i="1"/>
  <c r="U2304" i="1"/>
  <c r="R2304" i="1"/>
  <c r="P2304" i="1"/>
  <c r="K2304" i="1"/>
  <c r="Z2303" i="1"/>
  <c r="W2303" i="1"/>
  <c r="V2303" i="1"/>
  <c r="U2303" i="1"/>
  <c r="R2303" i="1"/>
  <c r="P2303" i="1"/>
  <c r="K2303" i="1"/>
  <c r="Z2302" i="1"/>
  <c r="W2302" i="1"/>
  <c r="V2302" i="1"/>
  <c r="U2302" i="1"/>
  <c r="R2302" i="1"/>
  <c r="P2302" i="1"/>
  <c r="K2302" i="1"/>
  <c r="Z2301" i="1"/>
  <c r="W2301" i="1"/>
  <c r="V2301" i="1"/>
  <c r="U2301" i="1"/>
  <c r="R2301" i="1"/>
  <c r="P2301" i="1"/>
  <c r="K2301" i="1"/>
  <c r="Z2300" i="1"/>
  <c r="W2300" i="1"/>
  <c r="V2300" i="1"/>
  <c r="U2300" i="1"/>
  <c r="R2300" i="1"/>
  <c r="P2300" i="1"/>
  <c r="K2300" i="1"/>
  <c r="Z2299" i="1"/>
  <c r="W2299" i="1"/>
  <c r="V2299" i="1"/>
  <c r="U2299" i="1"/>
  <c r="R2299" i="1"/>
  <c r="P2299" i="1"/>
  <c r="K2299" i="1"/>
  <c r="Z2298" i="1"/>
  <c r="W2298" i="1"/>
  <c r="V2298" i="1"/>
  <c r="U2298" i="1"/>
  <c r="R2298" i="1"/>
  <c r="P2298" i="1"/>
  <c r="K2298" i="1"/>
  <c r="Z2297" i="1"/>
  <c r="W2297" i="1"/>
  <c r="V2297" i="1"/>
  <c r="U2297" i="1"/>
  <c r="R2297" i="1"/>
  <c r="P2297" i="1"/>
  <c r="K2297" i="1"/>
  <c r="Z2296" i="1"/>
  <c r="W2296" i="1"/>
  <c r="V2296" i="1"/>
  <c r="U2296" i="1"/>
  <c r="R2296" i="1"/>
  <c r="P2296" i="1"/>
  <c r="K2296" i="1"/>
  <c r="Z2295" i="1"/>
  <c r="W2295" i="1"/>
  <c r="V2295" i="1"/>
  <c r="U2295" i="1"/>
  <c r="R2295" i="1"/>
  <c r="P2295" i="1"/>
  <c r="K2295" i="1"/>
  <c r="Z2294" i="1"/>
  <c r="W2294" i="1"/>
  <c r="V2294" i="1"/>
  <c r="U2294" i="1"/>
  <c r="R2294" i="1"/>
  <c r="P2294" i="1"/>
  <c r="K2294" i="1"/>
  <c r="Z2293" i="1"/>
  <c r="W2293" i="1"/>
  <c r="V2293" i="1"/>
  <c r="U2293" i="1"/>
  <c r="R2293" i="1"/>
  <c r="P2293" i="1"/>
  <c r="K2293" i="1"/>
  <c r="Z2292" i="1"/>
  <c r="W2292" i="1"/>
  <c r="V2292" i="1"/>
  <c r="U2292" i="1"/>
  <c r="R2292" i="1"/>
  <c r="P2292" i="1"/>
  <c r="K2292" i="1"/>
  <c r="Z2291" i="1"/>
  <c r="W2291" i="1"/>
  <c r="V2291" i="1"/>
  <c r="U2291" i="1"/>
  <c r="R2291" i="1"/>
  <c r="P2291" i="1"/>
  <c r="K2291" i="1"/>
  <c r="Z2290" i="1"/>
  <c r="W2290" i="1"/>
  <c r="V2290" i="1"/>
  <c r="U2290" i="1"/>
  <c r="R2290" i="1"/>
  <c r="P2290" i="1"/>
  <c r="K2290" i="1"/>
  <c r="Z2289" i="1"/>
  <c r="W2289" i="1"/>
  <c r="V2289" i="1"/>
  <c r="U2289" i="1"/>
  <c r="R2289" i="1"/>
  <c r="P2289" i="1"/>
  <c r="K2289" i="1"/>
  <c r="Z2288" i="1"/>
  <c r="W2288" i="1"/>
  <c r="V2288" i="1"/>
  <c r="U2288" i="1"/>
  <c r="R2288" i="1"/>
  <c r="P2288" i="1"/>
  <c r="K2288" i="1"/>
  <c r="Z2287" i="1"/>
  <c r="W2287" i="1"/>
  <c r="V2287" i="1"/>
  <c r="U2287" i="1"/>
  <c r="R2287" i="1"/>
  <c r="P2287" i="1"/>
  <c r="K2287" i="1"/>
  <c r="Z2286" i="1"/>
  <c r="W2286" i="1"/>
  <c r="V2286" i="1"/>
  <c r="U2286" i="1"/>
  <c r="R2286" i="1"/>
  <c r="P2286" i="1"/>
  <c r="K2286" i="1"/>
  <c r="Z2285" i="1"/>
  <c r="W2285" i="1"/>
  <c r="V2285" i="1"/>
  <c r="U2285" i="1"/>
  <c r="R2285" i="1"/>
  <c r="P2285" i="1"/>
  <c r="K2285" i="1"/>
  <c r="Z2284" i="1"/>
  <c r="W2284" i="1"/>
  <c r="V2284" i="1"/>
  <c r="U2284" i="1"/>
  <c r="R2284" i="1"/>
  <c r="P2284" i="1"/>
  <c r="K2284" i="1"/>
  <c r="Z2283" i="1"/>
  <c r="W2283" i="1"/>
  <c r="V2283" i="1"/>
  <c r="U2283" i="1"/>
  <c r="R2283" i="1"/>
  <c r="P2283" i="1"/>
  <c r="K2283" i="1"/>
  <c r="Z2282" i="1"/>
  <c r="W2282" i="1"/>
  <c r="V2282" i="1"/>
  <c r="U2282" i="1"/>
  <c r="R2282" i="1"/>
  <c r="P2282" i="1"/>
  <c r="K2282" i="1"/>
  <c r="Z2281" i="1"/>
  <c r="W2281" i="1"/>
  <c r="V2281" i="1"/>
  <c r="U2281" i="1"/>
  <c r="R2281" i="1"/>
  <c r="P2281" i="1"/>
  <c r="K2281" i="1"/>
  <c r="Z2280" i="1"/>
  <c r="W2280" i="1"/>
  <c r="V2280" i="1"/>
  <c r="U2280" i="1"/>
  <c r="R2280" i="1"/>
  <c r="P2280" i="1"/>
  <c r="K2280" i="1"/>
  <c r="Z2279" i="1"/>
  <c r="W2279" i="1"/>
  <c r="V2279" i="1"/>
  <c r="U2279" i="1"/>
  <c r="R2279" i="1"/>
  <c r="P2279" i="1"/>
  <c r="K2279" i="1"/>
  <c r="Z2278" i="1"/>
  <c r="W2278" i="1"/>
  <c r="V2278" i="1"/>
  <c r="U2278" i="1"/>
  <c r="R2278" i="1"/>
  <c r="P2278" i="1"/>
  <c r="K2278" i="1"/>
  <c r="Z2277" i="1"/>
  <c r="W2277" i="1"/>
  <c r="V2277" i="1"/>
  <c r="U2277" i="1"/>
  <c r="R2277" i="1"/>
  <c r="P2277" i="1"/>
  <c r="K2277" i="1"/>
  <c r="Z2276" i="1"/>
  <c r="W2276" i="1"/>
  <c r="V2276" i="1"/>
  <c r="U2276" i="1"/>
  <c r="R2276" i="1"/>
  <c r="P2276" i="1"/>
  <c r="K2276" i="1"/>
  <c r="Z2275" i="1"/>
  <c r="W2275" i="1"/>
  <c r="V2275" i="1"/>
  <c r="U2275" i="1"/>
  <c r="R2275" i="1"/>
  <c r="P2275" i="1"/>
  <c r="K2275" i="1"/>
  <c r="Z2274" i="1"/>
  <c r="W2274" i="1"/>
  <c r="V2274" i="1"/>
  <c r="U2274" i="1"/>
  <c r="R2274" i="1"/>
  <c r="P2274" i="1"/>
  <c r="K2274" i="1"/>
  <c r="Z2273" i="1"/>
  <c r="W2273" i="1"/>
  <c r="V2273" i="1"/>
  <c r="U2273" i="1"/>
  <c r="R2273" i="1"/>
  <c r="P2273" i="1"/>
  <c r="K2273" i="1"/>
  <c r="Z2272" i="1"/>
  <c r="W2272" i="1"/>
  <c r="V2272" i="1"/>
  <c r="U2272" i="1"/>
  <c r="R2272" i="1"/>
  <c r="P2272" i="1"/>
  <c r="K2272" i="1"/>
  <c r="Z2271" i="1"/>
  <c r="W2271" i="1"/>
  <c r="V2271" i="1"/>
  <c r="U2271" i="1"/>
  <c r="R2271" i="1"/>
  <c r="P2271" i="1"/>
  <c r="K2271" i="1"/>
  <c r="Z2270" i="1"/>
  <c r="W2270" i="1"/>
  <c r="V2270" i="1"/>
  <c r="U2270" i="1"/>
  <c r="R2270" i="1"/>
  <c r="P2270" i="1"/>
  <c r="K2270" i="1"/>
  <c r="Z2269" i="1"/>
  <c r="W2269" i="1"/>
  <c r="V2269" i="1"/>
  <c r="U2269" i="1"/>
  <c r="R2269" i="1"/>
  <c r="P2269" i="1"/>
  <c r="K2269" i="1"/>
  <c r="Z2268" i="1"/>
  <c r="W2268" i="1"/>
  <c r="V2268" i="1"/>
  <c r="U2268" i="1"/>
  <c r="R2268" i="1"/>
  <c r="P2268" i="1"/>
  <c r="K2268" i="1"/>
  <c r="Z2267" i="1"/>
  <c r="W2267" i="1"/>
  <c r="V2267" i="1"/>
  <c r="U2267" i="1"/>
  <c r="R2267" i="1"/>
  <c r="P2267" i="1"/>
  <c r="K2267" i="1"/>
  <c r="Z2266" i="1"/>
  <c r="W2266" i="1"/>
  <c r="V2266" i="1"/>
  <c r="U2266" i="1"/>
  <c r="R2266" i="1"/>
  <c r="P2266" i="1"/>
  <c r="K2266" i="1"/>
  <c r="Z2265" i="1"/>
  <c r="W2265" i="1"/>
  <c r="V2265" i="1"/>
  <c r="U2265" i="1"/>
  <c r="R2265" i="1"/>
  <c r="P2265" i="1"/>
  <c r="K2265" i="1"/>
  <c r="Z2264" i="1"/>
  <c r="W2264" i="1"/>
  <c r="V2264" i="1"/>
  <c r="U2264" i="1"/>
  <c r="R2264" i="1"/>
  <c r="P2264" i="1"/>
  <c r="K2264" i="1"/>
  <c r="Z2263" i="1"/>
  <c r="W2263" i="1"/>
  <c r="V2263" i="1"/>
  <c r="U2263" i="1"/>
  <c r="R2263" i="1"/>
  <c r="P2263" i="1"/>
  <c r="K2263" i="1"/>
  <c r="Z2262" i="1"/>
  <c r="W2262" i="1"/>
  <c r="V2262" i="1"/>
  <c r="U2262" i="1"/>
  <c r="R2262" i="1"/>
  <c r="P2262" i="1"/>
  <c r="K2262" i="1"/>
  <c r="Z2261" i="1"/>
  <c r="W2261" i="1"/>
  <c r="V2261" i="1"/>
  <c r="U2261" i="1"/>
  <c r="R2261" i="1"/>
  <c r="P2261" i="1"/>
  <c r="K2261" i="1"/>
  <c r="Z2260" i="1"/>
  <c r="W2260" i="1"/>
  <c r="V2260" i="1"/>
  <c r="U2260" i="1"/>
  <c r="R2260" i="1"/>
  <c r="P2260" i="1"/>
  <c r="K2260" i="1"/>
  <c r="Z2259" i="1"/>
  <c r="W2259" i="1"/>
  <c r="V2259" i="1"/>
  <c r="U2259" i="1"/>
  <c r="R2259" i="1"/>
  <c r="P2259" i="1"/>
  <c r="K2259" i="1"/>
  <c r="Z2258" i="1"/>
  <c r="W2258" i="1"/>
  <c r="V2258" i="1"/>
  <c r="U2258" i="1"/>
  <c r="R2258" i="1"/>
  <c r="P2258" i="1"/>
  <c r="K2258" i="1"/>
  <c r="Z2257" i="1"/>
  <c r="W2257" i="1"/>
  <c r="V2257" i="1"/>
  <c r="U2257" i="1"/>
  <c r="R2257" i="1"/>
  <c r="P2257" i="1"/>
  <c r="K2257" i="1"/>
  <c r="Z2256" i="1"/>
  <c r="W2256" i="1"/>
  <c r="V2256" i="1"/>
  <c r="U2256" i="1"/>
  <c r="R2256" i="1"/>
  <c r="P2256" i="1"/>
  <c r="K2256" i="1"/>
  <c r="Z2255" i="1"/>
  <c r="W2255" i="1"/>
  <c r="V2255" i="1"/>
  <c r="U2255" i="1"/>
  <c r="R2255" i="1"/>
  <c r="P2255" i="1"/>
  <c r="K2255" i="1"/>
  <c r="Z2254" i="1"/>
  <c r="W2254" i="1"/>
  <c r="V2254" i="1"/>
  <c r="U2254" i="1"/>
  <c r="R2254" i="1"/>
  <c r="P2254" i="1"/>
  <c r="K2254" i="1"/>
  <c r="Z2253" i="1"/>
  <c r="W2253" i="1"/>
  <c r="V2253" i="1"/>
  <c r="U2253" i="1"/>
  <c r="R2253" i="1"/>
  <c r="P2253" i="1"/>
  <c r="K2253" i="1"/>
  <c r="Z2252" i="1"/>
  <c r="W2252" i="1"/>
  <c r="V2252" i="1"/>
  <c r="U2252" i="1"/>
  <c r="R2252" i="1"/>
  <c r="P2252" i="1"/>
  <c r="K2252" i="1"/>
  <c r="Z2251" i="1"/>
  <c r="W2251" i="1"/>
  <c r="V2251" i="1"/>
  <c r="U2251" i="1"/>
  <c r="R2251" i="1"/>
  <c r="P2251" i="1"/>
  <c r="K2251" i="1"/>
  <c r="Z2250" i="1"/>
  <c r="W2250" i="1"/>
  <c r="V2250" i="1"/>
  <c r="U2250" i="1"/>
  <c r="R2250" i="1"/>
  <c r="P2250" i="1"/>
  <c r="K2250" i="1"/>
  <c r="Z2249" i="1"/>
  <c r="W2249" i="1"/>
  <c r="V2249" i="1"/>
  <c r="U2249" i="1"/>
  <c r="R2249" i="1"/>
  <c r="P2249" i="1"/>
  <c r="K2249" i="1"/>
  <c r="Z2248" i="1"/>
  <c r="W2248" i="1"/>
  <c r="V2248" i="1"/>
  <c r="U2248" i="1"/>
  <c r="R2248" i="1"/>
  <c r="P2248" i="1"/>
  <c r="K2248" i="1"/>
  <c r="Z2247" i="1"/>
  <c r="W2247" i="1"/>
  <c r="V2247" i="1"/>
  <c r="U2247" i="1"/>
  <c r="R2247" i="1"/>
  <c r="P2247" i="1"/>
  <c r="K2247" i="1"/>
  <c r="Z2246" i="1"/>
  <c r="W2246" i="1"/>
  <c r="V2246" i="1"/>
  <c r="U2246" i="1"/>
  <c r="R2246" i="1"/>
  <c r="P2246" i="1"/>
  <c r="K2246" i="1"/>
  <c r="Z2245" i="1"/>
  <c r="W2245" i="1"/>
  <c r="V2245" i="1"/>
  <c r="U2245" i="1"/>
  <c r="R2245" i="1"/>
  <c r="P2245" i="1"/>
  <c r="K2245" i="1"/>
  <c r="Z2244" i="1"/>
  <c r="W2244" i="1"/>
  <c r="V2244" i="1"/>
  <c r="U2244" i="1"/>
  <c r="R2244" i="1"/>
  <c r="P2244" i="1"/>
  <c r="K2244" i="1"/>
  <c r="Z2243" i="1"/>
  <c r="W2243" i="1"/>
  <c r="V2243" i="1"/>
  <c r="U2243" i="1"/>
  <c r="R2243" i="1"/>
  <c r="P2243" i="1"/>
  <c r="K2243" i="1"/>
  <c r="Z2242" i="1"/>
  <c r="W2242" i="1"/>
  <c r="V2242" i="1"/>
  <c r="U2242" i="1"/>
  <c r="R2242" i="1"/>
  <c r="P2242" i="1"/>
  <c r="K2242" i="1"/>
  <c r="Z2241" i="1"/>
  <c r="W2241" i="1"/>
  <c r="V2241" i="1"/>
  <c r="U2241" i="1"/>
  <c r="R2241" i="1"/>
  <c r="P2241" i="1"/>
  <c r="K2241" i="1"/>
  <c r="Z2240" i="1"/>
  <c r="W2240" i="1"/>
  <c r="V2240" i="1"/>
  <c r="U2240" i="1"/>
  <c r="R2240" i="1"/>
  <c r="P2240" i="1"/>
  <c r="K2240" i="1"/>
  <c r="Z2239" i="1"/>
  <c r="W2239" i="1"/>
  <c r="V2239" i="1"/>
  <c r="U2239" i="1"/>
  <c r="R2239" i="1"/>
  <c r="P2239" i="1"/>
  <c r="K2239" i="1"/>
  <c r="Z2238" i="1"/>
  <c r="W2238" i="1"/>
  <c r="V2238" i="1"/>
  <c r="U2238" i="1"/>
  <c r="R2238" i="1"/>
  <c r="P2238" i="1"/>
  <c r="K2238" i="1"/>
  <c r="Z2237" i="1"/>
  <c r="W2237" i="1"/>
  <c r="V2237" i="1"/>
  <c r="U2237" i="1"/>
  <c r="R2237" i="1"/>
  <c r="P2237" i="1"/>
  <c r="K2237" i="1"/>
  <c r="Z2236" i="1"/>
  <c r="W2236" i="1"/>
  <c r="V2236" i="1"/>
  <c r="U2236" i="1"/>
  <c r="R2236" i="1"/>
  <c r="P2236" i="1"/>
  <c r="K2236" i="1"/>
  <c r="Z2235" i="1"/>
  <c r="W2235" i="1"/>
  <c r="V2235" i="1"/>
  <c r="U2235" i="1"/>
  <c r="R2235" i="1"/>
  <c r="P2235" i="1"/>
  <c r="K2235" i="1"/>
  <c r="Z2234" i="1"/>
  <c r="W2234" i="1"/>
  <c r="V2234" i="1"/>
  <c r="U2234" i="1"/>
  <c r="R2234" i="1"/>
  <c r="P2234" i="1"/>
  <c r="K2234" i="1"/>
  <c r="Z2233" i="1"/>
  <c r="W2233" i="1"/>
  <c r="V2233" i="1"/>
  <c r="U2233" i="1"/>
  <c r="R2233" i="1"/>
  <c r="P2233" i="1"/>
  <c r="K2233" i="1"/>
  <c r="Z2232" i="1"/>
  <c r="W2232" i="1"/>
  <c r="V2232" i="1"/>
  <c r="U2232" i="1"/>
  <c r="R2232" i="1"/>
  <c r="P2232" i="1"/>
  <c r="K2232" i="1"/>
  <c r="Z2231" i="1"/>
  <c r="W2231" i="1"/>
  <c r="V2231" i="1"/>
  <c r="U2231" i="1"/>
  <c r="R2231" i="1"/>
  <c r="P2231" i="1"/>
  <c r="K2231" i="1"/>
  <c r="Z2230" i="1"/>
  <c r="W2230" i="1"/>
  <c r="V2230" i="1"/>
  <c r="U2230" i="1"/>
  <c r="R2230" i="1"/>
  <c r="P2230" i="1"/>
  <c r="K2230" i="1"/>
  <c r="Z2229" i="1"/>
  <c r="W2229" i="1"/>
  <c r="V2229" i="1"/>
  <c r="U2229" i="1"/>
  <c r="R2229" i="1"/>
  <c r="P2229" i="1"/>
  <c r="K2229" i="1"/>
  <c r="Z2228" i="1"/>
  <c r="W2228" i="1"/>
  <c r="V2228" i="1"/>
  <c r="U2228" i="1"/>
  <c r="R2228" i="1"/>
  <c r="P2228" i="1"/>
  <c r="K2228" i="1"/>
  <c r="Z2227" i="1"/>
  <c r="W2227" i="1"/>
  <c r="V2227" i="1"/>
  <c r="U2227" i="1"/>
  <c r="R2227" i="1"/>
  <c r="P2227" i="1"/>
  <c r="K2227" i="1"/>
  <c r="Z2226" i="1"/>
  <c r="W2226" i="1"/>
  <c r="V2226" i="1"/>
  <c r="U2226" i="1"/>
  <c r="R2226" i="1"/>
  <c r="P2226" i="1"/>
  <c r="K2226" i="1"/>
  <c r="Z2225" i="1"/>
  <c r="W2225" i="1"/>
  <c r="V2225" i="1"/>
  <c r="U2225" i="1"/>
  <c r="R2225" i="1"/>
  <c r="P2225" i="1"/>
  <c r="K2225" i="1"/>
  <c r="Z2224" i="1"/>
  <c r="W2224" i="1"/>
  <c r="V2224" i="1"/>
  <c r="U2224" i="1"/>
  <c r="R2224" i="1"/>
  <c r="P2224" i="1"/>
  <c r="K2224" i="1"/>
  <c r="Z2223" i="1"/>
  <c r="W2223" i="1"/>
  <c r="V2223" i="1"/>
  <c r="U2223" i="1"/>
  <c r="R2223" i="1"/>
  <c r="P2223" i="1"/>
  <c r="K2223" i="1"/>
  <c r="Z2222" i="1"/>
  <c r="W2222" i="1"/>
  <c r="V2222" i="1"/>
  <c r="U2222" i="1"/>
  <c r="R2222" i="1"/>
  <c r="P2222" i="1"/>
  <c r="K2222" i="1"/>
  <c r="Z2221" i="1"/>
  <c r="W2221" i="1"/>
  <c r="V2221" i="1"/>
  <c r="U2221" i="1"/>
  <c r="R2221" i="1"/>
  <c r="P2221" i="1"/>
  <c r="K2221" i="1"/>
  <c r="Z2220" i="1"/>
  <c r="W2220" i="1"/>
  <c r="V2220" i="1"/>
  <c r="U2220" i="1"/>
  <c r="R2220" i="1"/>
  <c r="P2220" i="1"/>
  <c r="K2220" i="1"/>
  <c r="Z2219" i="1"/>
  <c r="W2219" i="1"/>
  <c r="V2219" i="1"/>
  <c r="U2219" i="1"/>
  <c r="R2219" i="1"/>
  <c r="P2219" i="1"/>
  <c r="K2219" i="1"/>
  <c r="Z2218" i="1"/>
  <c r="W2218" i="1"/>
  <c r="V2218" i="1"/>
  <c r="U2218" i="1"/>
  <c r="R2218" i="1"/>
  <c r="P2218" i="1"/>
  <c r="K2218" i="1"/>
  <c r="Z2217" i="1"/>
  <c r="W2217" i="1"/>
  <c r="V2217" i="1"/>
  <c r="U2217" i="1"/>
  <c r="R2217" i="1"/>
  <c r="P2217" i="1"/>
  <c r="K2217" i="1"/>
  <c r="Z2216" i="1"/>
  <c r="W2216" i="1"/>
  <c r="V2216" i="1"/>
  <c r="U2216" i="1"/>
  <c r="R2216" i="1"/>
  <c r="P2216" i="1"/>
  <c r="K2216" i="1"/>
  <c r="Z2215" i="1"/>
  <c r="W2215" i="1"/>
  <c r="V2215" i="1"/>
  <c r="U2215" i="1"/>
  <c r="R2215" i="1"/>
  <c r="P2215" i="1"/>
  <c r="K2215" i="1"/>
  <c r="Z2214" i="1"/>
  <c r="W2214" i="1"/>
  <c r="V2214" i="1"/>
  <c r="U2214" i="1"/>
  <c r="R2214" i="1"/>
  <c r="P2214" i="1"/>
  <c r="K2214" i="1"/>
  <c r="Z2213" i="1"/>
  <c r="W2213" i="1"/>
  <c r="V2213" i="1"/>
  <c r="U2213" i="1"/>
  <c r="R2213" i="1"/>
  <c r="P2213" i="1"/>
  <c r="K2213" i="1"/>
  <c r="Z2212" i="1"/>
  <c r="W2212" i="1"/>
  <c r="V2212" i="1"/>
  <c r="U2212" i="1"/>
  <c r="R2212" i="1"/>
  <c r="P2212" i="1"/>
  <c r="K2212" i="1"/>
  <c r="Z2211" i="1"/>
  <c r="W2211" i="1"/>
  <c r="V2211" i="1"/>
  <c r="U2211" i="1"/>
  <c r="R2211" i="1"/>
  <c r="P2211" i="1"/>
  <c r="K2211" i="1"/>
  <c r="Z2210" i="1"/>
  <c r="W2210" i="1"/>
  <c r="V2210" i="1"/>
  <c r="U2210" i="1"/>
  <c r="R2210" i="1"/>
  <c r="P2210" i="1"/>
  <c r="K2210" i="1"/>
  <c r="Z2209" i="1"/>
  <c r="W2209" i="1"/>
  <c r="V2209" i="1"/>
  <c r="U2209" i="1"/>
  <c r="R2209" i="1"/>
  <c r="P2209" i="1"/>
  <c r="K2209" i="1"/>
  <c r="Z2208" i="1"/>
  <c r="W2208" i="1"/>
  <c r="V2208" i="1"/>
  <c r="U2208" i="1"/>
  <c r="R2208" i="1"/>
  <c r="P2208" i="1"/>
  <c r="K2208" i="1"/>
  <c r="Z2207" i="1"/>
  <c r="W2207" i="1"/>
  <c r="V2207" i="1"/>
  <c r="U2207" i="1"/>
  <c r="R2207" i="1"/>
  <c r="P2207" i="1"/>
  <c r="K2207" i="1"/>
  <c r="Z2206" i="1"/>
  <c r="W2206" i="1"/>
  <c r="V2206" i="1"/>
  <c r="U2206" i="1"/>
  <c r="R2206" i="1"/>
  <c r="P2206" i="1"/>
  <c r="K2206" i="1"/>
  <c r="Z2205" i="1"/>
  <c r="W2205" i="1"/>
  <c r="V2205" i="1"/>
  <c r="U2205" i="1"/>
  <c r="R2205" i="1"/>
  <c r="P2205" i="1"/>
  <c r="K2205" i="1"/>
  <c r="Z2204" i="1"/>
  <c r="W2204" i="1"/>
  <c r="V2204" i="1"/>
  <c r="U2204" i="1"/>
  <c r="R2204" i="1"/>
  <c r="P2204" i="1"/>
  <c r="K2204" i="1"/>
  <c r="Z2203" i="1"/>
  <c r="W2203" i="1"/>
  <c r="V2203" i="1"/>
  <c r="U2203" i="1"/>
  <c r="R2203" i="1"/>
  <c r="P2203" i="1"/>
  <c r="K2203" i="1"/>
  <c r="Z2202" i="1"/>
  <c r="W2202" i="1"/>
  <c r="V2202" i="1"/>
  <c r="U2202" i="1"/>
  <c r="R2202" i="1"/>
  <c r="P2202" i="1"/>
  <c r="K2202" i="1"/>
  <c r="Z2201" i="1"/>
  <c r="W2201" i="1"/>
  <c r="V2201" i="1"/>
  <c r="U2201" i="1"/>
  <c r="R2201" i="1"/>
  <c r="P2201" i="1"/>
  <c r="K2201" i="1"/>
  <c r="Z2200" i="1"/>
  <c r="W2200" i="1"/>
  <c r="V2200" i="1"/>
  <c r="U2200" i="1"/>
  <c r="R2200" i="1"/>
  <c r="P2200" i="1"/>
  <c r="K2200" i="1"/>
  <c r="Z2199" i="1"/>
  <c r="W2199" i="1"/>
  <c r="V2199" i="1"/>
  <c r="U2199" i="1"/>
  <c r="R2199" i="1"/>
  <c r="P2199" i="1"/>
  <c r="K2199" i="1"/>
  <c r="Z2198" i="1"/>
  <c r="W2198" i="1"/>
  <c r="V2198" i="1"/>
  <c r="U2198" i="1"/>
  <c r="R2198" i="1"/>
  <c r="P2198" i="1"/>
  <c r="K2198" i="1"/>
  <c r="Z2197" i="1"/>
  <c r="W2197" i="1"/>
  <c r="V2197" i="1"/>
  <c r="U2197" i="1"/>
  <c r="R2197" i="1"/>
  <c r="P2197" i="1"/>
  <c r="K2197" i="1"/>
  <c r="Z2196" i="1"/>
  <c r="W2196" i="1"/>
  <c r="V2196" i="1"/>
  <c r="U2196" i="1"/>
  <c r="R2196" i="1"/>
  <c r="P2196" i="1"/>
  <c r="K2196" i="1"/>
  <c r="Z2195" i="1"/>
  <c r="W2195" i="1"/>
  <c r="V2195" i="1"/>
  <c r="U2195" i="1"/>
  <c r="R2195" i="1"/>
  <c r="P2195" i="1"/>
  <c r="K2195" i="1"/>
  <c r="Z2194" i="1"/>
  <c r="W2194" i="1"/>
  <c r="V2194" i="1"/>
  <c r="U2194" i="1"/>
  <c r="R2194" i="1"/>
  <c r="P2194" i="1"/>
  <c r="K2194" i="1"/>
  <c r="Z2193" i="1"/>
  <c r="W2193" i="1"/>
  <c r="V2193" i="1"/>
  <c r="U2193" i="1"/>
  <c r="R2193" i="1"/>
  <c r="P2193" i="1"/>
  <c r="K2193" i="1"/>
  <c r="Z2192" i="1"/>
  <c r="W2192" i="1"/>
  <c r="V2192" i="1"/>
  <c r="U2192" i="1"/>
  <c r="R2192" i="1"/>
  <c r="P2192" i="1"/>
  <c r="K2192" i="1"/>
  <c r="Z2191" i="1"/>
  <c r="W2191" i="1"/>
  <c r="V2191" i="1"/>
  <c r="U2191" i="1"/>
  <c r="R2191" i="1"/>
  <c r="P2191" i="1"/>
  <c r="K2191" i="1"/>
  <c r="Z2190" i="1"/>
  <c r="W2190" i="1"/>
  <c r="V2190" i="1"/>
  <c r="U2190" i="1"/>
  <c r="R2190" i="1"/>
  <c r="P2190" i="1"/>
  <c r="K2190" i="1"/>
  <c r="Z2189" i="1"/>
  <c r="W2189" i="1"/>
  <c r="V2189" i="1"/>
  <c r="U2189" i="1"/>
  <c r="R2189" i="1"/>
  <c r="P2189" i="1"/>
  <c r="K2189" i="1"/>
  <c r="Z2188" i="1"/>
  <c r="W2188" i="1"/>
  <c r="V2188" i="1"/>
  <c r="U2188" i="1"/>
  <c r="R2188" i="1"/>
  <c r="P2188" i="1"/>
  <c r="K2188" i="1"/>
  <c r="Z2187" i="1"/>
  <c r="W2187" i="1"/>
  <c r="V2187" i="1"/>
  <c r="U2187" i="1"/>
  <c r="R2187" i="1"/>
  <c r="P2187" i="1"/>
  <c r="K2187" i="1"/>
  <c r="Z2186" i="1"/>
  <c r="W2186" i="1"/>
  <c r="V2186" i="1"/>
  <c r="U2186" i="1"/>
  <c r="R2186" i="1"/>
  <c r="P2186" i="1"/>
  <c r="K2186" i="1"/>
  <c r="Z2185" i="1"/>
  <c r="W2185" i="1"/>
  <c r="V2185" i="1"/>
  <c r="U2185" i="1"/>
  <c r="R2185" i="1"/>
  <c r="P2185" i="1"/>
  <c r="K2185" i="1"/>
  <c r="Z2184" i="1"/>
  <c r="W2184" i="1"/>
  <c r="V2184" i="1"/>
  <c r="U2184" i="1"/>
  <c r="R2184" i="1"/>
  <c r="P2184" i="1"/>
  <c r="K2184" i="1"/>
  <c r="Z2183" i="1"/>
  <c r="W2183" i="1"/>
  <c r="V2183" i="1"/>
  <c r="U2183" i="1"/>
  <c r="R2183" i="1"/>
  <c r="P2183" i="1"/>
  <c r="K2183" i="1"/>
  <c r="Z2182" i="1"/>
  <c r="W2182" i="1"/>
  <c r="V2182" i="1"/>
  <c r="U2182" i="1"/>
  <c r="R2182" i="1"/>
  <c r="P2182" i="1"/>
  <c r="K2182" i="1"/>
  <c r="Z2181" i="1"/>
  <c r="W2181" i="1"/>
  <c r="V2181" i="1"/>
  <c r="U2181" i="1"/>
  <c r="R2181" i="1"/>
  <c r="P2181" i="1"/>
  <c r="K2181" i="1"/>
  <c r="Z2180" i="1"/>
  <c r="W2180" i="1"/>
  <c r="V2180" i="1"/>
  <c r="U2180" i="1"/>
  <c r="R2180" i="1"/>
  <c r="P2180" i="1"/>
  <c r="K2180" i="1"/>
  <c r="Z2179" i="1"/>
  <c r="W2179" i="1"/>
  <c r="V2179" i="1"/>
  <c r="U2179" i="1"/>
  <c r="R2179" i="1"/>
  <c r="P2179" i="1"/>
  <c r="K2179" i="1"/>
  <c r="Z2178" i="1"/>
  <c r="W2178" i="1"/>
  <c r="V2178" i="1"/>
  <c r="U2178" i="1"/>
  <c r="R2178" i="1"/>
  <c r="P2178" i="1"/>
  <c r="K2178" i="1"/>
  <c r="Z2177" i="1"/>
  <c r="W2177" i="1"/>
  <c r="V2177" i="1"/>
  <c r="U2177" i="1"/>
  <c r="R2177" i="1"/>
  <c r="P2177" i="1"/>
  <c r="K2177" i="1"/>
  <c r="Z2176" i="1"/>
  <c r="W2176" i="1"/>
  <c r="V2176" i="1"/>
  <c r="U2176" i="1"/>
  <c r="R2176" i="1"/>
  <c r="P2176" i="1"/>
  <c r="K2176" i="1"/>
  <c r="Z2175" i="1"/>
  <c r="W2175" i="1"/>
  <c r="V2175" i="1"/>
  <c r="U2175" i="1"/>
  <c r="R2175" i="1"/>
  <c r="P2175" i="1"/>
  <c r="K2175" i="1"/>
  <c r="Z2174" i="1"/>
  <c r="W2174" i="1"/>
  <c r="V2174" i="1"/>
  <c r="U2174" i="1"/>
  <c r="R2174" i="1"/>
  <c r="P2174" i="1"/>
  <c r="K2174" i="1"/>
  <c r="Z2173" i="1"/>
  <c r="W2173" i="1"/>
  <c r="V2173" i="1"/>
  <c r="U2173" i="1"/>
  <c r="R2173" i="1"/>
  <c r="P2173" i="1"/>
  <c r="K2173" i="1"/>
  <c r="Z2172" i="1"/>
  <c r="W2172" i="1"/>
  <c r="V2172" i="1"/>
  <c r="U2172" i="1"/>
  <c r="R2172" i="1"/>
  <c r="P2172" i="1"/>
  <c r="K2172" i="1"/>
  <c r="Z2171" i="1"/>
  <c r="W2171" i="1"/>
  <c r="V2171" i="1"/>
  <c r="U2171" i="1"/>
  <c r="R2171" i="1"/>
  <c r="P2171" i="1"/>
  <c r="K2171" i="1"/>
  <c r="Z2170" i="1"/>
  <c r="W2170" i="1"/>
  <c r="V2170" i="1"/>
  <c r="U2170" i="1"/>
  <c r="R2170" i="1"/>
  <c r="P2170" i="1"/>
  <c r="K2170" i="1"/>
  <c r="Z2169" i="1"/>
  <c r="W2169" i="1"/>
  <c r="V2169" i="1"/>
  <c r="U2169" i="1"/>
  <c r="R2169" i="1"/>
  <c r="P2169" i="1"/>
  <c r="K2169" i="1"/>
  <c r="Z2168" i="1"/>
  <c r="W2168" i="1"/>
  <c r="V2168" i="1"/>
  <c r="U2168" i="1"/>
  <c r="R2168" i="1"/>
  <c r="P2168" i="1"/>
  <c r="K2168" i="1"/>
  <c r="Z2167" i="1"/>
  <c r="W2167" i="1"/>
  <c r="V2167" i="1"/>
  <c r="U2167" i="1"/>
  <c r="R2167" i="1"/>
  <c r="P2167" i="1"/>
  <c r="K2167" i="1"/>
  <c r="Z2166" i="1"/>
  <c r="W2166" i="1"/>
  <c r="V2166" i="1"/>
  <c r="U2166" i="1"/>
  <c r="R2166" i="1"/>
  <c r="P2166" i="1"/>
  <c r="K2166" i="1"/>
  <c r="Z2165" i="1"/>
  <c r="W2165" i="1"/>
  <c r="V2165" i="1"/>
  <c r="U2165" i="1"/>
  <c r="R2165" i="1"/>
  <c r="P2165" i="1"/>
  <c r="K2165" i="1"/>
  <c r="Z2164" i="1"/>
  <c r="W2164" i="1"/>
  <c r="V2164" i="1"/>
  <c r="U2164" i="1"/>
  <c r="R2164" i="1"/>
  <c r="P2164" i="1"/>
  <c r="K2164" i="1"/>
  <c r="Z2163" i="1"/>
  <c r="W2163" i="1"/>
  <c r="V2163" i="1"/>
  <c r="U2163" i="1"/>
  <c r="R2163" i="1"/>
  <c r="P2163" i="1"/>
  <c r="K2163" i="1"/>
  <c r="Z2162" i="1"/>
  <c r="W2162" i="1"/>
  <c r="V2162" i="1"/>
  <c r="U2162" i="1"/>
  <c r="R2162" i="1"/>
  <c r="P2162" i="1"/>
  <c r="K2162" i="1"/>
  <c r="Z2161" i="1"/>
  <c r="W2161" i="1"/>
  <c r="V2161" i="1"/>
  <c r="U2161" i="1"/>
  <c r="R2161" i="1"/>
  <c r="P2161" i="1"/>
  <c r="K2161" i="1"/>
  <c r="Z2160" i="1"/>
  <c r="W2160" i="1"/>
  <c r="V2160" i="1"/>
  <c r="U2160" i="1"/>
  <c r="R2160" i="1"/>
  <c r="P2160" i="1"/>
  <c r="K2160" i="1"/>
  <c r="Z2159" i="1"/>
  <c r="W2159" i="1"/>
  <c r="V2159" i="1"/>
  <c r="U2159" i="1"/>
  <c r="R2159" i="1"/>
  <c r="P2159" i="1"/>
  <c r="K2159" i="1"/>
  <c r="Z2158" i="1"/>
  <c r="W2158" i="1"/>
  <c r="V2158" i="1"/>
  <c r="U2158" i="1"/>
  <c r="R2158" i="1"/>
  <c r="P2158" i="1"/>
  <c r="K2158" i="1"/>
  <c r="Z2157" i="1"/>
  <c r="W2157" i="1"/>
  <c r="V2157" i="1"/>
  <c r="U2157" i="1"/>
  <c r="R2157" i="1"/>
  <c r="P2157" i="1"/>
  <c r="K2157" i="1"/>
  <c r="Z2156" i="1"/>
  <c r="W2156" i="1"/>
  <c r="V2156" i="1"/>
  <c r="U2156" i="1"/>
  <c r="R2156" i="1"/>
  <c r="P2156" i="1"/>
  <c r="K2156" i="1"/>
  <c r="Z2155" i="1"/>
  <c r="W2155" i="1"/>
  <c r="V2155" i="1"/>
  <c r="U2155" i="1"/>
  <c r="R2155" i="1"/>
  <c r="P2155" i="1"/>
  <c r="K2155" i="1"/>
  <c r="Z2154" i="1"/>
  <c r="W2154" i="1"/>
  <c r="V2154" i="1"/>
  <c r="U2154" i="1"/>
  <c r="R2154" i="1"/>
  <c r="P2154" i="1"/>
  <c r="K2154" i="1"/>
  <c r="Z2153" i="1"/>
  <c r="W2153" i="1"/>
  <c r="V2153" i="1"/>
  <c r="U2153" i="1"/>
  <c r="R2153" i="1"/>
  <c r="P2153" i="1"/>
  <c r="K2153" i="1"/>
  <c r="Z2152" i="1"/>
  <c r="W2152" i="1"/>
  <c r="V2152" i="1"/>
  <c r="U2152" i="1"/>
  <c r="R2152" i="1"/>
  <c r="P2152" i="1"/>
  <c r="K2152" i="1"/>
  <c r="Z2151" i="1"/>
  <c r="W2151" i="1"/>
  <c r="V2151" i="1"/>
  <c r="U2151" i="1"/>
  <c r="R2151" i="1"/>
  <c r="P2151" i="1"/>
  <c r="K2151" i="1"/>
  <c r="Z2150" i="1"/>
  <c r="W2150" i="1"/>
  <c r="V2150" i="1"/>
  <c r="U2150" i="1"/>
  <c r="R2150" i="1"/>
  <c r="P2150" i="1"/>
  <c r="K2150" i="1"/>
  <c r="Z2149" i="1"/>
  <c r="W2149" i="1"/>
  <c r="V2149" i="1"/>
  <c r="U2149" i="1"/>
  <c r="R2149" i="1"/>
  <c r="P2149" i="1"/>
  <c r="K2149" i="1"/>
  <c r="Z2148" i="1"/>
  <c r="W2148" i="1"/>
  <c r="V2148" i="1"/>
  <c r="U2148" i="1"/>
  <c r="R2148" i="1"/>
  <c r="P2148" i="1"/>
  <c r="K2148" i="1"/>
  <c r="Z2147" i="1"/>
  <c r="W2147" i="1"/>
  <c r="V2147" i="1"/>
  <c r="U2147" i="1"/>
  <c r="R2147" i="1"/>
  <c r="P2147" i="1"/>
  <c r="K2147" i="1"/>
  <c r="Z2146" i="1"/>
  <c r="W2146" i="1"/>
  <c r="V2146" i="1"/>
  <c r="U2146" i="1"/>
  <c r="R2146" i="1"/>
  <c r="P2146" i="1"/>
  <c r="K2146" i="1"/>
  <c r="Z2145" i="1"/>
  <c r="W2145" i="1"/>
  <c r="V2145" i="1"/>
  <c r="U2145" i="1"/>
  <c r="R2145" i="1"/>
  <c r="P2145" i="1"/>
  <c r="K2145" i="1"/>
  <c r="Z2144" i="1"/>
  <c r="W2144" i="1"/>
  <c r="V2144" i="1"/>
  <c r="U2144" i="1"/>
  <c r="R2144" i="1"/>
  <c r="P2144" i="1"/>
  <c r="K2144" i="1"/>
  <c r="Z2143" i="1"/>
  <c r="W2143" i="1"/>
  <c r="V2143" i="1"/>
  <c r="U2143" i="1"/>
  <c r="R2143" i="1"/>
  <c r="P2143" i="1"/>
  <c r="K2143" i="1"/>
  <c r="Z2142" i="1"/>
  <c r="W2142" i="1"/>
  <c r="V2142" i="1"/>
  <c r="U2142" i="1"/>
  <c r="R2142" i="1"/>
  <c r="P2142" i="1"/>
  <c r="K2142" i="1"/>
  <c r="Z2141" i="1"/>
  <c r="W2141" i="1"/>
  <c r="V2141" i="1"/>
  <c r="U2141" i="1"/>
  <c r="R2141" i="1"/>
  <c r="P2141" i="1"/>
  <c r="K2141" i="1"/>
  <c r="Z2140" i="1"/>
  <c r="W2140" i="1"/>
  <c r="V2140" i="1"/>
  <c r="U2140" i="1"/>
  <c r="R2140" i="1"/>
  <c r="P2140" i="1"/>
  <c r="K2140" i="1"/>
  <c r="Z2139" i="1"/>
  <c r="W2139" i="1"/>
  <c r="V2139" i="1"/>
  <c r="U2139" i="1"/>
  <c r="R2139" i="1"/>
  <c r="P2139" i="1"/>
  <c r="K2139" i="1"/>
  <c r="Z2138" i="1"/>
  <c r="W2138" i="1"/>
  <c r="V2138" i="1"/>
  <c r="U2138" i="1"/>
  <c r="R2138" i="1"/>
  <c r="P2138" i="1"/>
  <c r="K2138" i="1"/>
  <c r="Z2137" i="1"/>
  <c r="W2137" i="1"/>
  <c r="V2137" i="1"/>
  <c r="U2137" i="1"/>
  <c r="R2137" i="1"/>
  <c r="P2137" i="1"/>
  <c r="K2137" i="1"/>
  <c r="Z2136" i="1"/>
  <c r="W2136" i="1"/>
  <c r="V2136" i="1"/>
  <c r="U2136" i="1"/>
  <c r="R2136" i="1"/>
  <c r="P2136" i="1"/>
  <c r="K2136" i="1"/>
  <c r="Z2135" i="1"/>
  <c r="W2135" i="1"/>
  <c r="V2135" i="1"/>
  <c r="U2135" i="1"/>
  <c r="R2135" i="1"/>
  <c r="P2135" i="1"/>
  <c r="K2135" i="1"/>
  <c r="Z2134" i="1"/>
  <c r="W2134" i="1"/>
  <c r="V2134" i="1"/>
  <c r="U2134" i="1"/>
  <c r="R2134" i="1"/>
  <c r="P2134" i="1"/>
  <c r="K2134" i="1"/>
  <c r="Z2133" i="1"/>
  <c r="W2133" i="1"/>
  <c r="V2133" i="1"/>
  <c r="U2133" i="1"/>
  <c r="R2133" i="1"/>
  <c r="P2133" i="1"/>
  <c r="K2133" i="1"/>
  <c r="Z2132" i="1"/>
  <c r="W2132" i="1"/>
  <c r="V2132" i="1"/>
  <c r="U2132" i="1"/>
  <c r="R2132" i="1"/>
  <c r="P2132" i="1"/>
  <c r="K2132" i="1"/>
  <c r="Z2131" i="1"/>
  <c r="W2131" i="1"/>
  <c r="V2131" i="1"/>
  <c r="U2131" i="1"/>
  <c r="R2131" i="1"/>
  <c r="P2131" i="1"/>
  <c r="K2131" i="1"/>
  <c r="Z2130" i="1"/>
  <c r="W2130" i="1"/>
  <c r="V2130" i="1"/>
  <c r="U2130" i="1"/>
  <c r="R2130" i="1"/>
  <c r="P2130" i="1"/>
  <c r="K2130" i="1"/>
  <c r="Z2129" i="1"/>
  <c r="W2129" i="1"/>
  <c r="V2129" i="1"/>
  <c r="U2129" i="1"/>
  <c r="R2129" i="1"/>
  <c r="P2129" i="1"/>
  <c r="K2129" i="1"/>
  <c r="Z2128" i="1"/>
  <c r="W2128" i="1"/>
  <c r="V2128" i="1"/>
  <c r="U2128" i="1"/>
  <c r="R2128" i="1"/>
  <c r="P2128" i="1"/>
  <c r="K2128" i="1"/>
  <c r="Z2127" i="1"/>
  <c r="W2127" i="1"/>
  <c r="V2127" i="1"/>
  <c r="U2127" i="1"/>
  <c r="R2127" i="1"/>
  <c r="P2127" i="1"/>
  <c r="K2127" i="1"/>
  <c r="Z2126" i="1"/>
  <c r="W2126" i="1"/>
  <c r="V2126" i="1"/>
  <c r="U2126" i="1"/>
  <c r="R2126" i="1"/>
  <c r="P2126" i="1"/>
  <c r="K2126" i="1"/>
  <c r="Z2125" i="1"/>
  <c r="W2125" i="1"/>
  <c r="V2125" i="1"/>
  <c r="U2125" i="1"/>
  <c r="R2125" i="1"/>
  <c r="P2125" i="1"/>
  <c r="K2125" i="1"/>
  <c r="Z2124" i="1"/>
  <c r="W2124" i="1"/>
  <c r="V2124" i="1"/>
  <c r="U2124" i="1"/>
  <c r="R2124" i="1"/>
  <c r="P2124" i="1"/>
  <c r="K2124" i="1"/>
  <c r="Z2123" i="1"/>
  <c r="W2123" i="1"/>
  <c r="V2123" i="1"/>
  <c r="U2123" i="1"/>
  <c r="R2123" i="1"/>
  <c r="P2123" i="1"/>
  <c r="K2123" i="1"/>
  <c r="Z2122" i="1"/>
  <c r="W2122" i="1"/>
  <c r="V2122" i="1"/>
  <c r="U2122" i="1"/>
  <c r="R2122" i="1"/>
  <c r="P2122" i="1"/>
  <c r="K2122" i="1"/>
  <c r="Z2121" i="1"/>
  <c r="W2121" i="1"/>
  <c r="V2121" i="1"/>
  <c r="U2121" i="1"/>
  <c r="R2121" i="1"/>
  <c r="P2121" i="1"/>
  <c r="K2121" i="1"/>
  <c r="Z2120" i="1"/>
  <c r="W2120" i="1"/>
  <c r="V2120" i="1"/>
  <c r="U2120" i="1"/>
  <c r="R2120" i="1"/>
  <c r="P2120" i="1"/>
  <c r="K2120" i="1"/>
  <c r="Z2119" i="1"/>
  <c r="W2119" i="1"/>
  <c r="V2119" i="1"/>
  <c r="U2119" i="1"/>
  <c r="R2119" i="1"/>
  <c r="P2119" i="1"/>
  <c r="K2119" i="1"/>
  <c r="Z2118" i="1"/>
  <c r="W2118" i="1"/>
  <c r="V2118" i="1"/>
  <c r="U2118" i="1"/>
  <c r="R2118" i="1"/>
  <c r="P2118" i="1"/>
  <c r="K2118" i="1"/>
  <c r="Z2117" i="1"/>
  <c r="W2117" i="1"/>
  <c r="V2117" i="1"/>
  <c r="U2117" i="1"/>
  <c r="R2117" i="1"/>
  <c r="P2117" i="1"/>
  <c r="K2117" i="1"/>
  <c r="Z2116" i="1"/>
  <c r="W2116" i="1"/>
  <c r="V2116" i="1"/>
  <c r="U2116" i="1"/>
  <c r="R2116" i="1"/>
  <c r="P2116" i="1"/>
  <c r="K2116" i="1"/>
  <c r="Z2115" i="1"/>
  <c r="W2115" i="1"/>
  <c r="V2115" i="1"/>
  <c r="U2115" i="1"/>
  <c r="R2115" i="1"/>
  <c r="P2115" i="1"/>
  <c r="K2115" i="1"/>
  <c r="Z2114" i="1"/>
  <c r="W2114" i="1"/>
  <c r="V2114" i="1"/>
  <c r="U2114" i="1"/>
  <c r="R2114" i="1"/>
  <c r="P2114" i="1"/>
  <c r="K2114" i="1"/>
  <c r="Z2113" i="1"/>
  <c r="W2113" i="1"/>
  <c r="V2113" i="1"/>
  <c r="U2113" i="1"/>
  <c r="R2113" i="1"/>
  <c r="P2113" i="1"/>
  <c r="K2113" i="1"/>
  <c r="Z2112" i="1"/>
  <c r="W2112" i="1"/>
  <c r="V2112" i="1"/>
  <c r="U2112" i="1"/>
  <c r="R2112" i="1"/>
  <c r="P2112" i="1"/>
  <c r="K2112" i="1"/>
  <c r="Z2111" i="1"/>
  <c r="W2111" i="1"/>
  <c r="V2111" i="1"/>
  <c r="U2111" i="1"/>
  <c r="R2111" i="1"/>
  <c r="P2111" i="1"/>
  <c r="K2111" i="1"/>
  <c r="Z2110" i="1"/>
  <c r="W2110" i="1"/>
  <c r="V2110" i="1"/>
  <c r="U2110" i="1"/>
  <c r="R2110" i="1"/>
  <c r="P2110" i="1"/>
  <c r="K2110" i="1"/>
  <c r="Z2109" i="1"/>
  <c r="W2109" i="1"/>
  <c r="V2109" i="1"/>
  <c r="U2109" i="1"/>
  <c r="R2109" i="1"/>
  <c r="P2109" i="1"/>
  <c r="K2109" i="1"/>
  <c r="Z2108" i="1"/>
  <c r="W2108" i="1"/>
  <c r="V2108" i="1"/>
  <c r="U2108" i="1"/>
  <c r="R2108" i="1"/>
  <c r="P2108" i="1"/>
  <c r="K2108" i="1"/>
  <c r="Z2107" i="1"/>
  <c r="W2107" i="1"/>
  <c r="V2107" i="1"/>
  <c r="U2107" i="1"/>
  <c r="R2107" i="1"/>
  <c r="P2107" i="1"/>
  <c r="K2107" i="1"/>
  <c r="Z2106" i="1"/>
  <c r="W2106" i="1"/>
  <c r="V2106" i="1"/>
  <c r="U2106" i="1"/>
  <c r="R2106" i="1"/>
  <c r="P2106" i="1"/>
  <c r="K2106" i="1"/>
  <c r="Z2105" i="1"/>
  <c r="W2105" i="1"/>
  <c r="V2105" i="1"/>
  <c r="U2105" i="1"/>
  <c r="R2105" i="1"/>
  <c r="P2105" i="1"/>
  <c r="K2105" i="1"/>
  <c r="Z2104" i="1"/>
  <c r="W2104" i="1"/>
  <c r="V2104" i="1"/>
  <c r="U2104" i="1"/>
  <c r="R2104" i="1"/>
  <c r="P2104" i="1"/>
  <c r="K2104" i="1"/>
  <c r="Z2103" i="1"/>
  <c r="W2103" i="1"/>
  <c r="V2103" i="1"/>
  <c r="U2103" i="1"/>
  <c r="R2103" i="1"/>
  <c r="P2103" i="1"/>
  <c r="K2103" i="1"/>
  <c r="Z2102" i="1"/>
  <c r="W2102" i="1"/>
  <c r="V2102" i="1"/>
  <c r="U2102" i="1"/>
  <c r="R2102" i="1"/>
  <c r="P2102" i="1"/>
  <c r="K2102" i="1"/>
  <c r="Z2101" i="1"/>
  <c r="W2101" i="1"/>
  <c r="V2101" i="1"/>
  <c r="U2101" i="1"/>
  <c r="R2101" i="1"/>
  <c r="P2101" i="1"/>
  <c r="K2101" i="1"/>
  <c r="Z2100" i="1"/>
  <c r="W2100" i="1"/>
  <c r="V2100" i="1"/>
  <c r="U2100" i="1"/>
  <c r="R2100" i="1"/>
  <c r="P2100" i="1"/>
  <c r="K2100" i="1"/>
  <c r="Z2099" i="1"/>
  <c r="W2099" i="1"/>
  <c r="V2099" i="1"/>
  <c r="U2099" i="1"/>
  <c r="R2099" i="1"/>
  <c r="P2099" i="1"/>
  <c r="K2099" i="1"/>
  <c r="Z2098" i="1"/>
  <c r="W2098" i="1"/>
  <c r="V2098" i="1"/>
  <c r="U2098" i="1"/>
  <c r="R2098" i="1"/>
  <c r="P2098" i="1"/>
  <c r="K2098" i="1"/>
  <c r="Z2097" i="1"/>
  <c r="W2097" i="1"/>
  <c r="V2097" i="1"/>
  <c r="U2097" i="1"/>
  <c r="R2097" i="1"/>
  <c r="P2097" i="1"/>
  <c r="K2097" i="1"/>
  <c r="Z2096" i="1"/>
  <c r="W2096" i="1"/>
  <c r="V2096" i="1"/>
  <c r="U2096" i="1"/>
  <c r="R2096" i="1"/>
  <c r="P2096" i="1"/>
  <c r="K2096" i="1"/>
  <c r="Z2095" i="1"/>
  <c r="W2095" i="1"/>
  <c r="V2095" i="1"/>
  <c r="U2095" i="1"/>
  <c r="R2095" i="1"/>
  <c r="P2095" i="1"/>
  <c r="K2095" i="1"/>
  <c r="Z2094" i="1"/>
  <c r="W2094" i="1"/>
  <c r="V2094" i="1"/>
  <c r="U2094" i="1"/>
  <c r="R2094" i="1"/>
  <c r="P2094" i="1"/>
  <c r="K2094" i="1"/>
  <c r="Z2093" i="1"/>
  <c r="W2093" i="1"/>
  <c r="V2093" i="1"/>
  <c r="U2093" i="1"/>
  <c r="R2093" i="1"/>
  <c r="P2093" i="1"/>
  <c r="K2093" i="1"/>
  <c r="Z2092" i="1"/>
  <c r="W2092" i="1"/>
  <c r="V2092" i="1"/>
  <c r="U2092" i="1"/>
  <c r="R2092" i="1"/>
  <c r="P2092" i="1"/>
  <c r="K2092" i="1"/>
  <c r="Z2091" i="1"/>
  <c r="W2091" i="1"/>
  <c r="V2091" i="1"/>
  <c r="U2091" i="1"/>
  <c r="R2091" i="1"/>
  <c r="P2091" i="1"/>
  <c r="K2091" i="1"/>
  <c r="Z2090" i="1"/>
  <c r="W2090" i="1"/>
  <c r="V2090" i="1"/>
  <c r="U2090" i="1"/>
  <c r="R2090" i="1"/>
  <c r="P2090" i="1"/>
  <c r="K2090" i="1"/>
  <c r="Z2089" i="1"/>
  <c r="W2089" i="1"/>
  <c r="V2089" i="1"/>
  <c r="U2089" i="1"/>
  <c r="R2089" i="1"/>
  <c r="P2089" i="1"/>
  <c r="K2089" i="1"/>
  <c r="Z2088" i="1"/>
  <c r="W2088" i="1"/>
  <c r="V2088" i="1"/>
  <c r="U2088" i="1"/>
  <c r="R2088" i="1"/>
  <c r="P2088" i="1"/>
  <c r="K2088" i="1"/>
  <c r="Z2087" i="1"/>
  <c r="W2087" i="1"/>
  <c r="V2087" i="1"/>
  <c r="U2087" i="1"/>
  <c r="R2087" i="1"/>
  <c r="P2087" i="1"/>
  <c r="K2087" i="1"/>
  <c r="Z2086" i="1"/>
  <c r="W2086" i="1"/>
  <c r="V2086" i="1"/>
  <c r="U2086" i="1"/>
  <c r="R2086" i="1"/>
  <c r="P2086" i="1"/>
  <c r="K2086" i="1"/>
  <c r="Z2085" i="1"/>
  <c r="W2085" i="1"/>
  <c r="V2085" i="1"/>
  <c r="U2085" i="1"/>
  <c r="R2085" i="1"/>
  <c r="P2085" i="1"/>
  <c r="K2085" i="1"/>
  <c r="Z2084" i="1"/>
  <c r="W2084" i="1"/>
  <c r="V2084" i="1"/>
  <c r="U2084" i="1"/>
  <c r="R2084" i="1"/>
  <c r="P2084" i="1"/>
  <c r="K2084" i="1"/>
  <c r="Z2083" i="1"/>
  <c r="W2083" i="1"/>
  <c r="V2083" i="1"/>
  <c r="U2083" i="1"/>
  <c r="R2083" i="1"/>
  <c r="P2083" i="1"/>
  <c r="K2083" i="1"/>
  <c r="Z2082" i="1"/>
  <c r="W2082" i="1"/>
  <c r="V2082" i="1"/>
  <c r="U2082" i="1"/>
  <c r="R2082" i="1"/>
  <c r="P2082" i="1"/>
  <c r="K2082" i="1"/>
  <c r="Z2081" i="1"/>
  <c r="W2081" i="1"/>
  <c r="V2081" i="1"/>
  <c r="U2081" i="1"/>
  <c r="R2081" i="1"/>
  <c r="P2081" i="1"/>
  <c r="K2081" i="1"/>
  <c r="Z2080" i="1"/>
  <c r="W2080" i="1"/>
  <c r="V2080" i="1"/>
  <c r="U2080" i="1"/>
  <c r="R2080" i="1"/>
  <c r="P2080" i="1"/>
  <c r="K2080" i="1"/>
  <c r="Z2079" i="1"/>
  <c r="W2079" i="1"/>
  <c r="V2079" i="1"/>
  <c r="U2079" i="1"/>
  <c r="R2079" i="1"/>
  <c r="P2079" i="1"/>
  <c r="K2079" i="1"/>
  <c r="Z2078" i="1"/>
  <c r="W2078" i="1"/>
  <c r="V2078" i="1"/>
  <c r="U2078" i="1"/>
  <c r="R2078" i="1"/>
  <c r="P2078" i="1"/>
  <c r="K2078" i="1"/>
  <c r="Z2077" i="1"/>
  <c r="W2077" i="1"/>
  <c r="V2077" i="1"/>
  <c r="U2077" i="1"/>
  <c r="R2077" i="1"/>
  <c r="P2077" i="1"/>
  <c r="K2077" i="1"/>
  <c r="Z2076" i="1"/>
  <c r="W2076" i="1"/>
  <c r="V2076" i="1"/>
  <c r="U2076" i="1"/>
  <c r="R2076" i="1"/>
  <c r="P2076" i="1"/>
  <c r="K2076" i="1"/>
  <c r="Z2075" i="1"/>
  <c r="W2075" i="1"/>
  <c r="V2075" i="1"/>
  <c r="U2075" i="1"/>
  <c r="R2075" i="1"/>
  <c r="P2075" i="1"/>
  <c r="K2075" i="1"/>
  <c r="Z2074" i="1"/>
  <c r="W2074" i="1"/>
  <c r="V2074" i="1"/>
  <c r="U2074" i="1"/>
  <c r="R2074" i="1"/>
  <c r="P2074" i="1"/>
  <c r="K2074" i="1"/>
  <c r="Z2073" i="1"/>
  <c r="W2073" i="1"/>
  <c r="V2073" i="1"/>
  <c r="U2073" i="1"/>
  <c r="R2073" i="1"/>
  <c r="P2073" i="1"/>
  <c r="K2073" i="1"/>
  <c r="Z2072" i="1"/>
  <c r="W2072" i="1"/>
  <c r="V2072" i="1"/>
  <c r="U2072" i="1"/>
  <c r="R2072" i="1"/>
  <c r="P2072" i="1"/>
  <c r="K2072" i="1"/>
  <c r="Z2071" i="1"/>
  <c r="W2071" i="1"/>
  <c r="V2071" i="1"/>
  <c r="U2071" i="1"/>
  <c r="R2071" i="1"/>
  <c r="P2071" i="1"/>
  <c r="K2071" i="1"/>
  <c r="Z2070" i="1"/>
  <c r="W2070" i="1"/>
  <c r="V2070" i="1"/>
  <c r="U2070" i="1"/>
  <c r="R2070" i="1"/>
  <c r="P2070" i="1"/>
  <c r="K2070" i="1"/>
  <c r="Z2069" i="1"/>
  <c r="W2069" i="1"/>
  <c r="V2069" i="1"/>
  <c r="U2069" i="1"/>
  <c r="R2069" i="1"/>
  <c r="P2069" i="1"/>
  <c r="K2069" i="1"/>
  <c r="Z2068" i="1"/>
  <c r="W2068" i="1"/>
  <c r="V2068" i="1"/>
  <c r="U2068" i="1"/>
  <c r="R2068" i="1"/>
  <c r="P2068" i="1"/>
  <c r="K2068" i="1"/>
  <c r="Z2067" i="1"/>
  <c r="W2067" i="1"/>
  <c r="V2067" i="1"/>
  <c r="U2067" i="1"/>
  <c r="R2067" i="1"/>
  <c r="P2067" i="1"/>
  <c r="K2067" i="1"/>
  <c r="Z2066" i="1"/>
  <c r="W2066" i="1"/>
  <c r="V2066" i="1"/>
  <c r="U2066" i="1"/>
  <c r="R2066" i="1"/>
  <c r="P2066" i="1"/>
  <c r="K2066" i="1"/>
  <c r="Z2065" i="1"/>
  <c r="W2065" i="1"/>
  <c r="V2065" i="1"/>
  <c r="U2065" i="1"/>
  <c r="R2065" i="1"/>
  <c r="P2065" i="1"/>
  <c r="K2065" i="1"/>
  <c r="Z2064" i="1"/>
  <c r="W2064" i="1"/>
  <c r="V2064" i="1"/>
  <c r="U2064" i="1"/>
  <c r="R2064" i="1"/>
  <c r="P2064" i="1"/>
  <c r="K2064" i="1"/>
  <c r="Z2063" i="1"/>
  <c r="W2063" i="1"/>
  <c r="V2063" i="1"/>
  <c r="U2063" i="1"/>
  <c r="R2063" i="1"/>
  <c r="P2063" i="1"/>
  <c r="K2063" i="1"/>
  <c r="Z2062" i="1"/>
  <c r="W2062" i="1"/>
  <c r="V2062" i="1"/>
  <c r="U2062" i="1"/>
  <c r="R2062" i="1"/>
  <c r="P2062" i="1"/>
  <c r="K2062" i="1"/>
  <c r="Z2061" i="1"/>
  <c r="W2061" i="1"/>
  <c r="V2061" i="1"/>
  <c r="U2061" i="1"/>
  <c r="R2061" i="1"/>
  <c r="P2061" i="1"/>
  <c r="K2061" i="1"/>
  <c r="Z2060" i="1"/>
  <c r="W2060" i="1"/>
  <c r="V2060" i="1"/>
  <c r="U2060" i="1"/>
  <c r="R2060" i="1"/>
  <c r="P2060" i="1"/>
  <c r="K2060" i="1"/>
  <c r="Z2059" i="1"/>
  <c r="W2059" i="1"/>
  <c r="V2059" i="1"/>
  <c r="U2059" i="1"/>
  <c r="R2059" i="1"/>
  <c r="P2059" i="1"/>
  <c r="K2059" i="1"/>
  <c r="Z2058" i="1"/>
  <c r="W2058" i="1"/>
  <c r="V2058" i="1"/>
  <c r="U2058" i="1"/>
  <c r="R2058" i="1"/>
  <c r="P2058" i="1"/>
  <c r="K2058" i="1"/>
  <c r="Z2057" i="1"/>
  <c r="W2057" i="1"/>
  <c r="V2057" i="1"/>
  <c r="U2057" i="1"/>
  <c r="R2057" i="1"/>
  <c r="P2057" i="1"/>
  <c r="K2057" i="1"/>
  <c r="Z2056" i="1"/>
  <c r="W2056" i="1"/>
  <c r="V2056" i="1"/>
  <c r="U2056" i="1"/>
  <c r="R2056" i="1"/>
  <c r="P2056" i="1"/>
  <c r="K2056" i="1"/>
  <c r="Z2055" i="1"/>
  <c r="W2055" i="1"/>
  <c r="V2055" i="1"/>
  <c r="U2055" i="1"/>
  <c r="R2055" i="1"/>
  <c r="P2055" i="1"/>
  <c r="K2055" i="1"/>
  <c r="Z2054" i="1"/>
  <c r="W2054" i="1"/>
  <c r="V2054" i="1"/>
  <c r="U2054" i="1"/>
  <c r="R2054" i="1"/>
  <c r="P2054" i="1"/>
  <c r="K2054" i="1"/>
  <c r="Z2053" i="1"/>
  <c r="W2053" i="1"/>
  <c r="V2053" i="1"/>
  <c r="U2053" i="1"/>
  <c r="R2053" i="1"/>
  <c r="P2053" i="1"/>
  <c r="K2053" i="1"/>
  <c r="Z2052" i="1"/>
  <c r="W2052" i="1"/>
  <c r="V2052" i="1"/>
  <c r="U2052" i="1"/>
  <c r="R2052" i="1"/>
  <c r="P2052" i="1"/>
  <c r="K2052" i="1"/>
  <c r="Z2051" i="1"/>
  <c r="W2051" i="1"/>
  <c r="V2051" i="1"/>
  <c r="U2051" i="1"/>
  <c r="R2051" i="1"/>
  <c r="P2051" i="1"/>
  <c r="K2051" i="1"/>
  <c r="Z2050" i="1"/>
  <c r="W2050" i="1"/>
  <c r="V2050" i="1"/>
  <c r="U2050" i="1"/>
  <c r="R2050" i="1"/>
  <c r="P2050" i="1"/>
  <c r="K2050" i="1"/>
  <c r="Z2049" i="1"/>
  <c r="W2049" i="1"/>
  <c r="V2049" i="1"/>
  <c r="U2049" i="1"/>
  <c r="R2049" i="1"/>
  <c r="P2049" i="1"/>
  <c r="K2049" i="1"/>
  <c r="Z2048" i="1"/>
  <c r="W2048" i="1"/>
  <c r="V2048" i="1"/>
  <c r="U2048" i="1"/>
  <c r="R2048" i="1"/>
  <c r="P2048" i="1"/>
  <c r="K2048" i="1"/>
  <c r="Z2047" i="1"/>
  <c r="W2047" i="1"/>
  <c r="V2047" i="1"/>
  <c r="U2047" i="1"/>
  <c r="R2047" i="1"/>
  <c r="P2047" i="1"/>
  <c r="K2047" i="1"/>
  <c r="Z2046" i="1"/>
  <c r="W2046" i="1"/>
  <c r="V2046" i="1"/>
  <c r="U2046" i="1"/>
  <c r="R2046" i="1"/>
  <c r="P2046" i="1"/>
  <c r="K2046" i="1"/>
  <c r="Z2045" i="1"/>
  <c r="W2045" i="1"/>
  <c r="V2045" i="1"/>
  <c r="U2045" i="1"/>
  <c r="R2045" i="1"/>
  <c r="P2045" i="1"/>
  <c r="K2045" i="1"/>
  <c r="Z2044" i="1"/>
  <c r="W2044" i="1"/>
  <c r="V2044" i="1"/>
  <c r="U2044" i="1"/>
  <c r="R2044" i="1"/>
  <c r="P2044" i="1"/>
  <c r="K2044" i="1"/>
  <c r="Z2043" i="1"/>
  <c r="W2043" i="1"/>
  <c r="V2043" i="1"/>
  <c r="U2043" i="1"/>
  <c r="R2043" i="1"/>
  <c r="P2043" i="1"/>
  <c r="K2043" i="1"/>
  <c r="Z2042" i="1"/>
  <c r="W2042" i="1"/>
  <c r="V2042" i="1"/>
  <c r="U2042" i="1"/>
  <c r="R2042" i="1"/>
  <c r="P2042" i="1"/>
  <c r="K2042" i="1"/>
  <c r="Z2041" i="1"/>
  <c r="W2041" i="1"/>
  <c r="V2041" i="1"/>
  <c r="U2041" i="1"/>
  <c r="R2041" i="1"/>
  <c r="P2041" i="1"/>
  <c r="K2041" i="1"/>
  <c r="Z2040" i="1"/>
  <c r="W2040" i="1"/>
  <c r="V2040" i="1"/>
  <c r="U2040" i="1"/>
  <c r="R2040" i="1"/>
  <c r="P2040" i="1"/>
  <c r="K2040" i="1"/>
  <c r="Z2039" i="1"/>
  <c r="W2039" i="1"/>
  <c r="V2039" i="1"/>
  <c r="U2039" i="1"/>
  <c r="R2039" i="1"/>
  <c r="P2039" i="1"/>
  <c r="K2039" i="1"/>
  <c r="Z2038" i="1"/>
  <c r="W2038" i="1"/>
  <c r="V2038" i="1"/>
  <c r="U2038" i="1"/>
  <c r="R2038" i="1"/>
  <c r="P2038" i="1"/>
  <c r="K2038" i="1"/>
  <c r="Z2037" i="1"/>
  <c r="W2037" i="1"/>
  <c r="V2037" i="1"/>
  <c r="U2037" i="1"/>
  <c r="R2037" i="1"/>
  <c r="P2037" i="1"/>
  <c r="K2037" i="1"/>
  <c r="Z2036" i="1"/>
  <c r="W2036" i="1"/>
  <c r="V2036" i="1"/>
  <c r="U2036" i="1"/>
  <c r="R2036" i="1"/>
  <c r="P2036" i="1"/>
  <c r="K2036" i="1"/>
  <c r="Z2035" i="1"/>
  <c r="W2035" i="1"/>
  <c r="V2035" i="1"/>
  <c r="U2035" i="1"/>
  <c r="R2035" i="1"/>
  <c r="P2035" i="1"/>
  <c r="K2035" i="1"/>
  <c r="Z2034" i="1"/>
  <c r="W2034" i="1"/>
  <c r="V2034" i="1"/>
  <c r="U2034" i="1"/>
  <c r="R2034" i="1"/>
  <c r="P2034" i="1"/>
  <c r="K2034" i="1"/>
  <c r="Z2033" i="1"/>
  <c r="W2033" i="1"/>
  <c r="V2033" i="1"/>
  <c r="U2033" i="1"/>
  <c r="R2033" i="1"/>
  <c r="P2033" i="1"/>
  <c r="K2033" i="1"/>
  <c r="Z2032" i="1"/>
  <c r="W2032" i="1"/>
  <c r="V2032" i="1"/>
  <c r="U2032" i="1"/>
  <c r="R2032" i="1"/>
  <c r="P2032" i="1"/>
  <c r="K2032" i="1"/>
  <c r="Z2031" i="1"/>
  <c r="W2031" i="1"/>
  <c r="V2031" i="1"/>
  <c r="U2031" i="1"/>
  <c r="R2031" i="1"/>
  <c r="P2031" i="1"/>
  <c r="K2031" i="1"/>
  <c r="Z2030" i="1"/>
  <c r="W2030" i="1"/>
  <c r="V2030" i="1"/>
  <c r="U2030" i="1"/>
  <c r="R2030" i="1"/>
  <c r="P2030" i="1"/>
  <c r="K2030" i="1"/>
  <c r="Z2029" i="1"/>
  <c r="W2029" i="1"/>
  <c r="V2029" i="1"/>
  <c r="U2029" i="1"/>
  <c r="R2029" i="1"/>
  <c r="P2029" i="1"/>
  <c r="K2029" i="1"/>
  <c r="Z2028" i="1"/>
  <c r="W2028" i="1"/>
  <c r="V2028" i="1"/>
  <c r="U2028" i="1"/>
  <c r="R2028" i="1"/>
  <c r="P2028" i="1"/>
  <c r="K2028" i="1"/>
  <c r="Z2027" i="1"/>
  <c r="W2027" i="1"/>
  <c r="V2027" i="1"/>
  <c r="U2027" i="1"/>
  <c r="R2027" i="1"/>
  <c r="P2027" i="1"/>
  <c r="K2027" i="1"/>
  <c r="Z2026" i="1"/>
  <c r="W2026" i="1"/>
  <c r="V2026" i="1"/>
  <c r="U2026" i="1"/>
  <c r="R2026" i="1"/>
  <c r="P2026" i="1"/>
  <c r="K2026" i="1"/>
  <c r="Z2025" i="1"/>
  <c r="W2025" i="1"/>
  <c r="V2025" i="1"/>
  <c r="U2025" i="1"/>
  <c r="R2025" i="1"/>
  <c r="P2025" i="1"/>
  <c r="K2025" i="1"/>
  <c r="Z2024" i="1"/>
  <c r="W2024" i="1"/>
  <c r="V2024" i="1"/>
  <c r="U2024" i="1"/>
  <c r="R2024" i="1"/>
  <c r="P2024" i="1"/>
  <c r="K2024" i="1"/>
  <c r="Z2023" i="1"/>
  <c r="W2023" i="1"/>
  <c r="V2023" i="1"/>
  <c r="U2023" i="1"/>
  <c r="R2023" i="1"/>
  <c r="P2023" i="1"/>
  <c r="K2023" i="1"/>
  <c r="Z2022" i="1"/>
  <c r="W2022" i="1"/>
  <c r="V2022" i="1"/>
  <c r="U2022" i="1"/>
  <c r="R2022" i="1"/>
  <c r="P2022" i="1"/>
  <c r="K2022" i="1"/>
  <c r="Z2021" i="1"/>
  <c r="W2021" i="1"/>
  <c r="V2021" i="1"/>
  <c r="U2021" i="1"/>
  <c r="R2021" i="1"/>
  <c r="P2021" i="1"/>
  <c r="K2021" i="1"/>
  <c r="Z2020" i="1"/>
  <c r="W2020" i="1"/>
  <c r="V2020" i="1"/>
  <c r="U2020" i="1"/>
  <c r="R2020" i="1"/>
  <c r="P2020" i="1"/>
  <c r="K2020" i="1"/>
  <c r="Z2019" i="1"/>
  <c r="W2019" i="1"/>
  <c r="V2019" i="1"/>
  <c r="U2019" i="1"/>
  <c r="R2019" i="1"/>
  <c r="P2019" i="1"/>
  <c r="K2019" i="1"/>
  <c r="Z2018" i="1"/>
  <c r="W2018" i="1"/>
  <c r="V2018" i="1"/>
  <c r="U2018" i="1"/>
  <c r="R2018" i="1"/>
  <c r="P2018" i="1"/>
  <c r="K2018" i="1"/>
  <c r="Z2017" i="1"/>
  <c r="W2017" i="1"/>
  <c r="V2017" i="1"/>
  <c r="U2017" i="1"/>
  <c r="R2017" i="1"/>
  <c r="P2017" i="1"/>
  <c r="K2017" i="1"/>
  <c r="Z2016" i="1"/>
  <c r="W2016" i="1"/>
  <c r="V2016" i="1"/>
  <c r="U2016" i="1"/>
  <c r="R2016" i="1"/>
  <c r="P2016" i="1"/>
  <c r="K2016" i="1"/>
  <c r="Z2015" i="1"/>
  <c r="W2015" i="1"/>
  <c r="V2015" i="1"/>
  <c r="U2015" i="1"/>
  <c r="R2015" i="1"/>
  <c r="P2015" i="1"/>
  <c r="K2015" i="1"/>
  <c r="Z2014" i="1"/>
  <c r="W2014" i="1"/>
  <c r="V2014" i="1"/>
  <c r="U2014" i="1"/>
  <c r="R2014" i="1"/>
  <c r="P2014" i="1"/>
  <c r="K2014" i="1"/>
  <c r="Z2013" i="1"/>
  <c r="W2013" i="1"/>
  <c r="V2013" i="1"/>
  <c r="U2013" i="1"/>
  <c r="R2013" i="1"/>
  <c r="P2013" i="1"/>
  <c r="K2013" i="1"/>
  <c r="Z2012" i="1"/>
  <c r="W2012" i="1"/>
  <c r="V2012" i="1"/>
  <c r="U2012" i="1"/>
  <c r="R2012" i="1"/>
  <c r="P2012" i="1"/>
  <c r="K2012" i="1"/>
  <c r="Z2011" i="1"/>
  <c r="W2011" i="1"/>
  <c r="V2011" i="1"/>
  <c r="U2011" i="1"/>
  <c r="R2011" i="1"/>
  <c r="P2011" i="1"/>
  <c r="K2011" i="1"/>
  <c r="Z2010" i="1"/>
  <c r="W2010" i="1"/>
  <c r="V2010" i="1"/>
  <c r="U2010" i="1"/>
  <c r="R2010" i="1"/>
  <c r="P2010" i="1"/>
  <c r="K2010" i="1"/>
  <c r="Z2009" i="1"/>
  <c r="W2009" i="1"/>
  <c r="V2009" i="1"/>
  <c r="U2009" i="1"/>
  <c r="R2009" i="1"/>
  <c r="P2009" i="1"/>
  <c r="K2009" i="1"/>
  <c r="Z2008" i="1"/>
  <c r="W2008" i="1"/>
  <c r="V2008" i="1"/>
  <c r="U2008" i="1"/>
  <c r="R2008" i="1"/>
  <c r="P2008" i="1"/>
  <c r="K2008" i="1"/>
  <c r="Z2007" i="1"/>
  <c r="W2007" i="1"/>
  <c r="V2007" i="1"/>
  <c r="U2007" i="1"/>
  <c r="R2007" i="1"/>
  <c r="P2007" i="1"/>
  <c r="K2007" i="1"/>
  <c r="Z2006" i="1"/>
  <c r="W2006" i="1"/>
  <c r="V2006" i="1"/>
  <c r="U2006" i="1"/>
  <c r="R2006" i="1"/>
  <c r="P2006" i="1"/>
  <c r="K2006" i="1"/>
  <c r="Z2005" i="1"/>
  <c r="W2005" i="1"/>
  <c r="V2005" i="1"/>
  <c r="U2005" i="1"/>
  <c r="R2005" i="1"/>
  <c r="P2005" i="1"/>
  <c r="K2005" i="1"/>
  <c r="Z2004" i="1"/>
  <c r="W2004" i="1"/>
  <c r="V2004" i="1"/>
  <c r="U2004" i="1"/>
  <c r="R2004" i="1"/>
  <c r="P2004" i="1"/>
  <c r="K2004" i="1"/>
  <c r="Z2003" i="1"/>
  <c r="W2003" i="1"/>
  <c r="V2003" i="1"/>
  <c r="U2003" i="1"/>
  <c r="R2003" i="1"/>
  <c r="P2003" i="1"/>
  <c r="K2003" i="1"/>
  <c r="Z2002" i="1"/>
  <c r="W2002" i="1"/>
  <c r="V2002" i="1"/>
  <c r="U2002" i="1"/>
  <c r="R2002" i="1"/>
  <c r="P2002" i="1"/>
  <c r="K2002" i="1"/>
  <c r="Z2001" i="1"/>
  <c r="W2001" i="1"/>
  <c r="V2001" i="1"/>
  <c r="U2001" i="1"/>
  <c r="R2001" i="1"/>
  <c r="P2001" i="1"/>
  <c r="K2001" i="1"/>
  <c r="Z2000" i="1"/>
  <c r="W2000" i="1"/>
  <c r="V2000" i="1"/>
  <c r="U2000" i="1"/>
  <c r="R2000" i="1"/>
  <c r="P2000" i="1"/>
  <c r="K2000" i="1"/>
  <c r="Z1999" i="1"/>
  <c r="W1999" i="1"/>
  <c r="V1999" i="1"/>
  <c r="U1999" i="1"/>
  <c r="R1999" i="1"/>
  <c r="P1999" i="1"/>
  <c r="K1999" i="1"/>
  <c r="Z1998" i="1"/>
  <c r="W1998" i="1"/>
  <c r="V1998" i="1"/>
  <c r="U1998" i="1"/>
  <c r="R1998" i="1"/>
  <c r="P1998" i="1"/>
  <c r="K1998" i="1"/>
  <c r="Z1997" i="1"/>
  <c r="W1997" i="1"/>
  <c r="V1997" i="1"/>
  <c r="U1997" i="1"/>
  <c r="R1997" i="1"/>
  <c r="P1997" i="1"/>
  <c r="K1997" i="1"/>
  <c r="Z1996" i="1"/>
  <c r="W1996" i="1"/>
  <c r="V1996" i="1"/>
  <c r="U1996" i="1"/>
  <c r="R1996" i="1"/>
  <c r="P1996" i="1"/>
  <c r="K1996" i="1"/>
  <c r="Z1995" i="1"/>
  <c r="W1995" i="1"/>
  <c r="V1995" i="1"/>
  <c r="U1995" i="1"/>
  <c r="R1995" i="1"/>
  <c r="P1995" i="1"/>
  <c r="K1995" i="1"/>
  <c r="Z1994" i="1"/>
  <c r="W1994" i="1"/>
  <c r="V1994" i="1"/>
  <c r="U1994" i="1"/>
  <c r="R1994" i="1"/>
  <c r="P1994" i="1"/>
  <c r="K1994" i="1"/>
  <c r="Z1993" i="1"/>
  <c r="W1993" i="1"/>
  <c r="V1993" i="1"/>
  <c r="U1993" i="1"/>
  <c r="R1993" i="1"/>
  <c r="P1993" i="1"/>
  <c r="K1993" i="1"/>
  <c r="Z1992" i="1"/>
  <c r="W1992" i="1"/>
  <c r="V1992" i="1"/>
  <c r="U1992" i="1"/>
  <c r="R1992" i="1"/>
  <c r="P1992" i="1"/>
  <c r="K1992" i="1"/>
  <c r="Z1991" i="1"/>
  <c r="W1991" i="1"/>
  <c r="V1991" i="1"/>
  <c r="U1991" i="1"/>
  <c r="R1991" i="1"/>
  <c r="P1991" i="1"/>
  <c r="K1991" i="1"/>
  <c r="Z1990" i="1"/>
  <c r="W1990" i="1"/>
  <c r="V1990" i="1"/>
  <c r="U1990" i="1"/>
  <c r="R1990" i="1"/>
  <c r="P1990" i="1"/>
  <c r="K1990" i="1"/>
  <c r="Z1989" i="1"/>
  <c r="W1989" i="1"/>
  <c r="V1989" i="1"/>
  <c r="U1989" i="1"/>
  <c r="R1989" i="1"/>
  <c r="P1989" i="1"/>
  <c r="K1989" i="1"/>
  <c r="Z1988" i="1"/>
  <c r="W1988" i="1"/>
  <c r="V1988" i="1"/>
  <c r="U1988" i="1"/>
  <c r="R1988" i="1"/>
  <c r="P1988" i="1"/>
  <c r="K1988" i="1"/>
  <c r="Z1987" i="1"/>
  <c r="W1987" i="1"/>
  <c r="V1987" i="1"/>
  <c r="U1987" i="1"/>
  <c r="R1987" i="1"/>
  <c r="P1987" i="1"/>
  <c r="K1987" i="1"/>
  <c r="Z1986" i="1"/>
  <c r="W1986" i="1"/>
  <c r="V1986" i="1"/>
  <c r="U1986" i="1"/>
  <c r="R1986" i="1"/>
  <c r="P1986" i="1"/>
  <c r="K1986" i="1"/>
  <c r="Z1985" i="1"/>
  <c r="W1985" i="1"/>
  <c r="V1985" i="1"/>
  <c r="U1985" i="1"/>
  <c r="R1985" i="1"/>
  <c r="P1985" i="1"/>
  <c r="K1985" i="1"/>
  <c r="Z1984" i="1"/>
  <c r="W1984" i="1"/>
  <c r="V1984" i="1"/>
  <c r="U1984" i="1"/>
  <c r="R1984" i="1"/>
  <c r="P1984" i="1"/>
  <c r="K1984" i="1"/>
  <c r="Z1983" i="1"/>
  <c r="W1983" i="1"/>
  <c r="V1983" i="1"/>
  <c r="U1983" i="1"/>
  <c r="R1983" i="1"/>
  <c r="P1983" i="1"/>
  <c r="K1983" i="1"/>
  <c r="Z1982" i="1"/>
  <c r="W1982" i="1"/>
  <c r="V1982" i="1"/>
  <c r="U1982" i="1"/>
  <c r="R1982" i="1"/>
  <c r="P1982" i="1"/>
  <c r="K1982" i="1"/>
  <c r="Z1981" i="1"/>
  <c r="W1981" i="1"/>
  <c r="V1981" i="1"/>
  <c r="U1981" i="1"/>
  <c r="R1981" i="1"/>
  <c r="P1981" i="1"/>
  <c r="K1981" i="1"/>
  <c r="Z1980" i="1"/>
  <c r="W1980" i="1"/>
  <c r="V1980" i="1"/>
  <c r="U1980" i="1"/>
  <c r="R1980" i="1"/>
  <c r="P1980" i="1"/>
  <c r="K1980" i="1"/>
  <c r="Z1979" i="1"/>
  <c r="W1979" i="1"/>
  <c r="V1979" i="1"/>
  <c r="U1979" i="1"/>
  <c r="R1979" i="1"/>
  <c r="P1979" i="1"/>
  <c r="K1979" i="1"/>
  <c r="Z1978" i="1"/>
  <c r="W1978" i="1"/>
  <c r="V1978" i="1"/>
  <c r="U1978" i="1"/>
  <c r="R1978" i="1"/>
  <c r="P1978" i="1"/>
  <c r="K1978" i="1"/>
  <c r="Z1977" i="1"/>
  <c r="W1977" i="1"/>
  <c r="V1977" i="1"/>
  <c r="U1977" i="1"/>
  <c r="R1977" i="1"/>
  <c r="P1977" i="1"/>
  <c r="K1977" i="1"/>
  <c r="Z1976" i="1"/>
  <c r="W1976" i="1"/>
  <c r="V1976" i="1"/>
  <c r="U1976" i="1"/>
  <c r="R1976" i="1"/>
  <c r="P1976" i="1"/>
  <c r="K1976" i="1"/>
  <c r="Z1975" i="1"/>
  <c r="W1975" i="1"/>
  <c r="V1975" i="1"/>
  <c r="U1975" i="1"/>
  <c r="R1975" i="1"/>
  <c r="P1975" i="1"/>
  <c r="K1975" i="1"/>
  <c r="Z1974" i="1"/>
  <c r="W1974" i="1"/>
  <c r="V1974" i="1"/>
  <c r="U1974" i="1"/>
  <c r="R1974" i="1"/>
  <c r="P1974" i="1"/>
  <c r="K1974" i="1"/>
  <c r="Z1973" i="1"/>
  <c r="W1973" i="1"/>
  <c r="V1973" i="1"/>
  <c r="U1973" i="1"/>
  <c r="R1973" i="1"/>
  <c r="P1973" i="1"/>
  <c r="K1973" i="1"/>
  <c r="Z1972" i="1"/>
  <c r="W1972" i="1"/>
  <c r="V1972" i="1"/>
  <c r="U1972" i="1"/>
  <c r="R1972" i="1"/>
  <c r="P1972" i="1"/>
  <c r="K1972" i="1"/>
  <c r="Z1971" i="1"/>
  <c r="W1971" i="1"/>
  <c r="V1971" i="1"/>
  <c r="U1971" i="1"/>
  <c r="R1971" i="1"/>
  <c r="P1971" i="1"/>
  <c r="K1971" i="1"/>
  <c r="Z1970" i="1"/>
  <c r="W1970" i="1"/>
  <c r="V1970" i="1"/>
  <c r="U1970" i="1"/>
  <c r="R1970" i="1"/>
  <c r="P1970" i="1"/>
  <c r="K1970" i="1"/>
  <c r="Z1969" i="1"/>
  <c r="W1969" i="1"/>
  <c r="V1969" i="1"/>
  <c r="U1969" i="1"/>
  <c r="R1969" i="1"/>
  <c r="P1969" i="1"/>
  <c r="K1969" i="1"/>
  <c r="Z1968" i="1"/>
  <c r="W1968" i="1"/>
  <c r="V1968" i="1"/>
  <c r="U1968" i="1"/>
  <c r="R1968" i="1"/>
  <c r="P1968" i="1"/>
  <c r="K1968" i="1"/>
  <c r="Z1967" i="1"/>
  <c r="W1967" i="1"/>
  <c r="V1967" i="1"/>
  <c r="U1967" i="1"/>
  <c r="R1967" i="1"/>
  <c r="P1967" i="1"/>
  <c r="K1967" i="1"/>
  <c r="Z1966" i="1"/>
  <c r="W1966" i="1"/>
  <c r="V1966" i="1"/>
  <c r="U1966" i="1"/>
  <c r="R1966" i="1"/>
  <c r="P1966" i="1"/>
  <c r="K1966" i="1"/>
  <c r="Z1965" i="1"/>
  <c r="W1965" i="1"/>
  <c r="V1965" i="1"/>
  <c r="U1965" i="1"/>
  <c r="R1965" i="1"/>
  <c r="P1965" i="1"/>
  <c r="K1965" i="1"/>
  <c r="Z1964" i="1"/>
  <c r="W1964" i="1"/>
  <c r="V1964" i="1"/>
  <c r="U1964" i="1"/>
  <c r="R1964" i="1"/>
  <c r="P1964" i="1"/>
  <c r="K1964" i="1"/>
  <c r="Z1963" i="1"/>
  <c r="W1963" i="1"/>
  <c r="V1963" i="1"/>
  <c r="U1963" i="1"/>
  <c r="R1963" i="1"/>
  <c r="P1963" i="1"/>
  <c r="K1963" i="1"/>
  <c r="Z1962" i="1"/>
  <c r="W1962" i="1"/>
  <c r="V1962" i="1"/>
  <c r="U1962" i="1"/>
  <c r="R1962" i="1"/>
  <c r="P1962" i="1"/>
  <c r="K1962" i="1"/>
  <c r="Z1961" i="1"/>
  <c r="W1961" i="1"/>
  <c r="V1961" i="1"/>
  <c r="U1961" i="1"/>
  <c r="R1961" i="1"/>
  <c r="P1961" i="1"/>
  <c r="K1961" i="1"/>
  <c r="Z1960" i="1"/>
  <c r="W1960" i="1"/>
  <c r="V1960" i="1"/>
  <c r="U1960" i="1"/>
  <c r="R1960" i="1"/>
  <c r="P1960" i="1"/>
  <c r="K1960" i="1"/>
  <c r="Z1959" i="1"/>
  <c r="W1959" i="1"/>
  <c r="V1959" i="1"/>
  <c r="U1959" i="1"/>
  <c r="R1959" i="1"/>
  <c r="P1959" i="1"/>
  <c r="K1959" i="1"/>
  <c r="Z1958" i="1"/>
  <c r="W1958" i="1"/>
  <c r="V1958" i="1"/>
  <c r="U1958" i="1"/>
  <c r="R1958" i="1"/>
  <c r="P1958" i="1"/>
  <c r="K1958" i="1"/>
  <c r="Z1957" i="1"/>
  <c r="W1957" i="1"/>
  <c r="V1957" i="1"/>
  <c r="U1957" i="1"/>
  <c r="R1957" i="1"/>
  <c r="P1957" i="1"/>
  <c r="K1957" i="1"/>
  <c r="Z1956" i="1"/>
  <c r="W1956" i="1"/>
  <c r="V1956" i="1"/>
  <c r="U1956" i="1"/>
  <c r="R1956" i="1"/>
  <c r="P1956" i="1"/>
  <c r="K1956" i="1"/>
  <c r="Z1955" i="1"/>
  <c r="W1955" i="1"/>
  <c r="V1955" i="1"/>
  <c r="U1955" i="1"/>
  <c r="R1955" i="1"/>
  <c r="P1955" i="1"/>
  <c r="K1955" i="1"/>
  <c r="Z1954" i="1"/>
  <c r="W1954" i="1"/>
  <c r="V1954" i="1"/>
  <c r="U1954" i="1"/>
  <c r="R1954" i="1"/>
  <c r="P1954" i="1"/>
  <c r="K1954" i="1"/>
  <c r="Z1953" i="1"/>
  <c r="W1953" i="1"/>
  <c r="V1953" i="1"/>
  <c r="U1953" i="1"/>
  <c r="R1953" i="1"/>
  <c r="P1953" i="1"/>
  <c r="K1953" i="1"/>
  <c r="Z1952" i="1"/>
  <c r="W1952" i="1"/>
  <c r="V1952" i="1"/>
  <c r="U1952" i="1"/>
  <c r="R1952" i="1"/>
  <c r="P1952" i="1"/>
  <c r="K1952" i="1"/>
  <c r="Z1951" i="1"/>
  <c r="W1951" i="1"/>
  <c r="V1951" i="1"/>
  <c r="U1951" i="1"/>
  <c r="R1951" i="1"/>
  <c r="P1951" i="1"/>
  <c r="K1951" i="1"/>
  <c r="Z1950" i="1"/>
  <c r="W1950" i="1"/>
  <c r="V1950" i="1"/>
  <c r="U1950" i="1"/>
  <c r="R1950" i="1"/>
  <c r="P1950" i="1"/>
  <c r="K1950" i="1"/>
  <c r="Z1949" i="1"/>
  <c r="W1949" i="1"/>
  <c r="V1949" i="1"/>
  <c r="U1949" i="1"/>
  <c r="R1949" i="1"/>
  <c r="P1949" i="1"/>
  <c r="K1949" i="1"/>
  <c r="Z1948" i="1"/>
  <c r="W1948" i="1"/>
  <c r="V1948" i="1"/>
  <c r="U1948" i="1"/>
  <c r="R1948" i="1"/>
  <c r="P1948" i="1"/>
  <c r="K1948" i="1"/>
  <c r="Z1947" i="1"/>
  <c r="W1947" i="1"/>
  <c r="V1947" i="1"/>
  <c r="U1947" i="1"/>
  <c r="R1947" i="1"/>
  <c r="P1947" i="1"/>
  <c r="K1947" i="1"/>
  <c r="Z1946" i="1"/>
  <c r="W1946" i="1"/>
  <c r="V1946" i="1"/>
  <c r="U1946" i="1"/>
  <c r="R1946" i="1"/>
  <c r="P1946" i="1"/>
  <c r="K1946" i="1"/>
  <c r="Z1945" i="1"/>
  <c r="W1945" i="1"/>
  <c r="V1945" i="1"/>
  <c r="U1945" i="1"/>
  <c r="R1945" i="1"/>
  <c r="P1945" i="1"/>
  <c r="K1945" i="1"/>
  <c r="Z1944" i="1"/>
  <c r="W1944" i="1"/>
  <c r="V1944" i="1"/>
  <c r="U1944" i="1"/>
  <c r="R1944" i="1"/>
  <c r="P1944" i="1"/>
  <c r="K1944" i="1"/>
  <c r="Z1943" i="1"/>
  <c r="W1943" i="1"/>
  <c r="V1943" i="1"/>
  <c r="U1943" i="1"/>
  <c r="R1943" i="1"/>
  <c r="P1943" i="1"/>
  <c r="K1943" i="1"/>
  <c r="Z1942" i="1"/>
  <c r="W1942" i="1"/>
  <c r="V1942" i="1"/>
  <c r="U1942" i="1"/>
  <c r="R1942" i="1"/>
  <c r="P1942" i="1"/>
  <c r="K1942" i="1"/>
  <c r="Z1941" i="1"/>
  <c r="W1941" i="1"/>
  <c r="V1941" i="1"/>
  <c r="U1941" i="1"/>
  <c r="R1941" i="1"/>
  <c r="P1941" i="1"/>
  <c r="K1941" i="1"/>
  <c r="Z1940" i="1"/>
  <c r="W1940" i="1"/>
  <c r="V1940" i="1"/>
  <c r="U1940" i="1"/>
  <c r="R1940" i="1"/>
  <c r="P1940" i="1"/>
  <c r="K1940" i="1"/>
  <c r="Z1939" i="1"/>
  <c r="W1939" i="1"/>
  <c r="V1939" i="1"/>
  <c r="U1939" i="1"/>
  <c r="R1939" i="1"/>
  <c r="P1939" i="1"/>
  <c r="K1939" i="1"/>
  <c r="Z1938" i="1"/>
  <c r="W1938" i="1"/>
  <c r="V1938" i="1"/>
  <c r="U1938" i="1"/>
  <c r="R1938" i="1"/>
  <c r="P1938" i="1"/>
  <c r="K1938" i="1"/>
  <c r="Z1937" i="1"/>
  <c r="W1937" i="1"/>
  <c r="V1937" i="1"/>
  <c r="U1937" i="1"/>
  <c r="R1937" i="1"/>
  <c r="P1937" i="1"/>
  <c r="K1937" i="1"/>
  <c r="Z1936" i="1"/>
  <c r="W1936" i="1"/>
  <c r="V1936" i="1"/>
  <c r="U1936" i="1"/>
  <c r="R1936" i="1"/>
  <c r="P1936" i="1"/>
  <c r="K1936" i="1"/>
  <c r="Z1935" i="1"/>
  <c r="W1935" i="1"/>
  <c r="V1935" i="1"/>
  <c r="U1935" i="1"/>
  <c r="R1935" i="1"/>
  <c r="P1935" i="1"/>
  <c r="K1935" i="1"/>
  <c r="Z1934" i="1"/>
  <c r="W1934" i="1"/>
  <c r="V1934" i="1"/>
  <c r="U1934" i="1"/>
  <c r="R1934" i="1"/>
  <c r="P1934" i="1"/>
  <c r="K1934" i="1"/>
  <c r="Z1933" i="1"/>
  <c r="W1933" i="1"/>
  <c r="V1933" i="1"/>
  <c r="U1933" i="1"/>
  <c r="R1933" i="1"/>
  <c r="P1933" i="1"/>
  <c r="K1933" i="1"/>
  <c r="Z1932" i="1"/>
  <c r="W1932" i="1"/>
  <c r="V1932" i="1"/>
  <c r="U1932" i="1"/>
  <c r="R1932" i="1"/>
  <c r="P1932" i="1"/>
  <c r="K1932" i="1"/>
  <c r="Z1931" i="1"/>
  <c r="W1931" i="1"/>
  <c r="V1931" i="1"/>
  <c r="U1931" i="1"/>
  <c r="R1931" i="1"/>
  <c r="P1931" i="1"/>
  <c r="K1931" i="1"/>
  <c r="Z1930" i="1"/>
  <c r="W1930" i="1"/>
  <c r="V1930" i="1"/>
  <c r="U1930" i="1"/>
  <c r="R1930" i="1"/>
  <c r="P1930" i="1"/>
  <c r="K1930" i="1"/>
  <c r="Z1929" i="1"/>
  <c r="W1929" i="1"/>
  <c r="V1929" i="1"/>
  <c r="U1929" i="1"/>
  <c r="R1929" i="1"/>
  <c r="P1929" i="1"/>
  <c r="K1929" i="1"/>
  <c r="Z1928" i="1"/>
  <c r="W1928" i="1"/>
  <c r="V1928" i="1"/>
  <c r="U1928" i="1"/>
  <c r="R1928" i="1"/>
  <c r="P1928" i="1"/>
  <c r="K1928" i="1"/>
  <c r="Z1927" i="1"/>
  <c r="W1927" i="1"/>
  <c r="V1927" i="1"/>
  <c r="U1927" i="1"/>
  <c r="R1927" i="1"/>
  <c r="P1927" i="1"/>
  <c r="K1927" i="1"/>
  <c r="Z1926" i="1"/>
  <c r="W1926" i="1"/>
  <c r="V1926" i="1"/>
  <c r="U1926" i="1"/>
  <c r="R1926" i="1"/>
  <c r="P1926" i="1"/>
  <c r="K1926" i="1"/>
  <c r="Z1925" i="1"/>
  <c r="W1925" i="1"/>
  <c r="V1925" i="1"/>
  <c r="U1925" i="1"/>
  <c r="R1925" i="1"/>
  <c r="P1925" i="1"/>
  <c r="K1925" i="1"/>
  <c r="Z1924" i="1"/>
  <c r="W1924" i="1"/>
  <c r="V1924" i="1"/>
  <c r="U1924" i="1"/>
  <c r="R1924" i="1"/>
  <c r="P1924" i="1"/>
  <c r="K1924" i="1"/>
  <c r="Z1923" i="1"/>
  <c r="W1923" i="1"/>
  <c r="V1923" i="1"/>
  <c r="U1923" i="1"/>
  <c r="R1923" i="1"/>
  <c r="P1923" i="1"/>
  <c r="K1923" i="1"/>
  <c r="Z1922" i="1"/>
  <c r="W1922" i="1"/>
  <c r="V1922" i="1"/>
  <c r="U1922" i="1"/>
  <c r="R1922" i="1"/>
  <c r="P1922" i="1"/>
  <c r="K1922" i="1"/>
  <c r="Z1921" i="1"/>
  <c r="W1921" i="1"/>
  <c r="V1921" i="1"/>
  <c r="U1921" i="1"/>
  <c r="R1921" i="1"/>
  <c r="P1921" i="1"/>
  <c r="K1921" i="1"/>
  <c r="Z1920" i="1"/>
  <c r="W1920" i="1"/>
  <c r="V1920" i="1"/>
  <c r="U1920" i="1"/>
  <c r="R1920" i="1"/>
  <c r="P1920" i="1"/>
  <c r="K1920" i="1"/>
  <c r="Z1919" i="1"/>
  <c r="W1919" i="1"/>
  <c r="V1919" i="1"/>
  <c r="U1919" i="1"/>
  <c r="R1919" i="1"/>
  <c r="P1919" i="1"/>
  <c r="K1919" i="1"/>
  <c r="Z1918" i="1"/>
  <c r="W1918" i="1"/>
  <c r="V1918" i="1"/>
  <c r="U1918" i="1"/>
  <c r="R1918" i="1"/>
  <c r="P1918" i="1"/>
  <c r="K1918" i="1"/>
  <c r="Z1917" i="1"/>
  <c r="W1917" i="1"/>
  <c r="V1917" i="1"/>
  <c r="U1917" i="1"/>
  <c r="R1917" i="1"/>
  <c r="P1917" i="1"/>
  <c r="K1917" i="1"/>
  <c r="Z1916" i="1"/>
  <c r="W1916" i="1"/>
  <c r="V1916" i="1"/>
  <c r="U1916" i="1"/>
  <c r="R1916" i="1"/>
  <c r="P1916" i="1"/>
  <c r="K1916" i="1"/>
  <c r="Z1915" i="1"/>
  <c r="W1915" i="1"/>
  <c r="V1915" i="1"/>
  <c r="U1915" i="1"/>
  <c r="R1915" i="1"/>
  <c r="P1915" i="1"/>
  <c r="K1915" i="1"/>
  <c r="Z1914" i="1"/>
  <c r="W1914" i="1"/>
  <c r="V1914" i="1"/>
  <c r="U1914" i="1"/>
  <c r="R1914" i="1"/>
  <c r="P1914" i="1"/>
  <c r="K1914" i="1"/>
  <c r="Z1913" i="1"/>
  <c r="W1913" i="1"/>
  <c r="V1913" i="1"/>
  <c r="U1913" i="1"/>
  <c r="R1913" i="1"/>
  <c r="P1913" i="1"/>
  <c r="K1913" i="1"/>
  <c r="Z1912" i="1"/>
  <c r="W1912" i="1"/>
  <c r="V1912" i="1"/>
  <c r="U1912" i="1"/>
  <c r="R1912" i="1"/>
  <c r="P1912" i="1"/>
  <c r="K1912" i="1"/>
  <c r="Z1911" i="1"/>
  <c r="W1911" i="1"/>
  <c r="V1911" i="1"/>
  <c r="U1911" i="1"/>
  <c r="R1911" i="1"/>
  <c r="P1911" i="1"/>
  <c r="K1911" i="1"/>
  <c r="Z1910" i="1"/>
  <c r="W1910" i="1"/>
  <c r="V1910" i="1"/>
  <c r="U1910" i="1"/>
  <c r="R1910" i="1"/>
  <c r="P1910" i="1"/>
  <c r="K1910" i="1"/>
  <c r="Z1909" i="1"/>
  <c r="W1909" i="1"/>
  <c r="V1909" i="1"/>
  <c r="U1909" i="1"/>
  <c r="R1909" i="1"/>
  <c r="P1909" i="1"/>
  <c r="K1909" i="1"/>
  <c r="Z1908" i="1"/>
  <c r="W1908" i="1"/>
  <c r="V1908" i="1"/>
  <c r="U1908" i="1"/>
  <c r="R1908" i="1"/>
  <c r="P1908" i="1"/>
  <c r="K1908" i="1"/>
  <c r="Z1907" i="1"/>
  <c r="W1907" i="1"/>
  <c r="V1907" i="1"/>
  <c r="U1907" i="1"/>
  <c r="R1907" i="1"/>
  <c r="P1907" i="1"/>
  <c r="K1907" i="1"/>
  <c r="Z1906" i="1"/>
  <c r="W1906" i="1"/>
  <c r="V1906" i="1"/>
  <c r="U1906" i="1"/>
  <c r="R1906" i="1"/>
  <c r="P1906" i="1"/>
  <c r="K1906" i="1"/>
  <c r="Z1905" i="1"/>
  <c r="W1905" i="1"/>
  <c r="V1905" i="1"/>
  <c r="U1905" i="1"/>
  <c r="R1905" i="1"/>
  <c r="P1905" i="1"/>
  <c r="K1905" i="1"/>
  <c r="Z1904" i="1"/>
  <c r="W1904" i="1"/>
  <c r="V1904" i="1"/>
  <c r="U1904" i="1"/>
  <c r="R1904" i="1"/>
  <c r="P1904" i="1"/>
  <c r="K1904" i="1"/>
  <c r="Z1903" i="1"/>
  <c r="W1903" i="1"/>
  <c r="V1903" i="1"/>
  <c r="U1903" i="1"/>
  <c r="R1903" i="1"/>
  <c r="P1903" i="1"/>
  <c r="K1903" i="1"/>
  <c r="Z1902" i="1"/>
  <c r="W1902" i="1"/>
  <c r="V1902" i="1"/>
  <c r="U1902" i="1"/>
  <c r="R1902" i="1"/>
  <c r="P1902" i="1"/>
  <c r="K1902" i="1"/>
  <c r="Z1901" i="1"/>
  <c r="W1901" i="1"/>
  <c r="V1901" i="1"/>
  <c r="U1901" i="1"/>
  <c r="R1901" i="1"/>
  <c r="P1901" i="1"/>
  <c r="K1901" i="1"/>
  <c r="Z1900" i="1"/>
  <c r="W1900" i="1"/>
  <c r="V1900" i="1"/>
  <c r="U1900" i="1"/>
  <c r="R1900" i="1"/>
  <c r="P1900" i="1"/>
  <c r="K1900" i="1"/>
  <c r="Z1899" i="1"/>
  <c r="W1899" i="1"/>
  <c r="V1899" i="1"/>
  <c r="U1899" i="1"/>
  <c r="R1899" i="1"/>
  <c r="P1899" i="1"/>
  <c r="K1899" i="1"/>
  <c r="Z1898" i="1"/>
  <c r="W1898" i="1"/>
  <c r="V1898" i="1"/>
  <c r="U1898" i="1"/>
  <c r="R1898" i="1"/>
  <c r="P1898" i="1"/>
  <c r="K1898" i="1"/>
  <c r="Z1897" i="1"/>
  <c r="W1897" i="1"/>
  <c r="V1897" i="1"/>
  <c r="U1897" i="1"/>
  <c r="R1897" i="1"/>
  <c r="P1897" i="1"/>
  <c r="K1897" i="1"/>
  <c r="Z1896" i="1"/>
  <c r="W1896" i="1"/>
  <c r="V1896" i="1"/>
  <c r="U1896" i="1"/>
  <c r="R1896" i="1"/>
  <c r="P1896" i="1"/>
  <c r="K1896" i="1"/>
  <c r="Z1895" i="1"/>
  <c r="W1895" i="1"/>
  <c r="V1895" i="1"/>
  <c r="U1895" i="1"/>
  <c r="R1895" i="1"/>
  <c r="P1895" i="1"/>
  <c r="K1895" i="1"/>
  <c r="Z1894" i="1"/>
  <c r="W1894" i="1"/>
  <c r="V1894" i="1"/>
  <c r="U1894" i="1"/>
  <c r="R1894" i="1"/>
  <c r="P1894" i="1"/>
  <c r="K1894" i="1"/>
  <c r="Z1893" i="1"/>
  <c r="W1893" i="1"/>
  <c r="V1893" i="1"/>
  <c r="U1893" i="1"/>
  <c r="R1893" i="1"/>
  <c r="P1893" i="1"/>
  <c r="K1893" i="1"/>
  <c r="Z1892" i="1"/>
  <c r="W1892" i="1"/>
  <c r="V1892" i="1"/>
  <c r="U1892" i="1"/>
  <c r="R1892" i="1"/>
  <c r="P1892" i="1"/>
  <c r="K1892" i="1"/>
  <c r="Z1891" i="1"/>
  <c r="W1891" i="1"/>
  <c r="V1891" i="1"/>
  <c r="U1891" i="1"/>
  <c r="R1891" i="1"/>
  <c r="P1891" i="1"/>
  <c r="K1891" i="1"/>
  <c r="Z1890" i="1"/>
  <c r="W1890" i="1"/>
  <c r="V1890" i="1"/>
  <c r="U1890" i="1"/>
  <c r="R1890" i="1"/>
  <c r="P1890" i="1"/>
  <c r="K1890" i="1"/>
  <c r="Z1889" i="1"/>
  <c r="W1889" i="1"/>
  <c r="V1889" i="1"/>
  <c r="U1889" i="1"/>
  <c r="R1889" i="1"/>
  <c r="P1889" i="1"/>
  <c r="K1889" i="1"/>
  <c r="Z1888" i="1"/>
  <c r="W1888" i="1"/>
  <c r="V1888" i="1"/>
  <c r="U1888" i="1"/>
  <c r="R1888" i="1"/>
  <c r="P1888" i="1"/>
  <c r="K1888" i="1"/>
  <c r="Z1887" i="1"/>
  <c r="W1887" i="1"/>
  <c r="V1887" i="1"/>
  <c r="U1887" i="1"/>
  <c r="R1887" i="1"/>
  <c r="P1887" i="1"/>
  <c r="K1887" i="1"/>
  <c r="Z1886" i="1"/>
  <c r="W1886" i="1"/>
  <c r="V1886" i="1"/>
  <c r="U1886" i="1"/>
  <c r="R1886" i="1"/>
  <c r="P1886" i="1"/>
  <c r="K1886" i="1"/>
  <c r="Z1885" i="1"/>
  <c r="W1885" i="1"/>
  <c r="V1885" i="1"/>
  <c r="U1885" i="1"/>
  <c r="R1885" i="1"/>
  <c r="P1885" i="1"/>
  <c r="K1885" i="1"/>
  <c r="Z1884" i="1"/>
  <c r="W1884" i="1"/>
  <c r="V1884" i="1"/>
  <c r="U1884" i="1"/>
  <c r="R1884" i="1"/>
  <c r="P1884" i="1"/>
  <c r="K1884" i="1"/>
  <c r="Z1883" i="1"/>
  <c r="W1883" i="1"/>
  <c r="V1883" i="1"/>
  <c r="U1883" i="1"/>
  <c r="R1883" i="1"/>
  <c r="P1883" i="1"/>
  <c r="K1883" i="1"/>
  <c r="Z1882" i="1"/>
  <c r="W1882" i="1"/>
  <c r="V1882" i="1"/>
  <c r="U1882" i="1"/>
  <c r="R1882" i="1"/>
  <c r="P1882" i="1"/>
  <c r="K1882" i="1"/>
  <c r="Z1881" i="1"/>
  <c r="W1881" i="1"/>
  <c r="V1881" i="1"/>
  <c r="U1881" i="1"/>
  <c r="R1881" i="1"/>
  <c r="P1881" i="1"/>
  <c r="K1881" i="1"/>
  <c r="Z1880" i="1"/>
  <c r="W1880" i="1"/>
  <c r="V1880" i="1"/>
  <c r="U1880" i="1"/>
  <c r="R1880" i="1"/>
  <c r="P1880" i="1"/>
  <c r="K1880" i="1"/>
  <c r="Z1879" i="1"/>
  <c r="W1879" i="1"/>
  <c r="V1879" i="1"/>
  <c r="U1879" i="1"/>
  <c r="R1879" i="1"/>
  <c r="P1879" i="1"/>
  <c r="K1879" i="1"/>
  <c r="Z1878" i="1"/>
  <c r="W1878" i="1"/>
  <c r="V1878" i="1"/>
  <c r="U1878" i="1"/>
  <c r="R1878" i="1"/>
  <c r="P1878" i="1"/>
  <c r="K1878" i="1"/>
  <c r="Z1877" i="1"/>
  <c r="W1877" i="1"/>
  <c r="V1877" i="1"/>
  <c r="U1877" i="1"/>
  <c r="R1877" i="1"/>
  <c r="P1877" i="1"/>
  <c r="K1877" i="1"/>
  <c r="Z1876" i="1"/>
  <c r="W1876" i="1"/>
  <c r="V1876" i="1"/>
  <c r="U1876" i="1"/>
  <c r="R1876" i="1"/>
  <c r="P1876" i="1"/>
  <c r="K1876" i="1"/>
  <c r="Z1875" i="1"/>
  <c r="W1875" i="1"/>
  <c r="V1875" i="1"/>
  <c r="U1875" i="1"/>
  <c r="R1875" i="1"/>
  <c r="P1875" i="1"/>
  <c r="K1875" i="1"/>
  <c r="Z1874" i="1"/>
  <c r="W1874" i="1"/>
  <c r="V1874" i="1"/>
  <c r="U1874" i="1"/>
  <c r="R1874" i="1"/>
  <c r="P1874" i="1"/>
  <c r="K1874" i="1"/>
  <c r="Z1873" i="1"/>
  <c r="W1873" i="1"/>
  <c r="V1873" i="1"/>
  <c r="U1873" i="1"/>
  <c r="R1873" i="1"/>
  <c r="P1873" i="1"/>
  <c r="K1873" i="1"/>
  <c r="Z1872" i="1"/>
  <c r="W1872" i="1"/>
  <c r="V1872" i="1"/>
  <c r="U1872" i="1"/>
  <c r="R1872" i="1"/>
  <c r="P1872" i="1"/>
  <c r="K1872" i="1"/>
  <c r="Z1871" i="1"/>
  <c r="W1871" i="1"/>
  <c r="V1871" i="1"/>
  <c r="U1871" i="1"/>
  <c r="R1871" i="1"/>
  <c r="P1871" i="1"/>
  <c r="K1871" i="1"/>
  <c r="Z1870" i="1"/>
  <c r="W1870" i="1"/>
  <c r="V1870" i="1"/>
  <c r="U1870" i="1"/>
  <c r="R1870" i="1"/>
  <c r="P1870" i="1"/>
  <c r="K1870" i="1"/>
  <c r="Z1869" i="1"/>
  <c r="W1869" i="1"/>
  <c r="V1869" i="1"/>
  <c r="U1869" i="1"/>
  <c r="R1869" i="1"/>
  <c r="P1869" i="1"/>
  <c r="K1869" i="1"/>
  <c r="Z1868" i="1"/>
  <c r="W1868" i="1"/>
  <c r="V1868" i="1"/>
  <c r="U1868" i="1"/>
  <c r="R1868" i="1"/>
  <c r="P1868" i="1"/>
  <c r="K1868" i="1"/>
  <c r="Z1867" i="1"/>
  <c r="W1867" i="1"/>
  <c r="V1867" i="1"/>
  <c r="U1867" i="1"/>
  <c r="R1867" i="1"/>
  <c r="P1867" i="1"/>
  <c r="K1867" i="1"/>
  <c r="Z1866" i="1"/>
  <c r="W1866" i="1"/>
  <c r="V1866" i="1"/>
  <c r="U1866" i="1"/>
  <c r="R1866" i="1"/>
  <c r="P1866" i="1"/>
  <c r="K1866" i="1"/>
  <c r="Z1865" i="1"/>
  <c r="W1865" i="1"/>
  <c r="V1865" i="1"/>
  <c r="U1865" i="1"/>
  <c r="R1865" i="1"/>
  <c r="P1865" i="1"/>
  <c r="K1865" i="1"/>
  <c r="Z1864" i="1"/>
  <c r="W1864" i="1"/>
  <c r="V1864" i="1"/>
  <c r="U1864" i="1"/>
  <c r="R1864" i="1"/>
  <c r="P1864" i="1"/>
  <c r="K1864" i="1"/>
  <c r="Z1863" i="1"/>
  <c r="W1863" i="1"/>
  <c r="V1863" i="1"/>
  <c r="U1863" i="1"/>
  <c r="R1863" i="1"/>
  <c r="P1863" i="1"/>
  <c r="K1863" i="1"/>
  <c r="Z1862" i="1"/>
  <c r="W1862" i="1"/>
  <c r="V1862" i="1"/>
  <c r="U1862" i="1"/>
  <c r="R1862" i="1"/>
  <c r="P1862" i="1"/>
  <c r="K1862" i="1"/>
  <c r="Z1861" i="1"/>
  <c r="W1861" i="1"/>
  <c r="V1861" i="1"/>
  <c r="U1861" i="1"/>
  <c r="R1861" i="1"/>
  <c r="P1861" i="1"/>
  <c r="K1861" i="1"/>
  <c r="Z1860" i="1"/>
  <c r="W1860" i="1"/>
  <c r="V1860" i="1"/>
  <c r="U1860" i="1"/>
  <c r="R1860" i="1"/>
  <c r="P1860" i="1"/>
  <c r="K1860" i="1"/>
  <c r="Z1859" i="1"/>
  <c r="W1859" i="1"/>
  <c r="V1859" i="1"/>
  <c r="U1859" i="1"/>
  <c r="R1859" i="1"/>
  <c r="P1859" i="1"/>
  <c r="K1859" i="1"/>
  <c r="Z1858" i="1"/>
  <c r="W1858" i="1"/>
  <c r="V1858" i="1"/>
  <c r="U1858" i="1"/>
  <c r="R1858" i="1"/>
  <c r="P1858" i="1"/>
  <c r="K1858" i="1"/>
  <c r="Z1857" i="1"/>
  <c r="W1857" i="1"/>
  <c r="V1857" i="1"/>
  <c r="U1857" i="1"/>
  <c r="R1857" i="1"/>
  <c r="P1857" i="1"/>
  <c r="K1857" i="1"/>
  <c r="Z1856" i="1"/>
  <c r="W1856" i="1"/>
  <c r="V1856" i="1"/>
  <c r="U1856" i="1"/>
  <c r="R1856" i="1"/>
  <c r="P1856" i="1"/>
  <c r="K1856" i="1"/>
  <c r="Z1855" i="1"/>
  <c r="W1855" i="1"/>
  <c r="V1855" i="1"/>
  <c r="U1855" i="1"/>
  <c r="R1855" i="1"/>
  <c r="P1855" i="1"/>
  <c r="K1855" i="1"/>
  <c r="Z1854" i="1"/>
  <c r="W1854" i="1"/>
  <c r="V1854" i="1"/>
  <c r="U1854" i="1"/>
  <c r="R1854" i="1"/>
  <c r="P1854" i="1"/>
  <c r="K1854" i="1"/>
  <c r="Z1853" i="1"/>
  <c r="W1853" i="1"/>
  <c r="V1853" i="1"/>
  <c r="U1853" i="1"/>
  <c r="R1853" i="1"/>
  <c r="P1853" i="1"/>
  <c r="K1853" i="1"/>
  <c r="Z1852" i="1"/>
  <c r="W1852" i="1"/>
  <c r="V1852" i="1"/>
  <c r="U1852" i="1"/>
  <c r="R1852" i="1"/>
  <c r="P1852" i="1"/>
  <c r="K1852" i="1"/>
  <c r="Z1851" i="1"/>
  <c r="W1851" i="1"/>
  <c r="V1851" i="1"/>
  <c r="U1851" i="1"/>
  <c r="R1851" i="1"/>
  <c r="P1851" i="1"/>
  <c r="K1851" i="1"/>
  <c r="Z1850" i="1"/>
  <c r="W1850" i="1"/>
  <c r="V1850" i="1"/>
  <c r="U1850" i="1"/>
  <c r="R1850" i="1"/>
  <c r="P1850" i="1"/>
  <c r="K1850" i="1"/>
  <c r="Z1849" i="1"/>
  <c r="W1849" i="1"/>
  <c r="V1849" i="1"/>
  <c r="U1849" i="1"/>
  <c r="R1849" i="1"/>
  <c r="P1849" i="1"/>
  <c r="K1849" i="1"/>
  <c r="Z1848" i="1"/>
  <c r="W1848" i="1"/>
  <c r="V1848" i="1"/>
  <c r="U1848" i="1"/>
  <c r="R1848" i="1"/>
  <c r="P1848" i="1"/>
  <c r="K1848" i="1"/>
  <c r="Z1847" i="1"/>
  <c r="W1847" i="1"/>
  <c r="V1847" i="1"/>
  <c r="U1847" i="1"/>
  <c r="R1847" i="1"/>
  <c r="P1847" i="1"/>
  <c r="K1847" i="1"/>
  <c r="Z1846" i="1"/>
  <c r="W1846" i="1"/>
  <c r="V1846" i="1"/>
  <c r="U1846" i="1"/>
  <c r="R1846" i="1"/>
  <c r="P1846" i="1"/>
  <c r="K1846" i="1"/>
  <c r="Z1845" i="1"/>
  <c r="W1845" i="1"/>
  <c r="V1845" i="1"/>
  <c r="U1845" i="1"/>
  <c r="R1845" i="1"/>
  <c r="P1845" i="1"/>
  <c r="K1845" i="1"/>
  <c r="Z1844" i="1"/>
  <c r="W1844" i="1"/>
  <c r="V1844" i="1"/>
  <c r="U1844" i="1"/>
  <c r="R1844" i="1"/>
  <c r="P1844" i="1"/>
  <c r="K1844" i="1"/>
  <c r="Z1843" i="1"/>
  <c r="W1843" i="1"/>
  <c r="V1843" i="1"/>
  <c r="U1843" i="1"/>
  <c r="R1843" i="1"/>
  <c r="P1843" i="1"/>
  <c r="K1843" i="1"/>
  <c r="Z1842" i="1"/>
  <c r="W1842" i="1"/>
  <c r="V1842" i="1"/>
  <c r="U1842" i="1"/>
  <c r="R1842" i="1"/>
  <c r="P1842" i="1"/>
  <c r="K1842" i="1"/>
  <c r="Z1841" i="1"/>
  <c r="W1841" i="1"/>
  <c r="V1841" i="1"/>
  <c r="U1841" i="1"/>
  <c r="R1841" i="1"/>
  <c r="P1841" i="1"/>
  <c r="K1841" i="1"/>
  <c r="Z1840" i="1"/>
  <c r="W1840" i="1"/>
  <c r="V1840" i="1"/>
  <c r="U1840" i="1"/>
  <c r="R1840" i="1"/>
  <c r="P1840" i="1"/>
  <c r="K1840" i="1"/>
  <c r="Z1839" i="1"/>
  <c r="W1839" i="1"/>
  <c r="V1839" i="1"/>
  <c r="U1839" i="1"/>
  <c r="R1839" i="1"/>
  <c r="P1839" i="1"/>
  <c r="K1839" i="1"/>
  <c r="Z1838" i="1"/>
  <c r="W1838" i="1"/>
  <c r="V1838" i="1"/>
  <c r="U1838" i="1"/>
  <c r="R1838" i="1"/>
  <c r="P1838" i="1"/>
  <c r="K1838" i="1"/>
  <c r="Z1837" i="1"/>
  <c r="W1837" i="1"/>
  <c r="V1837" i="1"/>
  <c r="U1837" i="1"/>
  <c r="R1837" i="1"/>
  <c r="P1837" i="1"/>
  <c r="K1837" i="1"/>
  <c r="Z1836" i="1"/>
  <c r="W1836" i="1"/>
  <c r="V1836" i="1"/>
  <c r="U1836" i="1"/>
  <c r="R1836" i="1"/>
  <c r="P1836" i="1"/>
  <c r="K1836" i="1"/>
  <c r="Z1835" i="1"/>
  <c r="W1835" i="1"/>
  <c r="V1835" i="1"/>
  <c r="U1835" i="1"/>
  <c r="R1835" i="1"/>
  <c r="P1835" i="1"/>
  <c r="K1835" i="1"/>
  <c r="Z1834" i="1"/>
  <c r="W1834" i="1"/>
  <c r="V1834" i="1"/>
  <c r="U1834" i="1"/>
  <c r="R1834" i="1"/>
  <c r="P1834" i="1"/>
  <c r="K1834" i="1"/>
  <c r="Z1833" i="1"/>
  <c r="W1833" i="1"/>
  <c r="V1833" i="1"/>
  <c r="U1833" i="1"/>
  <c r="R1833" i="1"/>
  <c r="P1833" i="1"/>
  <c r="K1833" i="1"/>
  <c r="Z1832" i="1"/>
  <c r="W1832" i="1"/>
  <c r="V1832" i="1"/>
  <c r="U1832" i="1"/>
  <c r="R1832" i="1"/>
  <c r="P1832" i="1"/>
  <c r="K1832" i="1"/>
  <c r="Z1831" i="1"/>
  <c r="W1831" i="1"/>
  <c r="V1831" i="1"/>
  <c r="U1831" i="1"/>
  <c r="R1831" i="1"/>
  <c r="P1831" i="1"/>
  <c r="K1831" i="1"/>
  <c r="Z1830" i="1"/>
  <c r="W1830" i="1"/>
  <c r="V1830" i="1"/>
  <c r="U1830" i="1"/>
  <c r="R1830" i="1"/>
  <c r="P1830" i="1"/>
  <c r="K1830" i="1"/>
  <c r="Z1829" i="1"/>
  <c r="W1829" i="1"/>
  <c r="V1829" i="1"/>
  <c r="U1829" i="1"/>
  <c r="R1829" i="1"/>
  <c r="P1829" i="1"/>
  <c r="K1829" i="1"/>
  <c r="Z1828" i="1"/>
  <c r="W1828" i="1"/>
  <c r="V1828" i="1"/>
  <c r="U1828" i="1"/>
  <c r="R1828" i="1"/>
  <c r="P1828" i="1"/>
  <c r="K1828" i="1"/>
  <c r="Z1827" i="1"/>
  <c r="W1827" i="1"/>
  <c r="V1827" i="1"/>
  <c r="U1827" i="1"/>
  <c r="R1827" i="1"/>
  <c r="P1827" i="1"/>
  <c r="K1827" i="1"/>
  <c r="Z1826" i="1"/>
  <c r="W1826" i="1"/>
  <c r="V1826" i="1"/>
  <c r="U1826" i="1"/>
  <c r="R1826" i="1"/>
  <c r="P1826" i="1"/>
  <c r="K1826" i="1"/>
  <c r="Z1825" i="1"/>
  <c r="W1825" i="1"/>
  <c r="V1825" i="1"/>
  <c r="U1825" i="1"/>
  <c r="R1825" i="1"/>
  <c r="P1825" i="1"/>
  <c r="K1825" i="1"/>
  <c r="Z1824" i="1"/>
  <c r="W1824" i="1"/>
  <c r="V1824" i="1"/>
  <c r="U1824" i="1"/>
  <c r="R1824" i="1"/>
  <c r="P1824" i="1"/>
  <c r="K1824" i="1"/>
  <c r="Z1823" i="1"/>
  <c r="W1823" i="1"/>
  <c r="V1823" i="1"/>
  <c r="U1823" i="1"/>
  <c r="R1823" i="1"/>
  <c r="P1823" i="1"/>
  <c r="K1823" i="1"/>
  <c r="Z1822" i="1"/>
  <c r="W1822" i="1"/>
  <c r="V1822" i="1"/>
  <c r="U1822" i="1"/>
  <c r="R1822" i="1"/>
  <c r="P1822" i="1"/>
  <c r="K1822" i="1"/>
  <c r="Z1821" i="1"/>
  <c r="W1821" i="1"/>
  <c r="V1821" i="1"/>
  <c r="U1821" i="1"/>
  <c r="R1821" i="1"/>
  <c r="P1821" i="1"/>
  <c r="K1821" i="1"/>
  <c r="Z1820" i="1"/>
  <c r="W1820" i="1"/>
  <c r="V1820" i="1"/>
  <c r="U1820" i="1"/>
  <c r="R1820" i="1"/>
  <c r="P1820" i="1"/>
  <c r="K1820" i="1"/>
  <c r="Z1819" i="1"/>
  <c r="W1819" i="1"/>
  <c r="V1819" i="1"/>
  <c r="U1819" i="1"/>
  <c r="R1819" i="1"/>
  <c r="P1819" i="1"/>
  <c r="K1819" i="1"/>
  <c r="Z1818" i="1"/>
  <c r="W1818" i="1"/>
  <c r="V1818" i="1"/>
  <c r="U1818" i="1"/>
  <c r="R1818" i="1"/>
  <c r="P1818" i="1"/>
  <c r="K1818" i="1"/>
  <c r="Z1817" i="1"/>
  <c r="W1817" i="1"/>
  <c r="V1817" i="1"/>
  <c r="U1817" i="1"/>
  <c r="R1817" i="1"/>
  <c r="P1817" i="1"/>
  <c r="K1817" i="1"/>
  <c r="Z1816" i="1"/>
  <c r="W1816" i="1"/>
  <c r="V1816" i="1"/>
  <c r="U1816" i="1"/>
  <c r="R1816" i="1"/>
  <c r="P1816" i="1"/>
  <c r="K1816" i="1"/>
  <c r="Z1815" i="1"/>
  <c r="W1815" i="1"/>
  <c r="V1815" i="1"/>
  <c r="U1815" i="1"/>
  <c r="R1815" i="1"/>
  <c r="P1815" i="1"/>
  <c r="K1815" i="1"/>
  <c r="Z1814" i="1"/>
  <c r="W1814" i="1"/>
  <c r="V1814" i="1"/>
  <c r="U1814" i="1"/>
  <c r="R1814" i="1"/>
  <c r="P1814" i="1"/>
  <c r="K1814" i="1"/>
  <c r="Z1813" i="1"/>
  <c r="W1813" i="1"/>
  <c r="V1813" i="1"/>
  <c r="U1813" i="1"/>
  <c r="R1813" i="1"/>
  <c r="P1813" i="1"/>
  <c r="K1813" i="1"/>
  <c r="Z1812" i="1"/>
  <c r="W1812" i="1"/>
  <c r="V1812" i="1"/>
  <c r="U1812" i="1"/>
  <c r="R1812" i="1"/>
  <c r="P1812" i="1"/>
  <c r="K1812" i="1"/>
  <c r="Z1811" i="1"/>
  <c r="W1811" i="1"/>
  <c r="V1811" i="1"/>
  <c r="U1811" i="1"/>
  <c r="R1811" i="1"/>
  <c r="P1811" i="1"/>
  <c r="K1811" i="1"/>
  <c r="Z1810" i="1"/>
  <c r="W1810" i="1"/>
  <c r="V1810" i="1"/>
  <c r="U1810" i="1"/>
  <c r="R1810" i="1"/>
  <c r="P1810" i="1"/>
  <c r="K1810" i="1"/>
  <c r="Z1809" i="1"/>
  <c r="W1809" i="1"/>
  <c r="V1809" i="1"/>
  <c r="U1809" i="1"/>
  <c r="R1809" i="1"/>
  <c r="P1809" i="1"/>
  <c r="K1809" i="1"/>
  <c r="Z1808" i="1"/>
  <c r="W1808" i="1"/>
  <c r="V1808" i="1"/>
  <c r="U1808" i="1"/>
  <c r="R1808" i="1"/>
  <c r="P1808" i="1"/>
  <c r="K1808" i="1"/>
  <c r="Z1807" i="1"/>
  <c r="W1807" i="1"/>
  <c r="V1807" i="1"/>
  <c r="U1807" i="1"/>
  <c r="R1807" i="1"/>
  <c r="P1807" i="1"/>
  <c r="K1807" i="1"/>
  <c r="Z1806" i="1"/>
  <c r="W1806" i="1"/>
  <c r="V1806" i="1"/>
  <c r="U1806" i="1"/>
  <c r="R1806" i="1"/>
  <c r="P1806" i="1"/>
  <c r="K1806" i="1"/>
  <c r="Z1805" i="1"/>
  <c r="W1805" i="1"/>
  <c r="V1805" i="1"/>
  <c r="U1805" i="1"/>
  <c r="R1805" i="1"/>
  <c r="P1805" i="1"/>
  <c r="K1805" i="1"/>
  <c r="Z1804" i="1"/>
  <c r="W1804" i="1"/>
  <c r="V1804" i="1"/>
  <c r="U1804" i="1"/>
  <c r="R1804" i="1"/>
  <c r="P1804" i="1"/>
  <c r="K1804" i="1"/>
  <c r="Z1803" i="1"/>
  <c r="W1803" i="1"/>
  <c r="V1803" i="1"/>
  <c r="U1803" i="1"/>
  <c r="R1803" i="1"/>
  <c r="P1803" i="1"/>
  <c r="K1803" i="1"/>
  <c r="Z1802" i="1"/>
  <c r="W1802" i="1"/>
  <c r="V1802" i="1"/>
  <c r="U1802" i="1"/>
  <c r="R1802" i="1"/>
  <c r="P1802" i="1"/>
  <c r="K1802" i="1"/>
  <c r="Z1801" i="1"/>
  <c r="W1801" i="1"/>
  <c r="V1801" i="1"/>
  <c r="U1801" i="1"/>
  <c r="R1801" i="1"/>
  <c r="P1801" i="1"/>
  <c r="K1801" i="1"/>
  <c r="Z1800" i="1"/>
  <c r="W1800" i="1"/>
  <c r="V1800" i="1"/>
  <c r="U1800" i="1"/>
  <c r="R1800" i="1"/>
  <c r="P1800" i="1"/>
  <c r="K1800" i="1"/>
  <c r="Z1799" i="1"/>
  <c r="W1799" i="1"/>
  <c r="V1799" i="1"/>
  <c r="U1799" i="1"/>
  <c r="R1799" i="1"/>
  <c r="P1799" i="1"/>
  <c r="K1799" i="1"/>
  <c r="Z1798" i="1"/>
  <c r="W1798" i="1"/>
  <c r="V1798" i="1"/>
  <c r="U1798" i="1"/>
  <c r="R1798" i="1"/>
  <c r="P1798" i="1"/>
  <c r="K1798" i="1"/>
  <c r="Z1797" i="1"/>
  <c r="W1797" i="1"/>
  <c r="V1797" i="1"/>
  <c r="U1797" i="1"/>
  <c r="R1797" i="1"/>
  <c r="P1797" i="1"/>
  <c r="K1797" i="1"/>
  <c r="Z1796" i="1"/>
  <c r="W1796" i="1"/>
  <c r="V1796" i="1"/>
  <c r="U1796" i="1"/>
  <c r="R1796" i="1"/>
  <c r="P1796" i="1"/>
  <c r="K1796" i="1"/>
  <c r="Z1795" i="1"/>
  <c r="W1795" i="1"/>
  <c r="V1795" i="1"/>
  <c r="U1795" i="1"/>
  <c r="R1795" i="1"/>
  <c r="P1795" i="1"/>
  <c r="K1795" i="1"/>
  <c r="Z1794" i="1"/>
  <c r="W1794" i="1"/>
  <c r="V1794" i="1"/>
  <c r="U1794" i="1"/>
  <c r="R1794" i="1"/>
  <c r="P1794" i="1"/>
  <c r="K1794" i="1"/>
  <c r="Z1793" i="1"/>
  <c r="W1793" i="1"/>
  <c r="V1793" i="1"/>
  <c r="U1793" i="1"/>
  <c r="R1793" i="1"/>
  <c r="P1793" i="1"/>
  <c r="K1793" i="1"/>
  <c r="Z1792" i="1"/>
  <c r="W1792" i="1"/>
  <c r="V1792" i="1"/>
  <c r="U1792" i="1"/>
  <c r="R1792" i="1"/>
  <c r="P1792" i="1"/>
  <c r="K1792" i="1"/>
  <c r="Z1791" i="1"/>
  <c r="W1791" i="1"/>
  <c r="V1791" i="1"/>
  <c r="U1791" i="1"/>
  <c r="R1791" i="1"/>
  <c r="P1791" i="1"/>
  <c r="K1791" i="1"/>
  <c r="Z1790" i="1"/>
  <c r="W1790" i="1"/>
  <c r="V1790" i="1"/>
  <c r="U1790" i="1"/>
  <c r="R1790" i="1"/>
  <c r="P1790" i="1"/>
  <c r="K1790" i="1"/>
  <c r="Z1789" i="1"/>
  <c r="W1789" i="1"/>
  <c r="V1789" i="1"/>
  <c r="U1789" i="1"/>
  <c r="R1789" i="1"/>
  <c r="P1789" i="1"/>
  <c r="K1789" i="1"/>
  <c r="Z1788" i="1"/>
  <c r="W1788" i="1"/>
  <c r="V1788" i="1"/>
  <c r="U1788" i="1"/>
  <c r="R1788" i="1"/>
  <c r="P1788" i="1"/>
  <c r="K1788" i="1"/>
  <c r="Z1787" i="1"/>
  <c r="W1787" i="1"/>
  <c r="V1787" i="1"/>
  <c r="U1787" i="1"/>
  <c r="R1787" i="1"/>
  <c r="P1787" i="1"/>
  <c r="K1787" i="1"/>
  <c r="Z1786" i="1"/>
  <c r="W1786" i="1"/>
  <c r="V1786" i="1"/>
  <c r="U1786" i="1"/>
  <c r="R1786" i="1"/>
  <c r="P1786" i="1"/>
  <c r="K1786" i="1"/>
  <c r="Z1785" i="1"/>
  <c r="W1785" i="1"/>
  <c r="V1785" i="1"/>
  <c r="U1785" i="1"/>
  <c r="R1785" i="1"/>
  <c r="P1785" i="1"/>
  <c r="K1785" i="1"/>
  <c r="Z1784" i="1"/>
  <c r="W1784" i="1"/>
  <c r="V1784" i="1"/>
  <c r="U1784" i="1"/>
  <c r="R1784" i="1"/>
  <c r="P1784" i="1"/>
  <c r="K1784" i="1"/>
  <c r="Z1783" i="1"/>
  <c r="W1783" i="1"/>
  <c r="V1783" i="1"/>
  <c r="U1783" i="1"/>
  <c r="R1783" i="1"/>
  <c r="P1783" i="1"/>
  <c r="K1783" i="1"/>
  <c r="Z1782" i="1"/>
  <c r="W1782" i="1"/>
  <c r="V1782" i="1"/>
  <c r="U1782" i="1"/>
  <c r="R1782" i="1"/>
  <c r="P1782" i="1"/>
  <c r="K1782" i="1"/>
  <c r="Z1781" i="1"/>
  <c r="W1781" i="1"/>
  <c r="V1781" i="1"/>
  <c r="U1781" i="1"/>
  <c r="R1781" i="1"/>
  <c r="P1781" i="1"/>
  <c r="K1781" i="1"/>
  <c r="Z1780" i="1"/>
  <c r="W1780" i="1"/>
  <c r="V1780" i="1"/>
  <c r="U1780" i="1"/>
  <c r="R1780" i="1"/>
  <c r="P1780" i="1"/>
  <c r="K1780" i="1"/>
  <c r="Z1779" i="1"/>
  <c r="W1779" i="1"/>
  <c r="V1779" i="1"/>
  <c r="U1779" i="1"/>
  <c r="R1779" i="1"/>
  <c r="P1779" i="1"/>
  <c r="K1779" i="1"/>
  <c r="Z1778" i="1"/>
  <c r="W1778" i="1"/>
  <c r="V1778" i="1"/>
  <c r="U1778" i="1"/>
  <c r="R1778" i="1"/>
  <c r="P1778" i="1"/>
  <c r="K1778" i="1"/>
  <c r="Z1777" i="1"/>
  <c r="W1777" i="1"/>
  <c r="V1777" i="1"/>
  <c r="U1777" i="1"/>
  <c r="R1777" i="1"/>
  <c r="P1777" i="1"/>
  <c r="K1777" i="1"/>
  <c r="Z1776" i="1"/>
  <c r="W1776" i="1"/>
  <c r="V1776" i="1"/>
  <c r="U1776" i="1"/>
  <c r="R1776" i="1"/>
  <c r="P1776" i="1"/>
  <c r="K1776" i="1"/>
  <c r="Z1775" i="1"/>
  <c r="W1775" i="1"/>
  <c r="V1775" i="1"/>
  <c r="U1775" i="1"/>
  <c r="R1775" i="1"/>
  <c r="P1775" i="1"/>
  <c r="K1775" i="1"/>
  <c r="Z1774" i="1"/>
  <c r="W1774" i="1"/>
  <c r="V1774" i="1"/>
  <c r="U1774" i="1"/>
  <c r="R1774" i="1"/>
  <c r="P1774" i="1"/>
  <c r="K1774" i="1"/>
  <c r="Z1773" i="1"/>
  <c r="W1773" i="1"/>
  <c r="V1773" i="1"/>
  <c r="U1773" i="1"/>
  <c r="R1773" i="1"/>
  <c r="P1773" i="1"/>
  <c r="K1773" i="1"/>
  <c r="Z1772" i="1"/>
  <c r="W1772" i="1"/>
  <c r="V1772" i="1"/>
  <c r="U1772" i="1"/>
  <c r="R1772" i="1"/>
  <c r="P1772" i="1"/>
  <c r="K1772" i="1"/>
  <c r="Z1771" i="1"/>
  <c r="W1771" i="1"/>
  <c r="V1771" i="1"/>
  <c r="U1771" i="1"/>
  <c r="R1771" i="1"/>
  <c r="P1771" i="1"/>
  <c r="K1771" i="1"/>
  <c r="Z1770" i="1"/>
  <c r="W1770" i="1"/>
  <c r="V1770" i="1"/>
  <c r="U1770" i="1"/>
  <c r="R1770" i="1"/>
  <c r="P1770" i="1"/>
  <c r="K1770" i="1"/>
  <c r="Z1769" i="1"/>
  <c r="W1769" i="1"/>
  <c r="V1769" i="1"/>
  <c r="U1769" i="1"/>
  <c r="R1769" i="1"/>
  <c r="P1769" i="1"/>
  <c r="K1769" i="1"/>
  <c r="Z1768" i="1"/>
  <c r="W1768" i="1"/>
  <c r="V1768" i="1"/>
  <c r="U1768" i="1"/>
  <c r="R1768" i="1"/>
  <c r="P1768" i="1"/>
  <c r="K1768" i="1"/>
  <c r="Z1767" i="1"/>
  <c r="W1767" i="1"/>
  <c r="V1767" i="1"/>
  <c r="U1767" i="1"/>
  <c r="R1767" i="1"/>
  <c r="P1767" i="1"/>
  <c r="K1767" i="1"/>
  <c r="Z1766" i="1"/>
  <c r="W1766" i="1"/>
  <c r="V1766" i="1"/>
  <c r="U1766" i="1"/>
  <c r="R1766" i="1"/>
  <c r="P1766" i="1"/>
  <c r="K1766" i="1"/>
  <c r="Z1765" i="1"/>
  <c r="W1765" i="1"/>
  <c r="V1765" i="1"/>
  <c r="U1765" i="1"/>
  <c r="R1765" i="1"/>
  <c r="P1765" i="1"/>
  <c r="K1765" i="1"/>
  <c r="Z1764" i="1"/>
  <c r="W1764" i="1"/>
  <c r="V1764" i="1"/>
  <c r="U1764" i="1"/>
  <c r="R1764" i="1"/>
  <c r="P1764" i="1"/>
  <c r="K1764" i="1"/>
  <c r="Z1763" i="1"/>
  <c r="W1763" i="1"/>
  <c r="V1763" i="1"/>
  <c r="U1763" i="1"/>
  <c r="R1763" i="1"/>
  <c r="P1763" i="1"/>
  <c r="K1763" i="1"/>
  <c r="Z1762" i="1"/>
  <c r="W1762" i="1"/>
  <c r="V1762" i="1"/>
  <c r="U1762" i="1"/>
  <c r="R1762" i="1"/>
  <c r="P1762" i="1"/>
  <c r="K1762" i="1"/>
  <c r="Z1761" i="1"/>
  <c r="W1761" i="1"/>
  <c r="V1761" i="1"/>
  <c r="U1761" i="1"/>
  <c r="R1761" i="1"/>
  <c r="P1761" i="1"/>
  <c r="K1761" i="1"/>
  <c r="Z1760" i="1"/>
  <c r="W1760" i="1"/>
  <c r="V1760" i="1"/>
  <c r="U1760" i="1"/>
  <c r="R1760" i="1"/>
  <c r="P1760" i="1"/>
  <c r="K1760" i="1"/>
  <c r="Z1759" i="1"/>
  <c r="W1759" i="1"/>
  <c r="V1759" i="1"/>
  <c r="U1759" i="1"/>
  <c r="R1759" i="1"/>
  <c r="P1759" i="1"/>
  <c r="K1759" i="1"/>
  <c r="Z1758" i="1"/>
  <c r="W1758" i="1"/>
  <c r="V1758" i="1"/>
  <c r="U1758" i="1"/>
  <c r="R1758" i="1"/>
  <c r="P1758" i="1"/>
  <c r="K1758" i="1"/>
  <c r="Z1757" i="1"/>
  <c r="W1757" i="1"/>
  <c r="V1757" i="1"/>
  <c r="U1757" i="1"/>
  <c r="R1757" i="1"/>
  <c r="P1757" i="1"/>
  <c r="K1757" i="1"/>
  <c r="Z1756" i="1"/>
  <c r="W1756" i="1"/>
  <c r="V1756" i="1"/>
  <c r="U1756" i="1"/>
  <c r="R1756" i="1"/>
  <c r="P1756" i="1"/>
  <c r="K1756" i="1"/>
  <c r="Z1755" i="1"/>
  <c r="W1755" i="1"/>
  <c r="V1755" i="1"/>
  <c r="U1755" i="1"/>
  <c r="R1755" i="1"/>
  <c r="P1755" i="1"/>
  <c r="K1755" i="1"/>
  <c r="Z1754" i="1"/>
  <c r="W1754" i="1"/>
  <c r="V1754" i="1"/>
  <c r="U1754" i="1"/>
  <c r="R1754" i="1"/>
  <c r="P1754" i="1"/>
  <c r="K1754" i="1"/>
  <c r="Z1753" i="1"/>
  <c r="W1753" i="1"/>
  <c r="V1753" i="1"/>
  <c r="U1753" i="1"/>
  <c r="R1753" i="1"/>
  <c r="P1753" i="1"/>
  <c r="K1753" i="1"/>
  <c r="Z1752" i="1"/>
  <c r="W1752" i="1"/>
  <c r="V1752" i="1"/>
  <c r="U1752" i="1"/>
  <c r="R1752" i="1"/>
  <c r="P1752" i="1"/>
  <c r="K1752" i="1"/>
  <c r="Z1751" i="1"/>
  <c r="W1751" i="1"/>
  <c r="V1751" i="1"/>
  <c r="U1751" i="1"/>
  <c r="R1751" i="1"/>
  <c r="P1751" i="1"/>
  <c r="K1751" i="1"/>
  <c r="Z1750" i="1"/>
  <c r="W1750" i="1"/>
  <c r="V1750" i="1"/>
  <c r="U1750" i="1"/>
  <c r="R1750" i="1"/>
  <c r="P1750" i="1"/>
  <c r="K1750" i="1"/>
  <c r="Z1749" i="1"/>
  <c r="W1749" i="1"/>
  <c r="V1749" i="1"/>
  <c r="U1749" i="1"/>
  <c r="R1749" i="1"/>
  <c r="P1749" i="1"/>
  <c r="K1749" i="1"/>
  <c r="Z1748" i="1"/>
  <c r="W1748" i="1"/>
  <c r="V1748" i="1"/>
  <c r="U1748" i="1"/>
  <c r="R1748" i="1"/>
  <c r="P1748" i="1"/>
  <c r="K1748" i="1"/>
  <c r="Z1747" i="1"/>
  <c r="W1747" i="1"/>
  <c r="V1747" i="1"/>
  <c r="U1747" i="1"/>
  <c r="R1747" i="1"/>
  <c r="P1747" i="1"/>
  <c r="K1747" i="1"/>
  <c r="Z1746" i="1"/>
  <c r="W1746" i="1"/>
  <c r="V1746" i="1"/>
  <c r="U1746" i="1"/>
  <c r="R1746" i="1"/>
  <c r="P1746" i="1"/>
  <c r="K1746" i="1"/>
  <c r="Z1745" i="1"/>
  <c r="W1745" i="1"/>
  <c r="V1745" i="1"/>
  <c r="U1745" i="1"/>
  <c r="R1745" i="1"/>
  <c r="P1745" i="1"/>
  <c r="K1745" i="1"/>
  <c r="Z1744" i="1"/>
  <c r="W1744" i="1"/>
  <c r="V1744" i="1"/>
  <c r="U1744" i="1"/>
  <c r="R1744" i="1"/>
  <c r="P1744" i="1"/>
  <c r="K1744" i="1"/>
  <c r="Z1743" i="1"/>
  <c r="W1743" i="1"/>
  <c r="V1743" i="1"/>
  <c r="U1743" i="1"/>
  <c r="R1743" i="1"/>
  <c r="P1743" i="1"/>
  <c r="K1743" i="1"/>
  <c r="Z1742" i="1"/>
  <c r="W1742" i="1"/>
  <c r="V1742" i="1"/>
  <c r="U1742" i="1"/>
  <c r="R1742" i="1"/>
  <c r="P1742" i="1"/>
  <c r="K1742" i="1"/>
  <c r="Z1741" i="1"/>
  <c r="W1741" i="1"/>
  <c r="V1741" i="1"/>
  <c r="U1741" i="1"/>
  <c r="R1741" i="1"/>
  <c r="P1741" i="1"/>
  <c r="K1741" i="1"/>
  <c r="Z1740" i="1"/>
  <c r="W1740" i="1"/>
  <c r="V1740" i="1"/>
  <c r="U1740" i="1"/>
  <c r="R1740" i="1"/>
  <c r="P1740" i="1"/>
  <c r="K1740" i="1"/>
  <c r="Z1739" i="1"/>
  <c r="W1739" i="1"/>
  <c r="V1739" i="1"/>
  <c r="U1739" i="1"/>
  <c r="R1739" i="1"/>
  <c r="P1739" i="1"/>
  <c r="K1739" i="1"/>
  <c r="Z1738" i="1"/>
  <c r="W1738" i="1"/>
  <c r="V1738" i="1"/>
  <c r="U1738" i="1"/>
  <c r="R1738" i="1"/>
  <c r="P1738" i="1"/>
  <c r="K1738" i="1"/>
  <c r="Z1737" i="1"/>
  <c r="W1737" i="1"/>
  <c r="V1737" i="1"/>
  <c r="U1737" i="1"/>
  <c r="R1737" i="1"/>
  <c r="P1737" i="1"/>
  <c r="K1737" i="1"/>
  <c r="Z1736" i="1"/>
  <c r="W1736" i="1"/>
  <c r="V1736" i="1"/>
  <c r="U1736" i="1"/>
  <c r="R1736" i="1"/>
  <c r="P1736" i="1"/>
  <c r="K1736" i="1"/>
  <c r="Z1735" i="1"/>
  <c r="W1735" i="1"/>
  <c r="V1735" i="1"/>
  <c r="U1735" i="1"/>
  <c r="R1735" i="1"/>
  <c r="P1735" i="1"/>
  <c r="K1735" i="1"/>
  <c r="Z1734" i="1"/>
  <c r="W1734" i="1"/>
  <c r="V1734" i="1"/>
  <c r="U1734" i="1"/>
  <c r="R1734" i="1"/>
  <c r="P1734" i="1"/>
  <c r="K1734" i="1"/>
  <c r="Z1733" i="1"/>
  <c r="W1733" i="1"/>
  <c r="V1733" i="1"/>
  <c r="U1733" i="1"/>
  <c r="R1733" i="1"/>
  <c r="P1733" i="1"/>
  <c r="K1733" i="1"/>
  <c r="Z1732" i="1"/>
  <c r="W1732" i="1"/>
  <c r="V1732" i="1"/>
  <c r="U1732" i="1"/>
  <c r="R1732" i="1"/>
  <c r="P1732" i="1"/>
  <c r="K1732" i="1"/>
  <c r="Z1731" i="1"/>
  <c r="W1731" i="1"/>
  <c r="V1731" i="1"/>
  <c r="U1731" i="1"/>
  <c r="R1731" i="1"/>
  <c r="P1731" i="1"/>
  <c r="K1731" i="1"/>
  <c r="Z1730" i="1"/>
  <c r="W1730" i="1"/>
  <c r="V1730" i="1"/>
  <c r="U1730" i="1"/>
  <c r="R1730" i="1"/>
  <c r="P1730" i="1"/>
  <c r="K1730" i="1"/>
  <c r="Z1729" i="1"/>
  <c r="W1729" i="1"/>
  <c r="V1729" i="1"/>
  <c r="U1729" i="1"/>
  <c r="R1729" i="1"/>
  <c r="P1729" i="1"/>
  <c r="K1729" i="1"/>
  <c r="Z1728" i="1"/>
  <c r="W1728" i="1"/>
  <c r="V1728" i="1"/>
  <c r="U1728" i="1"/>
  <c r="R1728" i="1"/>
  <c r="P1728" i="1"/>
  <c r="K1728" i="1"/>
  <c r="Z1727" i="1"/>
  <c r="W1727" i="1"/>
  <c r="V1727" i="1"/>
  <c r="U1727" i="1"/>
  <c r="R1727" i="1"/>
  <c r="P1727" i="1"/>
  <c r="K1727" i="1"/>
  <c r="Z1726" i="1"/>
  <c r="W1726" i="1"/>
  <c r="V1726" i="1"/>
  <c r="U1726" i="1"/>
  <c r="R1726" i="1"/>
  <c r="P1726" i="1"/>
  <c r="K1726" i="1"/>
  <c r="Z1725" i="1"/>
  <c r="W1725" i="1"/>
  <c r="V1725" i="1"/>
  <c r="U1725" i="1"/>
  <c r="R1725" i="1"/>
  <c r="P1725" i="1"/>
  <c r="K1725" i="1"/>
  <c r="Z1724" i="1"/>
  <c r="W1724" i="1"/>
  <c r="V1724" i="1"/>
  <c r="U1724" i="1"/>
  <c r="R1724" i="1"/>
  <c r="P1724" i="1"/>
  <c r="K1724" i="1"/>
  <c r="Z1723" i="1"/>
  <c r="W1723" i="1"/>
  <c r="V1723" i="1"/>
  <c r="U1723" i="1"/>
  <c r="R1723" i="1"/>
  <c r="P1723" i="1"/>
  <c r="K1723" i="1"/>
  <c r="Z1722" i="1"/>
  <c r="W1722" i="1"/>
  <c r="V1722" i="1"/>
  <c r="U1722" i="1"/>
  <c r="R1722" i="1"/>
  <c r="P1722" i="1"/>
  <c r="K1722" i="1"/>
  <c r="Z1721" i="1"/>
  <c r="W1721" i="1"/>
  <c r="V1721" i="1"/>
  <c r="U1721" i="1"/>
  <c r="R1721" i="1"/>
  <c r="P1721" i="1"/>
  <c r="K1721" i="1"/>
  <c r="Z1720" i="1"/>
  <c r="W1720" i="1"/>
  <c r="V1720" i="1"/>
  <c r="U1720" i="1"/>
  <c r="R1720" i="1"/>
  <c r="P1720" i="1"/>
  <c r="K1720" i="1"/>
  <c r="Z1719" i="1"/>
  <c r="W1719" i="1"/>
  <c r="V1719" i="1"/>
  <c r="U1719" i="1"/>
  <c r="R1719" i="1"/>
  <c r="P1719" i="1"/>
  <c r="K1719" i="1"/>
  <c r="Z1718" i="1"/>
  <c r="W1718" i="1"/>
  <c r="V1718" i="1"/>
  <c r="U1718" i="1"/>
  <c r="R1718" i="1"/>
  <c r="P1718" i="1"/>
  <c r="K1718" i="1"/>
  <c r="Z1717" i="1"/>
  <c r="W1717" i="1"/>
  <c r="V1717" i="1"/>
  <c r="U1717" i="1"/>
  <c r="R1717" i="1"/>
  <c r="P1717" i="1"/>
  <c r="K1717" i="1"/>
  <c r="Z1716" i="1"/>
  <c r="W1716" i="1"/>
  <c r="V1716" i="1"/>
  <c r="U1716" i="1"/>
  <c r="R1716" i="1"/>
  <c r="P1716" i="1"/>
  <c r="K1716" i="1"/>
  <c r="Z1715" i="1"/>
  <c r="W1715" i="1"/>
  <c r="V1715" i="1"/>
  <c r="U1715" i="1"/>
  <c r="R1715" i="1"/>
  <c r="P1715" i="1"/>
  <c r="K1715" i="1"/>
  <c r="Z1714" i="1"/>
  <c r="W1714" i="1"/>
  <c r="V1714" i="1"/>
  <c r="U1714" i="1"/>
  <c r="R1714" i="1"/>
  <c r="P1714" i="1"/>
  <c r="K1714" i="1"/>
  <c r="Z1713" i="1"/>
  <c r="W1713" i="1"/>
  <c r="V1713" i="1"/>
  <c r="U1713" i="1"/>
  <c r="R1713" i="1"/>
  <c r="P1713" i="1"/>
  <c r="K1713" i="1"/>
  <c r="Z1712" i="1"/>
  <c r="W1712" i="1"/>
  <c r="V1712" i="1"/>
  <c r="U1712" i="1"/>
  <c r="R1712" i="1"/>
  <c r="P1712" i="1"/>
  <c r="K1712" i="1"/>
  <c r="Z1711" i="1"/>
  <c r="W1711" i="1"/>
  <c r="V1711" i="1"/>
  <c r="U1711" i="1"/>
  <c r="R1711" i="1"/>
  <c r="P1711" i="1"/>
  <c r="K1711" i="1"/>
  <c r="Z1710" i="1"/>
  <c r="W1710" i="1"/>
  <c r="V1710" i="1"/>
  <c r="U1710" i="1"/>
  <c r="R1710" i="1"/>
  <c r="P1710" i="1"/>
  <c r="K1710" i="1"/>
  <c r="Z1709" i="1"/>
  <c r="W1709" i="1"/>
  <c r="V1709" i="1"/>
  <c r="U1709" i="1"/>
  <c r="R1709" i="1"/>
  <c r="P1709" i="1"/>
  <c r="K1709" i="1"/>
  <c r="Z1708" i="1"/>
  <c r="W1708" i="1"/>
  <c r="V1708" i="1"/>
  <c r="U1708" i="1"/>
  <c r="R1708" i="1"/>
  <c r="P1708" i="1"/>
  <c r="K1708" i="1"/>
  <c r="Z1707" i="1"/>
  <c r="W1707" i="1"/>
  <c r="V1707" i="1"/>
  <c r="U1707" i="1"/>
  <c r="R1707" i="1"/>
  <c r="P1707" i="1"/>
  <c r="K1707" i="1"/>
  <c r="Z1706" i="1"/>
  <c r="W1706" i="1"/>
  <c r="V1706" i="1"/>
  <c r="U1706" i="1"/>
  <c r="R1706" i="1"/>
  <c r="P1706" i="1"/>
  <c r="K1706" i="1"/>
  <c r="Z1705" i="1"/>
  <c r="W1705" i="1"/>
  <c r="V1705" i="1"/>
  <c r="U1705" i="1"/>
  <c r="R1705" i="1"/>
  <c r="P1705" i="1"/>
  <c r="K1705" i="1"/>
  <c r="Z1704" i="1"/>
  <c r="W1704" i="1"/>
  <c r="V1704" i="1"/>
  <c r="U1704" i="1"/>
  <c r="R1704" i="1"/>
  <c r="P1704" i="1"/>
  <c r="K1704" i="1"/>
  <c r="Z1703" i="1"/>
  <c r="W1703" i="1"/>
  <c r="V1703" i="1"/>
  <c r="U1703" i="1"/>
  <c r="R1703" i="1"/>
  <c r="P1703" i="1"/>
  <c r="K1703" i="1"/>
  <c r="Z1702" i="1"/>
  <c r="W1702" i="1"/>
  <c r="V1702" i="1"/>
  <c r="U1702" i="1"/>
  <c r="R1702" i="1"/>
  <c r="P1702" i="1"/>
  <c r="K1702" i="1"/>
  <c r="Z1701" i="1"/>
  <c r="W1701" i="1"/>
  <c r="V1701" i="1"/>
  <c r="U1701" i="1"/>
  <c r="R1701" i="1"/>
  <c r="P1701" i="1"/>
  <c r="K1701" i="1"/>
  <c r="Z1700" i="1"/>
  <c r="W1700" i="1"/>
  <c r="V1700" i="1"/>
  <c r="U1700" i="1"/>
  <c r="R1700" i="1"/>
  <c r="P1700" i="1"/>
  <c r="K1700" i="1"/>
  <c r="Z1699" i="1"/>
  <c r="W1699" i="1"/>
  <c r="V1699" i="1"/>
  <c r="U1699" i="1"/>
  <c r="R1699" i="1"/>
  <c r="P1699" i="1"/>
  <c r="K1699" i="1"/>
  <c r="Z1698" i="1"/>
  <c r="W1698" i="1"/>
  <c r="V1698" i="1"/>
  <c r="U1698" i="1"/>
  <c r="R1698" i="1"/>
  <c r="P1698" i="1"/>
  <c r="K1698" i="1"/>
  <c r="Z1697" i="1"/>
  <c r="W1697" i="1"/>
  <c r="V1697" i="1"/>
  <c r="U1697" i="1"/>
  <c r="R1697" i="1"/>
  <c r="P1697" i="1"/>
  <c r="K1697" i="1"/>
  <c r="Z1696" i="1"/>
  <c r="W1696" i="1"/>
  <c r="V1696" i="1"/>
  <c r="U1696" i="1"/>
  <c r="R1696" i="1"/>
  <c r="P1696" i="1"/>
  <c r="K1696" i="1"/>
  <c r="Z1695" i="1"/>
  <c r="W1695" i="1"/>
  <c r="V1695" i="1"/>
  <c r="U1695" i="1"/>
  <c r="R1695" i="1"/>
  <c r="P1695" i="1"/>
  <c r="K1695" i="1"/>
  <c r="Z1694" i="1"/>
  <c r="W1694" i="1"/>
  <c r="V1694" i="1"/>
  <c r="U1694" i="1"/>
  <c r="R1694" i="1"/>
  <c r="P1694" i="1"/>
  <c r="K1694" i="1"/>
  <c r="Z1693" i="1"/>
  <c r="W1693" i="1"/>
  <c r="V1693" i="1"/>
  <c r="U1693" i="1"/>
  <c r="R1693" i="1"/>
  <c r="P1693" i="1"/>
  <c r="K1693" i="1"/>
  <c r="Z1692" i="1"/>
  <c r="W1692" i="1"/>
  <c r="V1692" i="1"/>
  <c r="U1692" i="1"/>
  <c r="R1692" i="1"/>
  <c r="P1692" i="1"/>
  <c r="K1692" i="1"/>
  <c r="Z1691" i="1"/>
  <c r="W1691" i="1"/>
  <c r="V1691" i="1"/>
  <c r="U1691" i="1"/>
  <c r="R1691" i="1"/>
  <c r="P1691" i="1"/>
  <c r="K1691" i="1"/>
  <c r="Z1690" i="1"/>
  <c r="W1690" i="1"/>
  <c r="V1690" i="1"/>
  <c r="U1690" i="1"/>
  <c r="R1690" i="1"/>
  <c r="P1690" i="1"/>
  <c r="K1690" i="1"/>
  <c r="Z1689" i="1"/>
  <c r="W1689" i="1"/>
  <c r="V1689" i="1"/>
  <c r="U1689" i="1"/>
  <c r="R1689" i="1"/>
  <c r="P1689" i="1"/>
  <c r="K1689" i="1"/>
  <c r="Z1688" i="1"/>
  <c r="W1688" i="1"/>
  <c r="V1688" i="1"/>
  <c r="U1688" i="1"/>
  <c r="R1688" i="1"/>
  <c r="P1688" i="1"/>
  <c r="K1688" i="1"/>
  <c r="Z1687" i="1"/>
  <c r="W1687" i="1"/>
  <c r="V1687" i="1"/>
  <c r="U1687" i="1"/>
  <c r="R1687" i="1"/>
  <c r="P1687" i="1"/>
  <c r="K1687" i="1"/>
  <c r="Z1686" i="1"/>
  <c r="W1686" i="1"/>
  <c r="V1686" i="1"/>
  <c r="U1686" i="1"/>
  <c r="R1686" i="1"/>
  <c r="P1686" i="1"/>
  <c r="K1686" i="1"/>
  <c r="Z1685" i="1"/>
  <c r="W1685" i="1"/>
  <c r="V1685" i="1"/>
  <c r="U1685" i="1"/>
  <c r="R1685" i="1"/>
  <c r="P1685" i="1"/>
  <c r="K1685" i="1"/>
  <c r="Z1684" i="1"/>
  <c r="W1684" i="1"/>
  <c r="V1684" i="1"/>
  <c r="U1684" i="1"/>
  <c r="R1684" i="1"/>
  <c r="P1684" i="1"/>
  <c r="K1684" i="1"/>
  <c r="Z1683" i="1"/>
  <c r="W1683" i="1"/>
  <c r="V1683" i="1"/>
  <c r="U1683" i="1"/>
  <c r="R1683" i="1"/>
  <c r="P1683" i="1"/>
  <c r="K1683" i="1"/>
  <c r="Z1682" i="1"/>
  <c r="W1682" i="1"/>
  <c r="V1682" i="1"/>
  <c r="U1682" i="1"/>
  <c r="R1682" i="1"/>
  <c r="P1682" i="1"/>
  <c r="K1682" i="1"/>
  <c r="Z1681" i="1"/>
  <c r="W1681" i="1"/>
  <c r="V1681" i="1"/>
  <c r="U1681" i="1"/>
  <c r="R1681" i="1"/>
  <c r="P1681" i="1"/>
  <c r="K1681" i="1"/>
  <c r="Z1680" i="1"/>
  <c r="W1680" i="1"/>
  <c r="V1680" i="1"/>
  <c r="U1680" i="1"/>
  <c r="R1680" i="1"/>
  <c r="P1680" i="1"/>
  <c r="K1680" i="1"/>
  <c r="Z1679" i="1"/>
  <c r="W1679" i="1"/>
  <c r="V1679" i="1"/>
  <c r="U1679" i="1"/>
  <c r="R1679" i="1"/>
  <c r="P1679" i="1"/>
  <c r="K1679" i="1"/>
  <c r="Z1678" i="1"/>
  <c r="W1678" i="1"/>
  <c r="V1678" i="1"/>
  <c r="U1678" i="1"/>
  <c r="R1678" i="1"/>
  <c r="P1678" i="1"/>
  <c r="K1678" i="1"/>
  <c r="Z1677" i="1"/>
  <c r="W1677" i="1"/>
  <c r="V1677" i="1"/>
  <c r="U1677" i="1"/>
  <c r="R1677" i="1"/>
  <c r="P1677" i="1"/>
  <c r="K1677" i="1"/>
  <c r="Z1676" i="1"/>
  <c r="W1676" i="1"/>
  <c r="V1676" i="1"/>
  <c r="U1676" i="1"/>
  <c r="R1676" i="1"/>
  <c r="P1676" i="1"/>
  <c r="K1676" i="1"/>
  <c r="Z1675" i="1"/>
  <c r="W1675" i="1"/>
  <c r="V1675" i="1"/>
  <c r="U1675" i="1"/>
  <c r="R1675" i="1"/>
  <c r="P1675" i="1"/>
  <c r="K1675" i="1"/>
  <c r="Z1674" i="1"/>
  <c r="W1674" i="1"/>
  <c r="V1674" i="1"/>
  <c r="U1674" i="1"/>
  <c r="R1674" i="1"/>
  <c r="P1674" i="1"/>
  <c r="K1674" i="1"/>
  <c r="Z1673" i="1"/>
  <c r="W1673" i="1"/>
  <c r="V1673" i="1"/>
  <c r="U1673" i="1"/>
  <c r="R1673" i="1"/>
  <c r="P1673" i="1"/>
  <c r="K1673" i="1"/>
  <c r="Z1672" i="1"/>
  <c r="W1672" i="1"/>
  <c r="V1672" i="1"/>
  <c r="U1672" i="1"/>
  <c r="R1672" i="1"/>
  <c r="P1672" i="1"/>
  <c r="K1672" i="1"/>
  <c r="Z1671" i="1"/>
  <c r="W1671" i="1"/>
  <c r="V1671" i="1"/>
  <c r="U1671" i="1"/>
  <c r="R1671" i="1"/>
  <c r="P1671" i="1"/>
  <c r="K1671" i="1"/>
  <c r="Z1670" i="1"/>
  <c r="W1670" i="1"/>
  <c r="V1670" i="1"/>
  <c r="U1670" i="1"/>
  <c r="R1670" i="1"/>
  <c r="P1670" i="1"/>
  <c r="K1670" i="1"/>
  <c r="Z1669" i="1"/>
  <c r="W1669" i="1"/>
  <c r="V1669" i="1"/>
  <c r="U1669" i="1"/>
  <c r="R1669" i="1"/>
  <c r="P1669" i="1"/>
  <c r="K1669" i="1"/>
  <c r="Z1668" i="1"/>
  <c r="W1668" i="1"/>
  <c r="V1668" i="1"/>
  <c r="U1668" i="1"/>
  <c r="R1668" i="1"/>
  <c r="P1668" i="1"/>
  <c r="K1668" i="1"/>
  <c r="Z1667" i="1"/>
  <c r="W1667" i="1"/>
  <c r="V1667" i="1"/>
  <c r="U1667" i="1"/>
  <c r="R1667" i="1"/>
  <c r="P1667" i="1"/>
  <c r="K1667" i="1"/>
  <c r="Z1666" i="1"/>
  <c r="W1666" i="1"/>
  <c r="V1666" i="1"/>
  <c r="U1666" i="1"/>
  <c r="R1666" i="1"/>
  <c r="P1666" i="1"/>
  <c r="K1666" i="1"/>
  <c r="Z1665" i="1"/>
  <c r="W1665" i="1"/>
  <c r="V1665" i="1"/>
  <c r="U1665" i="1"/>
  <c r="R1665" i="1"/>
  <c r="P1665" i="1"/>
  <c r="K1665" i="1"/>
  <c r="Z1664" i="1"/>
  <c r="W1664" i="1"/>
  <c r="V1664" i="1"/>
  <c r="U1664" i="1"/>
  <c r="R1664" i="1"/>
  <c r="P1664" i="1"/>
  <c r="K1664" i="1"/>
  <c r="Z1663" i="1"/>
  <c r="W1663" i="1"/>
  <c r="V1663" i="1"/>
  <c r="U1663" i="1"/>
  <c r="R1663" i="1"/>
  <c r="P1663" i="1"/>
  <c r="K1663" i="1"/>
  <c r="Z1662" i="1"/>
  <c r="W1662" i="1"/>
  <c r="V1662" i="1"/>
  <c r="U1662" i="1"/>
  <c r="R1662" i="1"/>
  <c r="P1662" i="1"/>
  <c r="K1662" i="1"/>
  <c r="Z1661" i="1"/>
  <c r="W1661" i="1"/>
  <c r="V1661" i="1"/>
  <c r="U1661" i="1"/>
  <c r="R1661" i="1"/>
  <c r="P1661" i="1"/>
  <c r="K1661" i="1"/>
  <c r="Z1660" i="1"/>
  <c r="W1660" i="1"/>
  <c r="V1660" i="1"/>
  <c r="U1660" i="1"/>
  <c r="R1660" i="1"/>
  <c r="P1660" i="1"/>
  <c r="K1660" i="1"/>
  <c r="Z1659" i="1"/>
  <c r="W1659" i="1"/>
  <c r="V1659" i="1"/>
  <c r="U1659" i="1"/>
  <c r="R1659" i="1"/>
  <c r="P1659" i="1"/>
  <c r="K1659" i="1"/>
  <c r="Z1658" i="1"/>
  <c r="W1658" i="1"/>
  <c r="V1658" i="1"/>
  <c r="U1658" i="1"/>
  <c r="R1658" i="1"/>
  <c r="P1658" i="1"/>
  <c r="K1658" i="1"/>
  <c r="Z1657" i="1"/>
  <c r="W1657" i="1"/>
  <c r="V1657" i="1"/>
  <c r="U1657" i="1"/>
  <c r="R1657" i="1"/>
  <c r="P1657" i="1"/>
  <c r="K1657" i="1"/>
  <c r="Z1656" i="1"/>
  <c r="W1656" i="1"/>
  <c r="V1656" i="1"/>
  <c r="U1656" i="1"/>
  <c r="R1656" i="1"/>
  <c r="P1656" i="1"/>
  <c r="K1656" i="1"/>
  <c r="Z1655" i="1"/>
  <c r="W1655" i="1"/>
  <c r="V1655" i="1"/>
  <c r="U1655" i="1"/>
  <c r="R1655" i="1"/>
  <c r="P1655" i="1"/>
  <c r="K1655" i="1"/>
  <c r="Z1654" i="1"/>
  <c r="W1654" i="1"/>
  <c r="V1654" i="1"/>
  <c r="U1654" i="1"/>
  <c r="R1654" i="1"/>
  <c r="P1654" i="1"/>
  <c r="K1654" i="1"/>
  <c r="Z1653" i="1"/>
  <c r="W1653" i="1"/>
  <c r="V1653" i="1"/>
  <c r="U1653" i="1"/>
  <c r="R1653" i="1"/>
  <c r="P1653" i="1"/>
  <c r="K1653" i="1"/>
  <c r="Z1652" i="1"/>
  <c r="W1652" i="1"/>
  <c r="V1652" i="1"/>
  <c r="U1652" i="1"/>
  <c r="R1652" i="1"/>
  <c r="P1652" i="1"/>
  <c r="K1652" i="1"/>
  <c r="Z1651" i="1"/>
  <c r="W1651" i="1"/>
  <c r="V1651" i="1"/>
  <c r="U1651" i="1"/>
  <c r="R1651" i="1"/>
  <c r="P1651" i="1"/>
  <c r="K1651" i="1"/>
  <c r="Z1650" i="1"/>
  <c r="W1650" i="1"/>
  <c r="V1650" i="1"/>
  <c r="U1650" i="1"/>
  <c r="R1650" i="1"/>
  <c r="P1650" i="1"/>
  <c r="K1650" i="1"/>
  <c r="Z1649" i="1"/>
  <c r="W1649" i="1"/>
  <c r="V1649" i="1"/>
  <c r="U1649" i="1"/>
  <c r="R1649" i="1"/>
  <c r="P1649" i="1"/>
  <c r="K1649" i="1"/>
  <c r="Z1648" i="1"/>
  <c r="W1648" i="1"/>
  <c r="V1648" i="1"/>
  <c r="U1648" i="1"/>
  <c r="R1648" i="1"/>
  <c r="P1648" i="1"/>
  <c r="K1648" i="1"/>
  <c r="Z1647" i="1"/>
  <c r="W1647" i="1"/>
  <c r="V1647" i="1"/>
  <c r="U1647" i="1"/>
  <c r="R1647" i="1"/>
  <c r="P1647" i="1"/>
  <c r="K1647" i="1"/>
  <c r="Z1646" i="1"/>
  <c r="W1646" i="1"/>
  <c r="V1646" i="1"/>
  <c r="U1646" i="1"/>
  <c r="R1646" i="1"/>
  <c r="P1646" i="1"/>
  <c r="K1646" i="1"/>
  <c r="Z1645" i="1"/>
  <c r="W1645" i="1"/>
  <c r="V1645" i="1"/>
  <c r="U1645" i="1"/>
  <c r="R1645" i="1"/>
  <c r="P1645" i="1"/>
  <c r="K1645" i="1"/>
  <c r="Z1644" i="1"/>
  <c r="W1644" i="1"/>
  <c r="V1644" i="1"/>
  <c r="U1644" i="1"/>
  <c r="R1644" i="1"/>
  <c r="P1644" i="1"/>
  <c r="K1644" i="1"/>
  <c r="Z1643" i="1"/>
  <c r="W1643" i="1"/>
  <c r="V1643" i="1"/>
  <c r="U1643" i="1"/>
  <c r="R1643" i="1"/>
  <c r="P1643" i="1"/>
  <c r="K1643" i="1"/>
  <c r="Z1642" i="1"/>
  <c r="W1642" i="1"/>
  <c r="V1642" i="1"/>
  <c r="U1642" i="1"/>
  <c r="R1642" i="1"/>
  <c r="P1642" i="1"/>
  <c r="K1642" i="1"/>
  <c r="Z1641" i="1"/>
  <c r="W1641" i="1"/>
  <c r="V1641" i="1"/>
  <c r="U1641" i="1"/>
  <c r="R1641" i="1"/>
  <c r="P1641" i="1"/>
  <c r="K1641" i="1"/>
  <c r="Z1640" i="1"/>
  <c r="W1640" i="1"/>
  <c r="V1640" i="1"/>
  <c r="U1640" i="1"/>
  <c r="R1640" i="1"/>
  <c r="P1640" i="1"/>
  <c r="K1640" i="1"/>
  <c r="Z1639" i="1"/>
  <c r="W1639" i="1"/>
  <c r="V1639" i="1"/>
  <c r="U1639" i="1"/>
  <c r="R1639" i="1"/>
  <c r="P1639" i="1"/>
  <c r="K1639" i="1"/>
  <c r="Z1638" i="1"/>
  <c r="W1638" i="1"/>
  <c r="V1638" i="1"/>
  <c r="U1638" i="1"/>
  <c r="R1638" i="1"/>
  <c r="P1638" i="1"/>
  <c r="K1638" i="1"/>
  <c r="Z1637" i="1"/>
  <c r="W1637" i="1"/>
  <c r="V1637" i="1"/>
  <c r="U1637" i="1"/>
  <c r="R1637" i="1"/>
  <c r="P1637" i="1"/>
  <c r="K1637" i="1"/>
  <c r="Z1636" i="1"/>
  <c r="W1636" i="1"/>
  <c r="V1636" i="1"/>
  <c r="U1636" i="1"/>
  <c r="R1636" i="1"/>
  <c r="P1636" i="1"/>
  <c r="K1636" i="1"/>
  <c r="Z1635" i="1"/>
  <c r="W1635" i="1"/>
  <c r="V1635" i="1"/>
  <c r="U1635" i="1"/>
  <c r="R1635" i="1"/>
  <c r="P1635" i="1"/>
  <c r="K1635" i="1"/>
  <c r="Z1634" i="1"/>
  <c r="W1634" i="1"/>
  <c r="V1634" i="1"/>
  <c r="U1634" i="1"/>
  <c r="R1634" i="1"/>
  <c r="P1634" i="1"/>
  <c r="K1634" i="1"/>
  <c r="Z1633" i="1"/>
  <c r="W1633" i="1"/>
  <c r="V1633" i="1"/>
  <c r="U1633" i="1"/>
  <c r="R1633" i="1"/>
  <c r="P1633" i="1"/>
  <c r="K1633" i="1"/>
  <c r="Z1632" i="1"/>
  <c r="W1632" i="1"/>
  <c r="V1632" i="1"/>
  <c r="U1632" i="1"/>
  <c r="R1632" i="1"/>
  <c r="P1632" i="1"/>
  <c r="K1632" i="1"/>
  <c r="Z1631" i="1"/>
  <c r="W1631" i="1"/>
  <c r="V1631" i="1"/>
  <c r="U1631" i="1"/>
  <c r="R1631" i="1"/>
  <c r="P1631" i="1"/>
  <c r="K1631" i="1"/>
  <c r="Z1630" i="1"/>
  <c r="W1630" i="1"/>
  <c r="V1630" i="1"/>
  <c r="U1630" i="1"/>
  <c r="R1630" i="1"/>
  <c r="P1630" i="1"/>
  <c r="K1630" i="1"/>
  <c r="Z1629" i="1"/>
  <c r="W1629" i="1"/>
  <c r="V1629" i="1"/>
  <c r="U1629" i="1"/>
  <c r="R1629" i="1"/>
  <c r="P1629" i="1"/>
  <c r="K1629" i="1"/>
  <c r="Z1628" i="1"/>
  <c r="W1628" i="1"/>
  <c r="V1628" i="1"/>
  <c r="U1628" i="1"/>
  <c r="R1628" i="1"/>
  <c r="P1628" i="1"/>
  <c r="K1628" i="1"/>
  <c r="Z1627" i="1"/>
  <c r="W1627" i="1"/>
  <c r="V1627" i="1"/>
  <c r="U1627" i="1"/>
  <c r="R1627" i="1"/>
  <c r="P1627" i="1"/>
  <c r="K1627" i="1"/>
  <c r="Z1626" i="1"/>
  <c r="W1626" i="1"/>
  <c r="V1626" i="1"/>
  <c r="U1626" i="1"/>
  <c r="R1626" i="1"/>
  <c r="P1626" i="1"/>
  <c r="K1626" i="1"/>
  <c r="Z1625" i="1"/>
  <c r="W1625" i="1"/>
  <c r="V1625" i="1"/>
  <c r="U1625" i="1"/>
  <c r="R1625" i="1"/>
  <c r="P1625" i="1"/>
  <c r="K1625" i="1"/>
  <c r="Z1624" i="1"/>
  <c r="W1624" i="1"/>
  <c r="V1624" i="1"/>
  <c r="U1624" i="1"/>
  <c r="R1624" i="1"/>
  <c r="P1624" i="1"/>
  <c r="K1624" i="1"/>
  <c r="Z1623" i="1"/>
  <c r="W1623" i="1"/>
  <c r="V1623" i="1"/>
  <c r="U1623" i="1"/>
  <c r="R1623" i="1"/>
  <c r="P1623" i="1"/>
  <c r="K1623" i="1"/>
  <c r="Z1622" i="1"/>
  <c r="W1622" i="1"/>
  <c r="V1622" i="1"/>
  <c r="U1622" i="1"/>
  <c r="R1622" i="1"/>
  <c r="P1622" i="1"/>
  <c r="K1622" i="1"/>
  <c r="Z1621" i="1"/>
  <c r="W1621" i="1"/>
  <c r="V1621" i="1"/>
  <c r="U1621" i="1"/>
  <c r="R1621" i="1"/>
  <c r="P1621" i="1"/>
  <c r="K1621" i="1"/>
  <c r="Z1620" i="1"/>
  <c r="W1620" i="1"/>
  <c r="V1620" i="1"/>
  <c r="U1620" i="1"/>
  <c r="R1620" i="1"/>
  <c r="P1620" i="1"/>
  <c r="K1620" i="1"/>
  <c r="Z1619" i="1"/>
  <c r="W1619" i="1"/>
  <c r="V1619" i="1"/>
  <c r="U1619" i="1"/>
  <c r="R1619" i="1"/>
  <c r="P1619" i="1"/>
  <c r="K1619" i="1"/>
  <c r="Z1618" i="1"/>
  <c r="W1618" i="1"/>
  <c r="V1618" i="1"/>
  <c r="U1618" i="1"/>
  <c r="R1618" i="1"/>
  <c r="P1618" i="1"/>
  <c r="K1618" i="1"/>
  <c r="Z1617" i="1"/>
  <c r="W1617" i="1"/>
  <c r="V1617" i="1"/>
  <c r="U1617" i="1"/>
  <c r="R1617" i="1"/>
  <c r="P1617" i="1"/>
  <c r="K1617" i="1"/>
  <c r="Z1616" i="1"/>
  <c r="W1616" i="1"/>
  <c r="V1616" i="1"/>
  <c r="U1616" i="1"/>
  <c r="R1616" i="1"/>
  <c r="P1616" i="1"/>
  <c r="K1616" i="1"/>
  <c r="Z1615" i="1"/>
  <c r="W1615" i="1"/>
  <c r="V1615" i="1"/>
  <c r="U1615" i="1"/>
  <c r="R1615" i="1"/>
  <c r="P1615" i="1"/>
  <c r="K1615" i="1"/>
  <c r="Z1614" i="1"/>
  <c r="W1614" i="1"/>
  <c r="V1614" i="1"/>
  <c r="U1614" i="1"/>
  <c r="R1614" i="1"/>
  <c r="P1614" i="1"/>
  <c r="K1614" i="1"/>
  <c r="Z1613" i="1"/>
  <c r="W1613" i="1"/>
  <c r="V1613" i="1"/>
  <c r="U1613" i="1"/>
  <c r="R1613" i="1"/>
  <c r="P1613" i="1"/>
  <c r="K1613" i="1"/>
  <c r="Z1612" i="1"/>
  <c r="W1612" i="1"/>
  <c r="V1612" i="1"/>
  <c r="U1612" i="1"/>
  <c r="R1612" i="1"/>
  <c r="P1612" i="1"/>
  <c r="K1612" i="1"/>
  <c r="Z1611" i="1"/>
  <c r="W1611" i="1"/>
  <c r="V1611" i="1"/>
  <c r="U1611" i="1"/>
  <c r="R1611" i="1"/>
  <c r="P1611" i="1"/>
  <c r="K1611" i="1"/>
  <c r="Z1610" i="1"/>
  <c r="W1610" i="1"/>
  <c r="V1610" i="1"/>
  <c r="U1610" i="1"/>
  <c r="R1610" i="1"/>
  <c r="P1610" i="1"/>
  <c r="K1610" i="1"/>
  <c r="Z1609" i="1"/>
  <c r="W1609" i="1"/>
  <c r="V1609" i="1"/>
  <c r="U1609" i="1"/>
  <c r="R1609" i="1"/>
  <c r="P1609" i="1"/>
  <c r="K1609" i="1"/>
  <c r="Z1608" i="1"/>
  <c r="W1608" i="1"/>
  <c r="V1608" i="1"/>
  <c r="U1608" i="1"/>
  <c r="R1608" i="1"/>
  <c r="P1608" i="1"/>
  <c r="K1608" i="1"/>
  <c r="Z1607" i="1"/>
  <c r="W1607" i="1"/>
  <c r="V1607" i="1"/>
  <c r="U1607" i="1"/>
  <c r="R1607" i="1"/>
  <c r="P1607" i="1"/>
  <c r="K1607" i="1"/>
  <c r="Z1606" i="1"/>
  <c r="W1606" i="1"/>
  <c r="V1606" i="1"/>
  <c r="U1606" i="1"/>
  <c r="R1606" i="1"/>
  <c r="P1606" i="1"/>
  <c r="K1606" i="1"/>
  <c r="Z1605" i="1"/>
  <c r="W1605" i="1"/>
  <c r="V1605" i="1"/>
  <c r="U1605" i="1"/>
  <c r="R1605" i="1"/>
  <c r="P1605" i="1"/>
  <c r="K1605" i="1"/>
  <c r="Z1604" i="1"/>
  <c r="W1604" i="1"/>
  <c r="V1604" i="1"/>
  <c r="U1604" i="1"/>
  <c r="R1604" i="1"/>
  <c r="P1604" i="1"/>
  <c r="K1604" i="1"/>
  <c r="Z1603" i="1"/>
  <c r="W1603" i="1"/>
  <c r="V1603" i="1"/>
  <c r="U1603" i="1"/>
  <c r="R1603" i="1"/>
  <c r="P1603" i="1"/>
  <c r="K1603" i="1"/>
  <c r="Z1602" i="1"/>
  <c r="W1602" i="1"/>
  <c r="V1602" i="1"/>
  <c r="U1602" i="1"/>
  <c r="R1602" i="1"/>
  <c r="P1602" i="1"/>
  <c r="K1602" i="1"/>
  <c r="Z1601" i="1"/>
  <c r="W1601" i="1"/>
  <c r="V1601" i="1"/>
  <c r="U1601" i="1"/>
  <c r="R1601" i="1"/>
  <c r="P1601" i="1"/>
  <c r="K1601" i="1"/>
  <c r="Z1600" i="1"/>
  <c r="W1600" i="1"/>
  <c r="V1600" i="1"/>
  <c r="U1600" i="1"/>
  <c r="R1600" i="1"/>
  <c r="P1600" i="1"/>
  <c r="K1600" i="1"/>
  <c r="Z1599" i="1"/>
  <c r="W1599" i="1"/>
  <c r="V1599" i="1"/>
  <c r="U1599" i="1"/>
  <c r="R1599" i="1"/>
  <c r="P1599" i="1"/>
  <c r="K1599" i="1"/>
  <c r="Z1598" i="1"/>
  <c r="W1598" i="1"/>
  <c r="V1598" i="1"/>
  <c r="U1598" i="1"/>
  <c r="R1598" i="1"/>
  <c r="P1598" i="1"/>
  <c r="K1598" i="1"/>
  <c r="Z1597" i="1"/>
  <c r="W1597" i="1"/>
  <c r="V1597" i="1"/>
  <c r="U1597" i="1"/>
  <c r="R1597" i="1"/>
  <c r="P1597" i="1"/>
  <c r="K1597" i="1"/>
  <c r="Z1596" i="1"/>
  <c r="W1596" i="1"/>
  <c r="V1596" i="1"/>
  <c r="U1596" i="1"/>
  <c r="R1596" i="1"/>
  <c r="P1596" i="1"/>
  <c r="K1596" i="1"/>
  <c r="Z1595" i="1"/>
  <c r="W1595" i="1"/>
  <c r="V1595" i="1"/>
  <c r="U1595" i="1"/>
  <c r="R1595" i="1"/>
  <c r="P1595" i="1"/>
  <c r="K1595" i="1"/>
  <c r="Z1594" i="1"/>
  <c r="W1594" i="1"/>
  <c r="V1594" i="1"/>
  <c r="U1594" i="1"/>
  <c r="R1594" i="1"/>
  <c r="P1594" i="1"/>
  <c r="K1594" i="1"/>
  <c r="Z1593" i="1"/>
  <c r="W1593" i="1"/>
  <c r="V1593" i="1"/>
  <c r="U1593" i="1"/>
  <c r="R1593" i="1"/>
  <c r="P1593" i="1"/>
  <c r="K1593" i="1"/>
  <c r="Z1592" i="1"/>
  <c r="W1592" i="1"/>
  <c r="V1592" i="1"/>
  <c r="U1592" i="1"/>
  <c r="R1592" i="1"/>
  <c r="P1592" i="1"/>
  <c r="K1592" i="1"/>
  <c r="Z1591" i="1"/>
  <c r="W1591" i="1"/>
  <c r="V1591" i="1"/>
  <c r="U1591" i="1"/>
  <c r="R1591" i="1"/>
  <c r="P1591" i="1"/>
  <c r="K1591" i="1"/>
  <c r="Z1590" i="1"/>
  <c r="W1590" i="1"/>
  <c r="V1590" i="1"/>
  <c r="U1590" i="1"/>
  <c r="R1590" i="1"/>
  <c r="P1590" i="1"/>
  <c r="K1590" i="1"/>
  <c r="Z1589" i="1"/>
  <c r="W1589" i="1"/>
  <c r="V1589" i="1"/>
  <c r="U1589" i="1"/>
  <c r="R1589" i="1"/>
  <c r="P1589" i="1"/>
  <c r="K1589" i="1"/>
  <c r="Z1588" i="1"/>
  <c r="W1588" i="1"/>
  <c r="V1588" i="1"/>
  <c r="U1588" i="1"/>
  <c r="R1588" i="1"/>
  <c r="P1588" i="1"/>
  <c r="K1588" i="1"/>
  <c r="Z1587" i="1"/>
  <c r="W1587" i="1"/>
  <c r="V1587" i="1"/>
  <c r="U1587" i="1"/>
  <c r="R1587" i="1"/>
  <c r="P1587" i="1"/>
  <c r="K1587" i="1"/>
  <c r="Z1586" i="1"/>
  <c r="W1586" i="1"/>
  <c r="V1586" i="1"/>
  <c r="U1586" i="1"/>
  <c r="R1586" i="1"/>
  <c r="P1586" i="1"/>
  <c r="K1586" i="1"/>
  <c r="Z1585" i="1"/>
  <c r="W1585" i="1"/>
  <c r="V1585" i="1"/>
  <c r="U1585" i="1"/>
  <c r="R1585" i="1"/>
  <c r="P1585" i="1"/>
  <c r="K1585" i="1"/>
  <c r="Z1584" i="1"/>
  <c r="W1584" i="1"/>
  <c r="V1584" i="1"/>
  <c r="U1584" i="1"/>
  <c r="R1584" i="1"/>
  <c r="P1584" i="1"/>
  <c r="K1584" i="1"/>
  <c r="Z1583" i="1"/>
  <c r="W1583" i="1"/>
  <c r="V1583" i="1"/>
  <c r="U1583" i="1"/>
  <c r="R1583" i="1"/>
  <c r="P1583" i="1"/>
  <c r="K1583" i="1"/>
  <c r="Z1582" i="1"/>
  <c r="W1582" i="1"/>
  <c r="V1582" i="1"/>
  <c r="U1582" i="1"/>
  <c r="R1582" i="1"/>
  <c r="P1582" i="1"/>
  <c r="K1582" i="1"/>
  <c r="Z1581" i="1"/>
  <c r="W1581" i="1"/>
  <c r="V1581" i="1"/>
  <c r="U1581" i="1"/>
  <c r="R1581" i="1"/>
  <c r="P1581" i="1"/>
  <c r="K1581" i="1"/>
  <c r="Z1580" i="1"/>
  <c r="W1580" i="1"/>
  <c r="V1580" i="1"/>
  <c r="U1580" i="1"/>
  <c r="R1580" i="1"/>
  <c r="P1580" i="1"/>
  <c r="K1580" i="1"/>
  <c r="Z1579" i="1"/>
  <c r="W1579" i="1"/>
  <c r="V1579" i="1"/>
  <c r="U1579" i="1"/>
  <c r="R1579" i="1"/>
  <c r="P1579" i="1"/>
  <c r="K1579" i="1"/>
  <c r="Z1578" i="1"/>
  <c r="W1578" i="1"/>
  <c r="V1578" i="1"/>
  <c r="U1578" i="1"/>
  <c r="R1578" i="1"/>
  <c r="P1578" i="1"/>
  <c r="K1578" i="1"/>
  <c r="Z1577" i="1"/>
  <c r="W1577" i="1"/>
  <c r="V1577" i="1"/>
  <c r="U1577" i="1"/>
  <c r="R1577" i="1"/>
  <c r="P1577" i="1"/>
  <c r="K1577" i="1"/>
  <c r="Z1576" i="1"/>
  <c r="W1576" i="1"/>
  <c r="V1576" i="1"/>
  <c r="U1576" i="1"/>
  <c r="R1576" i="1"/>
  <c r="P1576" i="1"/>
  <c r="K1576" i="1"/>
  <c r="Z1575" i="1"/>
  <c r="W1575" i="1"/>
  <c r="V1575" i="1"/>
  <c r="U1575" i="1"/>
  <c r="R1575" i="1"/>
  <c r="P1575" i="1"/>
  <c r="K1575" i="1"/>
  <c r="Z1574" i="1"/>
  <c r="W1574" i="1"/>
  <c r="V1574" i="1"/>
  <c r="U1574" i="1"/>
  <c r="R1574" i="1"/>
  <c r="P1574" i="1"/>
  <c r="K1574" i="1"/>
  <c r="Z1573" i="1"/>
  <c r="W1573" i="1"/>
  <c r="V1573" i="1"/>
  <c r="U1573" i="1"/>
  <c r="R1573" i="1"/>
  <c r="P1573" i="1"/>
  <c r="K1573" i="1"/>
  <c r="Z1572" i="1"/>
  <c r="W1572" i="1"/>
  <c r="V1572" i="1"/>
  <c r="U1572" i="1"/>
  <c r="R1572" i="1"/>
  <c r="P1572" i="1"/>
  <c r="K1572" i="1"/>
  <c r="Z1571" i="1"/>
  <c r="W1571" i="1"/>
  <c r="V1571" i="1"/>
  <c r="U1571" i="1"/>
  <c r="R1571" i="1"/>
  <c r="P1571" i="1"/>
  <c r="K1571" i="1"/>
  <c r="Z1570" i="1"/>
  <c r="W1570" i="1"/>
  <c r="V1570" i="1"/>
  <c r="U1570" i="1"/>
  <c r="R1570" i="1"/>
  <c r="P1570" i="1"/>
  <c r="K1570" i="1"/>
  <c r="Z1569" i="1"/>
  <c r="W1569" i="1"/>
  <c r="V1569" i="1"/>
  <c r="U1569" i="1"/>
  <c r="R1569" i="1"/>
  <c r="P1569" i="1"/>
  <c r="K1569" i="1"/>
  <c r="Z1568" i="1"/>
  <c r="W1568" i="1"/>
  <c r="V1568" i="1"/>
  <c r="U1568" i="1"/>
  <c r="R1568" i="1"/>
  <c r="P1568" i="1"/>
  <c r="K1568" i="1"/>
  <c r="Z1567" i="1"/>
  <c r="W1567" i="1"/>
  <c r="V1567" i="1"/>
  <c r="U1567" i="1"/>
  <c r="R1567" i="1"/>
  <c r="P1567" i="1"/>
  <c r="K1567" i="1"/>
  <c r="Z1566" i="1"/>
  <c r="W1566" i="1"/>
  <c r="V1566" i="1"/>
  <c r="U1566" i="1"/>
  <c r="R1566" i="1"/>
  <c r="P1566" i="1"/>
  <c r="K1566" i="1"/>
  <c r="Z1565" i="1"/>
  <c r="W1565" i="1"/>
  <c r="V1565" i="1"/>
  <c r="U1565" i="1"/>
  <c r="R1565" i="1"/>
  <c r="P1565" i="1"/>
  <c r="K1565" i="1"/>
  <c r="Z1564" i="1"/>
  <c r="W1564" i="1"/>
  <c r="V1564" i="1"/>
  <c r="U1564" i="1"/>
  <c r="R1564" i="1"/>
  <c r="P1564" i="1"/>
  <c r="K1564" i="1"/>
  <c r="Z1563" i="1"/>
  <c r="W1563" i="1"/>
  <c r="V1563" i="1"/>
  <c r="U1563" i="1"/>
  <c r="R1563" i="1"/>
  <c r="P1563" i="1"/>
  <c r="K1563" i="1"/>
  <c r="Z1562" i="1"/>
  <c r="W1562" i="1"/>
  <c r="V1562" i="1"/>
  <c r="U1562" i="1"/>
  <c r="R1562" i="1"/>
  <c r="P1562" i="1"/>
  <c r="K1562" i="1"/>
  <c r="Z1561" i="1"/>
  <c r="W1561" i="1"/>
  <c r="V1561" i="1"/>
  <c r="U1561" i="1"/>
  <c r="R1561" i="1"/>
  <c r="P1561" i="1"/>
  <c r="K1561" i="1"/>
  <c r="Z1560" i="1"/>
  <c r="W1560" i="1"/>
  <c r="V1560" i="1"/>
  <c r="U1560" i="1"/>
  <c r="R1560" i="1"/>
  <c r="P1560" i="1"/>
  <c r="K1560" i="1"/>
  <c r="Z1559" i="1"/>
  <c r="W1559" i="1"/>
  <c r="V1559" i="1"/>
  <c r="U1559" i="1"/>
  <c r="R1559" i="1"/>
  <c r="P1559" i="1"/>
  <c r="K1559" i="1"/>
  <c r="Z1558" i="1"/>
  <c r="W1558" i="1"/>
  <c r="V1558" i="1"/>
  <c r="U1558" i="1"/>
  <c r="R1558" i="1"/>
  <c r="P1558" i="1"/>
  <c r="K1558" i="1"/>
  <c r="Z1557" i="1"/>
  <c r="W1557" i="1"/>
  <c r="V1557" i="1"/>
  <c r="U1557" i="1"/>
  <c r="R1557" i="1"/>
  <c r="P1557" i="1"/>
  <c r="K1557" i="1"/>
  <c r="Z1556" i="1"/>
  <c r="W1556" i="1"/>
  <c r="V1556" i="1"/>
  <c r="U1556" i="1"/>
  <c r="R1556" i="1"/>
  <c r="P1556" i="1"/>
  <c r="K1556" i="1"/>
  <c r="Z1555" i="1"/>
  <c r="W1555" i="1"/>
  <c r="V1555" i="1"/>
  <c r="U1555" i="1"/>
  <c r="R1555" i="1"/>
  <c r="P1555" i="1"/>
  <c r="K1555" i="1"/>
  <c r="Z1554" i="1"/>
  <c r="W1554" i="1"/>
  <c r="V1554" i="1"/>
  <c r="U1554" i="1"/>
  <c r="R1554" i="1"/>
  <c r="P1554" i="1"/>
  <c r="K1554" i="1"/>
  <c r="Z1553" i="1"/>
  <c r="W1553" i="1"/>
  <c r="V1553" i="1"/>
  <c r="U1553" i="1"/>
  <c r="R1553" i="1"/>
  <c r="P1553" i="1"/>
  <c r="K1553" i="1"/>
  <c r="Z1552" i="1"/>
  <c r="W1552" i="1"/>
  <c r="V1552" i="1"/>
  <c r="U1552" i="1"/>
  <c r="R1552" i="1"/>
  <c r="P1552" i="1"/>
  <c r="K1552" i="1"/>
  <c r="Z1551" i="1"/>
  <c r="W1551" i="1"/>
  <c r="V1551" i="1"/>
  <c r="U1551" i="1"/>
  <c r="R1551" i="1"/>
  <c r="P1551" i="1"/>
  <c r="K1551" i="1"/>
  <c r="Z1550" i="1"/>
  <c r="W1550" i="1"/>
  <c r="V1550" i="1"/>
  <c r="U1550" i="1"/>
  <c r="R1550" i="1"/>
  <c r="P1550" i="1"/>
  <c r="K1550" i="1"/>
  <c r="Z1549" i="1"/>
  <c r="W1549" i="1"/>
  <c r="V1549" i="1"/>
  <c r="U1549" i="1"/>
  <c r="R1549" i="1"/>
  <c r="P1549" i="1"/>
  <c r="K1549" i="1"/>
  <c r="Z1548" i="1"/>
  <c r="W1548" i="1"/>
  <c r="V1548" i="1"/>
  <c r="U1548" i="1"/>
  <c r="R1548" i="1"/>
  <c r="P1548" i="1"/>
  <c r="K1548" i="1"/>
  <c r="Z1547" i="1"/>
  <c r="W1547" i="1"/>
  <c r="V1547" i="1"/>
  <c r="U1547" i="1"/>
  <c r="R1547" i="1"/>
  <c r="P1547" i="1"/>
  <c r="K1547" i="1"/>
  <c r="Z1546" i="1"/>
  <c r="W1546" i="1"/>
  <c r="V1546" i="1"/>
  <c r="U1546" i="1"/>
  <c r="R1546" i="1"/>
  <c r="P1546" i="1"/>
  <c r="K1546" i="1"/>
  <c r="Z1545" i="1"/>
  <c r="W1545" i="1"/>
  <c r="V1545" i="1"/>
  <c r="U1545" i="1"/>
  <c r="R1545" i="1"/>
  <c r="P1545" i="1"/>
  <c r="K1545" i="1"/>
  <c r="Z1544" i="1"/>
  <c r="W1544" i="1"/>
  <c r="V1544" i="1"/>
  <c r="U1544" i="1"/>
  <c r="R1544" i="1"/>
  <c r="P1544" i="1"/>
  <c r="K1544" i="1"/>
  <c r="Z1543" i="1"/>
  <c r="W1543" i="1"/>
  <c r="V1543" i="1"/>
  <c r="U1543" i="1"/>
  <c r="R1543" i="1"/>
  <c r="P1543" i="1"/>
  <c r="K1543" i="1"/>
  <c r="Z1542" i="1"/>
  <c r="W1542" i="1"/>
  <c r="V1542" i="1"/>
  <c r="U1542" i="1"/>
  <c r="R1542" i="1"/>
  <c r="P1542" i="1"/>
  <c r="K1542" i="1"/>
  <c r="Z1541" i="1"/>
  <c r="W1541" i="1"/>
  <c r="V1541" i="1"/>
  <c r="U1541" i="1"/>
  <c r="R1541" i="1"/>
  <c r="P1541" i="1"/>
  <c r="K1541" i="1"/>
  <c r="Z1540" i="1"/>
  <c r="W1540" i="1"/>
  <c r="V1540" i="1"/>
  <c r="U1540" i="1"/>
  <c r="R1540" i="1"/>
  <c r="P1540" i="1"/>
  <c r="K1540" i="1"/>
  <c r="Z1539" i="1"/>
  <c r="W1539" i="1"/>
  <c r="V1539" i="1"/>
  <c r="U1539" i="1"/>
  <c r="R1539" i="1"/>
  <c r="P1539" i="1"/>
  <c r="K1539" i="1"/>
  <c r="Z1538" i="1"/>
  <c r="W1538" i="1"/>
  <c r="V1538" i="1"/>
  <c r="U1538" i="1"/>
  <c r="R1538" i="1"/>
  <c r="P1538" i="1"/>
  <c r="K1538" i="1"/>
  <c r="Z1537" i="1"/>
  <c r="W1537" i="1"/>
  <c r="V1537" i="1"/>
  <c r="U1537" i="1"/>
  <c r="R1537" i="1"/>
  <c r="P1537" i="1"/>
  <c r="K1537" i="1"/>
  <c r="Z1536" i="1"/>
  <c r="W1536" i="1"/>
  <c r="V1536" i="1"/>
  <c r="U1536" i="1"/>
  <c r="R1536" i="1"/>
  <c r="P1536" i="1"/>
  <c r="K1536" i="1"/>
  <c r="Z1535" i="1"/>
  <c r="W1535" i="1"/>
  <c r="V1535" i="1"/>
  <c r="U1535" i="1"/>
  <c r="R1535" i="1"/>
  <c r="P1535" i="1"/>
  <c r="K1535" i="1"/>
  <c r="Z1534" i="1"/>
  <c r="W1534" i="1"/>
  <c r="V1534" i="1"/>
  <c r="U1534" i="1"/>
  <c r="R1534" i="1"/>
  <c r="P1534" i="1"/>
  <c r="K1534" i="1"/>
  <c r="Z1533" i="1"/>
  <c r="W1533" i="1"/>
  <c r="V1533" i="1"/>
  <c r="U1533" i="1"/>
  <c r="R1533" i="1"/>
  <c r="P1533" i="1"/>
  <c r="K1533" i="1"/>
  <c r="Z1532" i="1"/>
  <c r="W1532" i="1"/>
  <c r="V1532" i="1"/>
  <c r="U1532" i="1"/>
  <c r="R1532" i="1"/>
  <c r="P1532" i="1"/>
  <c r="K1532" i="1"/>
  <c r="Z1531" i="1"/>
  <c r="W1531" i="1"/>
  <c r="V1531" i="1"/>
  <c r="U1531" i="1"/>
  <c r="R1531" i="1"/>
  <c r="P1531" i="1"/>
  <c r="K1531" i="1"/>
  <c r="Z1530" i="1"/>
  <c r="W1530" i="1"/>
  <c r="V1530" i="1"/>
  <c r="U1530" i="1"/>
  <c r="R1530" i="1"/>
  <c r="P1530" i="1"/>
  <c r="K1530" i="1"/>
  <c r="Z1529" i="1"/>
  <c r="W1529" i="1"/>
  <c r="V1529" i="1"/>
  <c r="U1529" i="1"/>
  <c r="R1529" i="1"/>
  <c r="P1529" i="1"/>
  <c r="K1529" i="1"/>
  <c r="Z1528" i="1"/>
  <c r="W1528" i="1"/>
  <c r="V1528" i="1"/>
  <c r="U1528" i="1"/>
  <c r="R1528" i="1"/>
  <c r="P1528" i="1"/>
  <c r="K1528" i="1"/>
  <c r="Z1527" i="1"/>
  <c r="W1527" i="1"/>
  <c r="V1527" i="1"/>
  <c r="U1527" i="1"/>
  <c r="R1527" i="1"/>
  <c r="P1527" i="1"/>
  <c r="K1527" i="1"/>
  <c r="Z1526" i="1"/>
  <c r="W1526" i="1"/>
  <c r="V1526" i="1"/>
  <c r="U1526" i="1"/>
  <c r="R1526" i="1"/>
  <c r="P1526" i="1"/>
  <c r="K1526" i="1"/>
  <c r="Z1525" i="1"/>
  <c r="W1525" i="1"/>
  <c r="V1525" i="1"/>
  <c r="U1525" i="1"/>
  <c r="R1525" i="1"/>
  <c r="P1525" i="1"/>
  <c r="K1525" i="1"/>
  <c r="Z1524" i="1"/>
  <c r="W1524" i="1"/>
  <c r="V1524" i="1"/>
  <c r="U1524" i="1"/>
  <c r="R1524" i="1"/>
  <c r="P1524" i="1"/>
  <c r="K1524" i="1"/>
  <c r="Z1523" i="1"/>
  <c r="W1523" i="1"/>
  <c r="V1523" i="1"/>
  <c r="U1523" i="1"/>
  <c r="R1523" i="1"/>
  <c r="P1523" i="1"/>
  <c r="K1523" i="1"/>
  <c r="Z1522" i="1"/>
  <c r="W1522" i="1"/>
  <c r="V1522" i="1"/>
  <c r="U1522" i="1"/>
  <c r="R1522" i="1"/>
  <c r="P1522" i="1"/>
  <c r="K1522" i="1"/>
  <c r="Z1521" i="1"/>
  <c r="W1521" i="1"/>
  <c r="V1521" i="1"/>
  <c r="U1521" i="1"/>
  <c r="R1521" i="1"/>
  <c r="P1521" i="1"/>
  <c r="K1521" i="1"/>
  <c r="Z1520" i="1"/>
  <c r="W1520" i="1"/>
  <c r="V1520" i="1"/>
  <c r="U1520" i="1"/>
  <c r="R1520" i="1"/>
  <c r="P1520" i="1"/>
  <c r="K1520" i="1"/>
  <c r="Z1519" i="1"/>
  <c r="W1519" i="1"/>
  <c r="V1519" i="1"/>
  <c r="U1519" i="1"/>
  <c r="R1519" i="1"/>
  <c r="P1519" i="1"/>
  <c r="K1519" i="1"/>
  <c r="Z1518" i="1"/>
  <c r="W1518" i="1"/>
  <c r="V1518" i="1"/>
  <c r="U1518" i="1"/>
  <c r="R1518" i="1"/>
  <c r="P1518" i="1"/>
  <c r="K1518" i="1"/>
  <c r="Z1517" i="1"/>
  <c r="W1517" i="1"/>
  <c r="V1517" i="1"/>
  <c r="U1517" i="1"/>
  <c r="R1517" i="1"/>
  <c r="P1517" i="1"/>
  <c r="K1517" i="1"/>
  <c r="Z1516" i="1"/>
  <c r="W1516" i="1"/>
  <c r="V1516" i="1"/>
  <c r="U1516" i="1"/>
  <c r="R1516" i="1"/>
  <c r="P1516" i="1"/>
  <c r="K1516" i="1"/>
  <c r="Z1515" i="1"/>
  <c r="W1515" i="1"/>
  <c r="V1515" i="1"/>
  <c r="U1515" i="1"/>
  <c r="R1515" i="1"/>
  <c r="P1515" i="1"/>
  <c r="K1515" i="1"/>
  <c r="Z1514" i="1"/>
  <c r="W1514" i="1"/>
  <c r="V1514" i="1"/>
  <c r="U1514" i="1"/>
  <c r="R1514" i="1"/>
  <c r="P1514" i="1"/>
  <c r="K1514" i="1"/>
  <c r="Z1513" i="1"/>
  <c r="W1513" i="1"/>
  <c r="V1513" i="1"/>
  <c r="U1513" i="1"/>
  <c r="R1513" i="1"/>
  <c r="P1513" i="1"/>
  <c r="K1513" i="1"/>
  <c r="Z1512" i="1"/>
  <c r="W1512" i="1"/>
  <c r="V1512" i="1"/>
  <c r="U1512" i="1"/>
  <c r="R1512" i="1"/>
  <c r="P1512" i="1"/>
  <c r="K1512" i="1"/>
  <c r="Z1511" i="1"/>
  <c r="W1511" i="1"/>
  <c r="V1511" i="1"/>
  <c r="U1511" i="1"/>
  <c r="R1511" i="1"/>
  <c r="P1511" i="1"/>
  <c r="K1511" i="1"/>
  <c r="Z1510" i="1"/>
  <c r="W1510" i="1"/>
  <c r="V1510" i="1"/>
  <c r="U1510" i="1"/>
  <c r="R1510" i="1"/>
  <c r="P1510" i="1"/>
  <c r="K1510" i="1"/>
  <c r="Z1509" i="1"/>
  <c r="W1509" i="1"/>
  <c r="V1509" i="1"/>
  <c r="U1509" i="1"/>
  <c r="R1509" i="1"/>
  <c r="P1509" i="1"/>
  <c r="K1509" i="1"/>
  <c r="Z1508" i="1"/>
  <c r="W1508" i="1"/>
  <c r="V1508" i="1"/>
  <c r="U1508" i="1"/>
  <c r="R1508" i="1"/>
  <c r="P1508" i="1"/>
  <c r="K1508" i="1"/>
  <c r="Z1507" i="1"/>
  <c r="W1507" i="1"/>
  <c r="V1507" i="1"/>
  <c r="U1507" i="1"/>
  <c r="R1507" i="1"/>
  <c r="P1507" i="1"/>
  <c r="K1507" i="1"/>
  <c r="Z1506" i="1"/>
  <c r="W1506" i="1"/>
  <c r="V1506" i="1"/>
  <c r="U1506" i="1"/>
  <c r="R1506" i="1"/>
  <c r="P1506" i="1"/>
  <c r="K1506" i="1"/>
  <c r="Z1505" i="1"/>
  <c r="W1505" i="1"/>
  <c r="V1505" i="1"/>
  <c r="U1505" i="1"/>
  <c r="R1505" i="1"/>
  <c r="P1505" i="1"/>
  <c r="K1505" i="1"/>
  <c r="Z1504" i="1"/>
  <c r="W1504" i="1"/>
  <c r="V1504" i="1"/>
  <c r="U1504" i="1"/>
  <c r="R1504" i="1"/>
  <c r="P1504" i="1"/>
  <c r="K1504" i="1"/>
  <c r="Z1503" i="1"/>
  <c r="W1503" i="1"/>
  <c r="V1503" i="1"/>
  <c r="U1503" i="1"/>
  <c r="R1503" i="1"/>
  <c r="P1503" i="1"/>
  <c r="K1503" i="1"/>
  <c r="Z1502" i="1"/>
  <c r="W1502" i="1"/>
  <c r="V1502" i="1"/>
  <c r="U1502" i="1"/>
  <c r="R1502" i="1"/>
  <c r="P1502" i="1"/>
  <c r="K1502" i="1"/>
  <c r="Z1501" i="1"/>
  <c r="W1501" i="1"/>
  <c r="V1501" i="1"/>
  <c r="U1501" i="1"/>
  <c r="R1501" i="1"/>
  <c r="P1501" i="1"/>
  <c r="K1501" i="1"/>
  <c r="Z1500" i="1"/>
  <c r="W1500" i="1"/>
  <c r="V1500" i="1"/>
  <c r="U1500" i="1"/>
  <c r="R1500" i="1"/>
  <c r="P1500" i="1"/>
  <c r="K1500" i="1"/>
  <c r="Z1499" i="1"/>
  <c r="W1499" i="1"/>
  <c r="V1499" i="1"/>
  <c r="U1499" i="1"/>
  <c r="R1499" i="1"/>
  <c r="P1499" i="1"/>
  <c r="K1499" i="1"/>
  <c r="Z1498" i="1"/>
  <c r="W1498" i="1"/>
  <c r="V1498" i="1"/>
  <c r="U1498" i="1"/>
  <c r="R1498" i="1"/>
  <c r="P1498" i="1"/>
  <c r="K1498" i="1"/>
  <c r="Z1497" i="1"/>
  <c r="W1497" i="1"/>
  <c r="V1497" i="1"/>
  <c r="U1497" i="1"/>
  <c r="R1497" i="1"/>
  <c r="P1497" i="1"/>
  <c r="K1497" i="1"/>
  <c r="Z1496" i="1"/>
  <c r="W1496" i="1"/>
  <c r="V1496" i="1"/>
  <c r="U1496" i="1"/>
  <c r="R1496" i="1"/>
  <c r="P1496" i="1"/>
  <c r="K1496" i="1"/>
  <c r="Z1495" i="1"/>
  <c r="W1495" i="1"/>
  <c r="V1495" i="1"/>
  <c r="U1495" i="1"/>
  <c r="R1495" i="1"/>
  <c r="P1495" i="1"/>
  <c r="K1495" i="1"/>
  <c r="Z1494" i="1"/>
  <c r="W1494" i="1"/>
  <c r="V1494" i="1"/>
  <c r="U1494" i="1"/>
  <c r="R1494" i="1"/>
  <c r="P1494" i="1"/>
  <c r="K1494" i="1"/>
  <c r="Z1493" i="1"/>
  <c r="W1493" i="1"/>
  <c r="V1493" i="1"/>
  <c r="U1493" i="1"/>
  <c r="R1493" i="1"/>
  <c r="P1493" i="1"/>
  <c r="K1493" i="1"/>
  <c r="Z1492" i="1"/>
  <c r="W1492" i="1"/>
  <c r="V1492" i="1"/>
  <c r="U1492" i="1"/>
  <c r="R1492" i="1"/>
  <c r="P1492" i="1"/>
  <c r="K1492" i="1"/>
  <c r="Z1491" i="1"/>
  <c r="W1491" i="1"/>
  <c r="V1491" i="1"/>
  <c r="U1491" i="1"/>
  <c r="R1491" i="1"/>
  <c r="P1491" i="1"/>
  <c r="K1491" i="1"/>
  <c r="Z1490" i="1"/>
  <c r="W1490" i="1"/>
  <c r="V1490" i="1"/>
  <c r="U1490" i="1"/>
  <c r="R1490" i="1"/>
  <c r="P1490" i="1"/>
  <c r="K1490" i="1"/>
  <c r="Z1489" i="1"/>
  <c r="W1489" i="1"/>
  <c r="V1489" i="1"/>
  <c r="U1489" i="1"/>
  <c r="R1489" i="1"/>
  <c r="P1489" i="1"/>
  <c r="K1489" i="1"/>
  <c r="Z1488" i="1"/>
  <c r="W1488" i="1"/>
  <c r="V1488" i="1"/>
  <c r="U1488" i="1"/>
  <c r="R1488" i="1"/>
  <c r="P1488" i="1"/>
  <c r="K1488" i="1"/>
  <c r="Z1487" i="1"/>
  <c r="W1487" i="1"/>
  <c r="V1487" i="1"/>
  <c r="U1487" i="1"/>
  <c r="R1487" i="1"/>
  <c r="P1487" i="1"/>
  <c r="K1487" i="1"/>
  <c r="Z1486" i="1"/>
  <c r="W1486" i="1"/>
  <c r="V1486" i="1"/>
  <c r="U1486" i="1"/>
  <c r="R1486" i="1"/>
  <c r="P1486" i="1"/>
  <c r="K1486" i="1"/>
  <c r="Z1485" i="1"/>
  <c r="W1485" i="1"/>
  <c r="V1485" i="1"/>
  <c r="U1485" i="1"/>
  <c r="R1485" i="1"/>
  <c r="P1485" i="1"/>
  <c r="K1485" i="1"/>
  <c r="Z1484" i="1"/>
  <c r="W1484" i="1"/>
  <c r="V1484" i="1"/>
  <c r="U1484" i="1"/>
  <c r="R1484" i="1"/>
  <c r="P1484" i="1"/>
  <c r="K1484" i="1"/>
  <c r="Z1483" i="1"/>
  <c r="W1483" i="1"/>
  <c r="V1483" i="1"/>
  <c r="U1483" i="1"/>
  <c r="R1483" i="1"/>
  <c r="P1483" i="1"/>
  <c r="K1483" i="1"/>
  <c r="Z1482" i="1"/>
  <c r="W1482" i="1"/>
  <c r="V1482" i="1"/>
  <c r="U1482" i="1"/>
  <c r="R1482" i="1"/>
  <c r="P1482" i="1"/>
  <c r="K1482" i="1"/>
  <c r="Z1481" i="1"/>
  <c r="W1481" i="1"/>
  <c r="V1481" i="1"/>
  <c r="U1481" i="1"/>
  <c r="R1481" i="1"/>
  <c r="P1481" i="1"/>
  <c r="K1481" i="1"/>
  <c r="Z1480" i="1"/>
  <c r="W1480" i="1"/>
  <c r="V1480" i="1"/>
  <c r="U1480" i="1"/>
  <c r="R1480" i="1"/>
  <c r="P1480" i="1"/>
  <c r="K1480" i="1"/>
  <c r="Z1479" i="1"/>
  <c r="W1479" i="1"/>
  <c r="V1479" i="1"/>
  <c r="U1479" i="1"/>
  <c r="R1479" i="1"/>
  <c r="P1479" i="1"/>
  <c r="K1479" i="1"/>
  <c r="Z1478" i="1"/>
  <c r="W1478" i="1"/>
  <c r="V1478" i="1"/>
  <c r="U1478" i="1"/>
  <c r="R1478" i="1"/>
  <c r="P1478" i="1"/>
  <c r="K1478" i="1"/>
  <c r="Z1477" i="1"/>
  <c r="W1477" i="1"/>
  <c r="V1477" i="1"/>
  <c r="U1477" i="1"/>
  <c r="R1477" i="1"/>
  <c r="P1477" i="1"/>
  <c r="K1477" i="1"/>
  <c r="Z1476" i="1"/>
  <c r="W1476" i="1"/>
  <c r="V1476" i="1"/>
  <c r="U1476" i="1"/>
  <c r="R1476" i="1"/>
  <c r="P1476" i="1"/>
  <c r="K1476" i="1"/>
  <c r="Z1475" i="1"/>
  <c r="W1475" i="1"/>
  <c r="V1475" i="1"/>
  <c r="U1475" i="1"/>
  <c r="R1475" i="1"/>
  <c r="P1475" i="1"/>
  <c r="K1475" i="1"/>
  <c r="Z1474" i="1"/>
  <c r="W1474" i="1"/>
  <c r="V1474" i="1"/>
  <c r="U1474" i="1"/>
  <c r="R1474" i="1"/>
  <c r="P1474" i="1"/>
  <c r="K1474" i="1"/>
  <c r="Z1473" i="1"/>
  <c r="W1473" i="1"/>
  <c r="V1473" i="1"/>
  <c r="U1473" i="1"/>
  <c r="R1473" i="1"/>
  <c r="P1473" i="1"/>
  <c r="K1473" i="1"/>
  <c r="Z1472" i="1"/>
  <c r="W1472" i="1"/>
  <c r="V1472" i="1"/>
  <c r="U1472" i="1"/>
  <c r="R1472" i="1"/>
  <c r="P1472" i="1"/>
  <c r="K1472" i="1"/>
  <c r="Z1471" i="1"/>
  <c r="W1471" i="1"/>
  <c r="V1471" i="1"/>
  <c r="U1471" i="1"/>
  <c r="R1471" i="1"/>
  <c r="P1471" i="1"/>
  <c r="K1471" i="1"/>
  <c r="Z1470" i="1"/>
  <c r="W1470" i="1"/>
  <c r="V1470" i="1"/>
  <c r="U1470" i="1"/>
  <c r="R1470" i="1"/>
  <c r="P1470" i="1"/>
  <c r="K1470" i="1"/>
  <c r="Z1469" i="1"/>
  <c r="W1469" i="1"/>
  <c r="V1469" i="1"/>
  <c r="U1469" i="1"/>
  <c r="R1469" i="1"/>
  <c r="P1469" i="1"/>
  <c r="K1469" i="1"/>
  <c r="Z1468" i="1"/>
  <c r="W1468" i="1"/>
  <c r="V1468" i="1"/>
  <c r="U1468" i="1"/>
  <c r="R1468" i="1"/>
  <c r="P1468" i="1"/>
  <c r="K1468" i="1"/>
  <c r="Z1467" i="1"/>
  <c r="W1467" i="1"/>
  <c r="V1467" i="1"/>
  <c r="U1467" i="1"/>
  <c r="R1467" i="1"/>
  <c r="P1467" i="1"/>
  <c r="K1467" i="1"/>
  <c r="Z1466" i="1"/>
  <c r="W1466" i="1"/>
  <c r="V1466" i="1"/>
  <c r="U1466" i="1"/>
  <c r="R1466" i="1"/>
  <c r="P1466" i="1"/>
  <c r="K1466" i="1"/>
  <c r="Z1465" i="1"/>
  <c r="W1465" i="1"/>
  <c r="V1465" i="1"/>
  <c r="U1465" i="1"/>
  <c r="R1465" i="1"/>
  <c r="P1465" i="1"/>
  <c r="K1465" i="1"/>
  <c r="Z1464" i="1"/>
  <c r="W1464" i="1"/>
  <c r="V1464" i="1"/>
  <c r="U1464" i="1"/>
  <c r="R1464" i="1"/>
  <c r="P1464" i="1"/>
  <c r="K1464" i="1"/>
  <c r="Z1463" i="1"/>
  <c r="W1463" i="1"/>
  <c r="V1463" i="1"/>
  <c r="U1463" i="1"/>
  <c r="R1463" i="1"/>
  <c r="P1463" i="1"/>
  <c r="K1463" i="1"/>
  <c r="Z1462" i="1"/>
  <c r="W1462" i="1"/>
  <c r="V1462" i="1"/>
  <c r="U1462" i="1"/>
  <c r="R1462" i="1"/>
  <c r="P1462" i="1"/>
  <c r="K1462" i="1"/>
  <c r="Z1461" i="1"/>
  <c r="W1461" i="1"/>
  <c r="V1461" i="1"/>
  <c r="U1461" i="1"/>
  <c r="R1461" i="1"/>
  <c r="P1461" i="1"/>
  <c r="K1461" i="1"/>
  <c r="Z1460" i="1"/>
  <c r="W1460" i="1"/>
  <c r="V1460" i="1"/>
  <c r="U1460" i="1"/>
  <c r="R1460" i="1"/>
  <c r="P1460" i="1"/>
  <c r="K1460" i="1"/>
  <c r="Z1459" i="1"/>
  <c r="W1459" i="1"/>
  <c r="V1459" i="1"/>
  <c r="U1459" i="1"/>
  <c r="R1459" i="1"/>
  <c r="P1459" i="1"/>
  <c r="K1459" i="1"/>
  <c r="Z1458" i="1"/>
  <c r="W1458" i="1"/>
  <c r="V1458" i="1"/>
  <c r="U1458" i="1"/>
  <c r="R1458" i="1"/>
  <c r="P1458" i="1"/>
  <c r="K1458" i="1"/>
  <c r="Z1457" i="1"/>
  <c r="W1457" i="1"/>
  <c r="V1457" i="1"/>
  <c r="U1457" i="1"/>
  <c r="R1457" i="1"/>
  <c r="P1457" i="1"/>
  <c r="K1457" i="1"/>
  <c r="Z1456" i="1"/>
  <c r="W1456" i="1"/>
  <c r="V1456" i="1"/>
  <c r="U1456" i="1"/>
  <c r="R1456" i="1"/>
  <c r="P1456" i="1"/>
  <c r="K1456" i="1"/>
  <c r="Z1455" i="1"/>
  <c r="W1455" i="1"/>
  <c r="V1455" i="1"/>
  <c r="U1455" i="1"/>
  <c r="R1455" i="1"/>
  <c r="P1455" i="1"/>
  <c r="K1455" i="1"/>
  <c r="Z1454" i="1"/>
  <c r="W1454" i="1"/>
  <c r="V1454" i="1"/>
  <c r="U1454" i="1"/>
  <c r="R1454" i="1"/>
  <c r="P1454" i="1"/>
  <c r="K1454" i="1"/>
  <c r="Z1453" i="1"/>
  <c r="W1453" i="1"/>
  <c r="V1453" i="1"/>
  <c r="U1453" i="1"/>
  <c r="R1453" i="1"/>
  <c r="P1453" i="1"/>
  <c r="K1453" i="1"/>
  <c r="Z1452" i="1"/>
  <c r="W1452" i="1"/>
  <c r="V1452" i="1"/>
  <c r="U1452" i="1"/>
  <c r="R1452" i="1"/>
  <c r="P1452" i="1"/>
  <c r="K1452" i="1"/>
  <c r="Z1451" i="1"/>
  <c r="W1451" i="1"/>
  <c r="V1451" i="1"/>
  <c r="U1451" i="1"/>
  <c r="R1451" i="1"/>
  <c r="P1451" i="1"/>
  <c r="K1451" i="1"/>
  <c r="Z1450" i="1"/>
  <c r="W1450" i="1"/>
  <c r="V1450" i="1"/>
  <c r="U1450" i="1"/>
  <c r="R1450" i="1"/>
  <c r="P1450" i="1"/>
  <c r="K1450" i="1"/>
  <c r="Z1449" i="1"/>
  <c r="W1449" i="1"/>
  <c r="V1449" i="1"/>
  <c r="U1449" i="1"/>
  <c r="R1449" i="1"/>
  <c r="P1449" i="1"/>
  <c r="K1449" i="1"/>
  <c r="Z1448" i="1"/>
  <c r="W1448" i="1"/>
  <c r="V1448" i="1"/>
  <c r="U1448" i="1"/>
  <c r="R1448" i="1"/>
  <c r="P1448" i="1"/>
  <c r="K1448" i="1"/>
  <c r="Z1447" i="1"/>
  <c r="W1447" i="1"/>
  <c r="V1447" i="1"/>
  <c r="U1447" i="1"/>
  <c r="R1447" i="1"/>
  <c r="P1447" i="1"/>
  <c r="K1447" i="1"/>
  <c r="Z1446" i="1"/>
  <c r="W1446" i="1"/>
  <c r="V1446" i="1"/>
  <c r="U1446" i="1"/>
  <c r="R1446" i="1"/>
  <c r="P1446" i="1"/>
  <c r="K1446" i="1"/>
  <c r="Z1445" i="1"/>
  <c r="W1445" i="1"/>
  <c r="V1445" i="1"/>
  <c r="U1445" i="1"/>
  <c r="R1445" i="1"/>
  <c r="P1445" i="1"/>
  <c r="K1445" i="1"/>
  <c r="Z1444" i="1"/>
  <c r="W1444" i="1"/>
  <c r="V1444" i="1"/>
  <c r="U1444" i="1"/>
  <c r="R1444" i="1"/>
  <c r="P1444" i="1"/>
  <c r="K1444" i="1"/>
  <c r="Z1443" i="1"/>
  <c r="W1443" i="1"/>
  <c r="V1443" i="1"/>
  <c r="U1443" i="1"/>
  <c r="R1443" i="1"/>
  <c r="P1443" i="1"/>
  <c r="K1443" i="1"/>
  <c r="Z1442" i="1"/>
  <c r="W1442" i="1"/>
  <c r="V1442" i="1"/>
  <c r="U1442" i="1"/>
  <c r="R1442" i="1"/>
  <c r="P1442" i="1"/>
  <c r="K1442" i="1"/>
  <c r="Z1441" i="1"/>
  <c r="W1441" i="1"/>
  <c r="V1441" i="1"/>
  <c r="U1441" i="1"/>
  <c r="R1441" i="1"/>
  <c r="P1441" i="1"/>
  <c r="K1441" i="1"/>
  <c r="Z1440" i="1"/>
  <c r="W1440" i="1"/>
  <c r="V1440" i="1"/>
  <c r="U1440" i="1"/>
  <c r="R1440" i="1"/>
  <c r="P1440" i="1"/>
  <c r="K1440" i="1"/>
  <c r="Z1439" i="1"/>
  <c r="W1439" i="1"/>
  <c r="V1439" i="1"/>
  <c r="U1439" i="1"/>
  <c r="R1439" i="1"/>
  <c r="P1439" i="1"/>
  <c r="K1439" i="1"/>
  <c r="Z1438" i="1"/>
  <c r="W1438" i="1"/>
  <c r="V1438" i="1"/>
  <c r="U1438" i="1"/>
  <c r="R1438" i="1"/>
  <c r="P1438" i="1"/>
  <c r="K1438" i="1"/>
  <c r="Z1437" i="1"/>
  <c r="W1437" i="1"/>
  <c r="V1437" i="1"/>
  <c r="U1437" i="1"/>
  <c r="R1437" i="1"/>
  <c r="P1437" i="1"/>
  <c r="K1437" i="1"/>
  <c r="Z1436" i="1"/>
  <c r="W1436" i="1"/>
  <c r="V1436" i="1"/>
  <c r="U1436" i="1"/>
  <c r="R1436" i="1"/>
  <c r="P1436" i="1"/>
  <c r="K1436" i="1"/>
  <c r="Z1435" i="1"/>
  <c r="W1435" i="1"/>
  <c r="V1435" i="1"/>
  <c r="U1435" i="1"/>
  <c r="R1435" i="1"/>
  <c r="P1435" i="1"/>
  <c r="K1435" i="1"/>
  <c r="Z1434" i="1"/>
  <c r="W1434" i="1"/>
  <c r="V1434" i="1"/>
  <c r="U1434" i="1"/>
  <c r="R1434" i="1"/>
  <c r="P1434" i="1"/>
  <c r="K1434" i="1"/>
  <c r="Z1433" i="1"/>
  <c r="W1433" i="1"/>
  <c r="V1433" i="1"/>
  <c r="U1433" i="1"/>
  <c r="R1433" i="1"/>
  <c r="P1433" i="1"/>
  <c r="K1433" i="1"/>
  <c r="Z1432" i="1"/>
  <c r="W1432" i="1"/>
  <c r="V1432" i="1"/>
  <c r="U1432" i="1"/>
  <c r="R1432" i="1"/>
  <c r="P1432" i="1"/>
  <c r="K1432" i="1"/>
  <c r="Z1431" i="1"/>
  <c r="W1431" i="1"/>
  <c r="V1431" i="1"/>
  <c r="U1431" i="1"/>
  <c r="R1431" i="1"/>
  <c r="P1431" i="1"/>
  <c r="K1431" i="1"/>
  <c r="Z1430" i="1"/>
  <c r="W1430" i="1"/>
  <c r="V1430" i="1"/>
  <c r="U1430" i="1"/>
  <c r="R1430" i="1"/>
  <c r="P1430" i="1"/>
  <c r="K1430" i="1"/>
  <c r="Z1429" i="1"/>
  <c r="W1429" i="1"/>
  <c r="V1429" i="1"/>
  <c r="U1429" i="1"/>
  <c r="R1429" i="1"/>
  <c r="P1429" i="1"/>
  <c r="K1429" i="1"/>
  <c r="Z1428" i="1"/>
  <c r="W1428" i="1"/>
  <c r="V1428" i="1"/>
  <c r="U1428" i="1"/>
  <c r="R1428" i="1"/>
  <c r="P1428" i="1"/>
  <c r="K1428" i="1"/>
  <c r="Z1427" i="1"/>
  <c r="W1427" i="1"/>
  <c r="V1427" i="1"/>
  <c r="U1427" i="1"/>
  <c r="R1427" i="1"/>
  <c r="P1427" i="1"/>
  <c r="K1427" i="1"/>
  <c r="Z1426" i="1"/>
  <c r="W1426" i="1"/>
  <c r="V1426" i="1"/>
  <c r="U1426" i="1"/>
  <c r="R1426" i="1"/>
  <c r="P1426" i="1"/>
  <c r="K1426" i="1"/>
  <c r="Z1425" i="1"/>
  <c r="W1425" i="1"/>
  <c r="V1425" i="1"/>
  <c r="U1425" i="1"/>
  <c r="R1425" i="1"/>
  <c r="P1425" i="1"/>
  <c r="K1425" i="1"/>
  <c r="Z1424" i="1"/>
  <c r="W1424" i="1"/>
  <c r="V1424" i="1"/>
  <c r="U1424" i="1"/>
  <c r="R1424" i="1"/>
  <c r="P1424" i="1"/>
  <c r="K1424" i="1"/>
  <c r="Z1423" i="1"/>
  <c r="W1423" i="1"/>
  <c r="V1423" i="1"/>
  <c r="U1423" i="1"/>
  <c r="R1423" i="1"/>
  <c r="P1423" i="1"/>
  <c r="K1423" i="1"/>
  <c r="Z1422" i="1"/>
  <c r="W1422" i="1"/>
  <c r="V1422" i="1"/>
  <c r="U1422" i="1"/>
  <c r="R1422" i="1"/>
  <c r="P1422" i="1"/>
  <c r="K1422" i="1"/>
  <c r="Z1421" i="1"/>
  <c r="W1421" i="1"/>
  <c r="V1421" i="1"/>
  <c r="U1421" i="1"/>
  <c r="R1421" i="1"/>
  <c r="P1421" i="1"/>
  <c r="K1421" i="1"/>
  <c r="Z1420" i="1"/>
  <c r="W1420" i="1"/>
  <c r="V1420" i="1"/>
  <c r="U1420" i="1"/>
  <c r="R1420" i="1"/>
  <c r="P1420" i="1"/>
  <c r="K1420" i="1"/>
  <c r="Z1419" i="1"/>
  <c r="W1419" i="1"/>
  <c r="V1419" i="1"/>
  <c r="U1419" i="1"/>
  <c r="R1419" i="1"/>
  <c r="P1419" i="1"/>
  <c r="K1419" i="1"/>
  <c r="Z1418" i="1"/>
  <c r="W1418" i="1"/>
  <c r="V1418" i="1"/>
  <c r="U1418" i="1"/>
  <c r="R1418" i="1"/>
  <c r="P1418" i="1"/>
  <c r="K1418" i="1"/>
  <c r="Z1417" i="1"/>
  <c r="W1417" i="1"/>
  <c r="V1417" i="1"/>
  <c r="U1417" i="1"/>
  <c r="R1417" i="1"/>
  <c r="P1417" i="1"/>
  <c r="K1417" i="1"/>
  <c r="Z1416" i="1"/>
  <c r="W1416" i="1"/>
  <c r="V1416" i="1"/>
  <c r="U1416" i="1"/>
  <c r="R1416" i="1"/>
  <c r="P1416" i="1"/>
  <c r="K1416" i="1"/>
  <c r="Z1415" i="1"/>
  <c r="W1415" i="1"/>
  <c r="V1415" i="1"/>
  <c r="U1415" i="1"/>
  <c r="R1415" i="1"/>
  <c r="P1415" i="1"/>
  <c r="K1415" i="1"/>
  <c r="Z1414" i="1"/>
  <c r="W1414" i="1"/>
  <c r="V1414" i="1"/>
  <c r="U1414" i="1"/>
  <c r="R1414" i="1"/>
  <c r="P1414" i="1"/>
  <c r="K1414" i="1"/>
  <c r="Z1413" i="1"/>
  <c r="W1413" i="1"/>
  <c r="V1413" i="1"/>
  <c r="U1413" i="1"/>
  <c r="R1413" i="1"/>
  <c r="P1413" i="1"/>
  <c r="K1413" i="1"/>
  <c r="Z1412" i="1"/>
  <c r="W1412" i="1"/>
  <c r="V1412" i="1"/>
  <c r="U1412" i="1"/>
  <c r="R1412" i="1"/>
  <c r="P1412" i="1"/>
  <c r="K1412" i="1"/>
  <c r="Z1411" i="1"/>
  <c r="W1411" i="1"/>
  <c r="V1411" i="1"/>
  <c r="U1411" i="1"/>
  <c r="R1411" i="1"/>
  <c r="P1411" i="1"/>
  <c r="K1411" i="1"/>
  <c r="Z1410" i="1"/>
  <c r="W1410" i="1"/>
  <c r="V1410" i="1"/>
  <c r="U1410" i="1"/>
  <c r="R1410" i="1"/>
  <c r="P1410" i="1"/>
  <c r="K1410" i="1"/>
  <c r="Z1409" i="1"/>
  <c r="W1409" i="1"/>
  <c r="V1409" i="1"/>
  <c r="U1409" i="1"/>
  <c r="R1409" i="1"/>
  <c r="P1409" i="1"/>
  <c r="K1409" i="1"/>
  <c r="Z1408" i="1"/>
  <c r="W1408" i="1"/>
  <c r="V1408" i="1"/>
  <c r="U1408" i="1"/>
  <c r="R1408" i="1"/>
  <c r="P1408" i="1"/>
  <c r="K1408" i="1"/>
  <c r="Z1407" i="1"/>
  <c r="W1407" i="1"/>
  <c r="V1407" i="1"/>
  <c r="U1407" i="1"/>
  <c r="R1407" i="1"/>
  <c r="P1407" i="1"/>
  <c r="K1407" i="1"/>
  <c r="Z1406" i="1"/>
  <c r="W1406" i="1"/>
  <c r="V1406" i="1"/>
  <c r="U1406" i="1"/>
  <c r="R1406" i="1"/>
  <c r="P1406" i="1"/>
  <c r="K1406" i="1"/>
  <c r="Z1405" i="1"/>
  <c r="W1405" i="1"/>
  <c r="V1405" i="1"/>
  <c r="U1405" i="1"/>
  <c r="R1405" i="1"/>
  <c r="P1405" i="1"/>
  <c r="K1405" i="1"/>
  <c r="Z1404" i="1"/>
  <c r="W1404" i="1"/>
  <c r="V1404" i="1"/>
  <c r="U1404" i="1"/>
  <c r="R1404" i="1"/>
  <c r="P1404" i="1"/>
  <c r="K1404" i="1"/>
  <c r="Z1403" i="1"/>
  <c r="W1403" i="1"/>
  <c r="V1403" i="1"/>
  <c r="U1403" i="1"/>
  <c r="R1403" i="1"/>
  <c r="P1403" i="1"/>
  <c r="K1403" i="1"/>
  <c r="Z1402" i="1"/>
  <c r="W1402" i="1"/>
  <c r="V1402" i="1"/>
  <c r="U1402" i="1"/>
  <c r="R1402" i="1"/>
  <c r="P1402" i="1"/>
  <c r="K1402" i="1"/>
  <c r="Z1401" i="1"/>
  <c r="W1401" i="1"/>
  <c r="V1401" i="1"/>
  <c r="U1401" i="1"/>
  <c r="R1401" i="1"/>
  <c r="P1401" i="1"/>
  <c r="K1401" i="1"/>
  <c r="Z1400" i="1"/>
  <c r="W1400" i="1"/>
  <c r="V1400" i="1"/>
  <c r="U1400" i="1"/>
  <c r="R1400" i="1"/>
  <c r="P1400" i="1"/>
  <c r="K1400" i="1"/>
  <c r="Z1399" i="1"/>
  <c r="W1399" i="1"/>
  <c r="V1399" i="1"/>
  <c r="U1399" i="1"/>
  <c r="R1399" i="1"/>
  <c r="P1399" i="1"/>
  <c r="K1399" i="1"/>
  <c r="Z1398" i="1"/>
  <c r="W1398" i="1"/>
  <c r="V1398" i="1"/>
  <c r="U1398" i="1"/>
  <c r="R1398" i="1"/>
  <c r="P1398" i="1"/>
  <c r="K1398" i="1"/>
  <c r="Z1397" i="1"/>
  <c r="W1397" i="1"/>
  <c r="V1397" i="1"/>
  <c r="U1397" i="1"/>
  <c r="R1397" i="1"/>
  <c r="P1397" i="1"/>
  <c r="K1397" i="1"/>
  <c r="Z1396" i="1"/>
  <c r="W1396" i="1"/>
  <c r="V1396" i="1"/>
  <c r="U1396" i="1"/>
  <c r="R1396" i="1"/>
  <c r="P1396" i="1"/>
  <c r="K1396" i="1"/>
  <c r="Z1395" i="1"/>
  <c r="W1395" i="1"/>
  <c r="V1395" i="1"/>
  <c r="U1395" i="1"/>
  <c r="R1395" i="1"/>
  <c r="P1395" i="1"/>
  <c r="K1395" i="1"/>
  <c r="Z1394" i="1"/>
  <c r="W1394" i="1"/>
  <c r="V1394" i="1"/>
  <c r="U1394" i="1"/>
  <c r="R1394" i="1"/>
  <c r="P1394" i="1"/>
  <c r="K1394" i="1"/>
  <c r="Z1393" i="1"/>
  <c r="W1393" i="1"/>
  <c r="V1393" i="1"/>
  <c r="U1393" i="1"/>
  <c r="R1393" i="1"/>
  <c r="P1393" i="1"/>
  <c r="K1393" i="1"/>
  <c r="Z1392" i="1"/>
  <c r="W1392" i="1"/>
  <c r="V1392" i="1"/>
  <c r="U1392" i="1"/>
  <c r="R1392" i="1"/>
  <c r="P1392" i="1"/>
  <c r="K1392" i="1"/>
  <c r="Z1391" i="1"/>
  <c r="W1391" i="1"/>
  <c r="V1391" i="1"/>
  <c r="U1391" i="1"/>
  <c r="R1391" i="1"/>
  <c r="P1391" i="1"/>
  <c r="K1391" i="1"/>
  <c r="Z1390" i="1"/>
  <c r="W1390" i="1"/>
  <c r="V1390" i="1"/>
  <c r="U1390" i="1"/>
  <c r="R1390" i="1"/>
  <c r="P1390" i="1"/>
  <c r="K1390" i="1"/>
  <c r="Z1389" i="1"/>
  <c r="W1389" i="1"/>
  <c r="V1389" i="1"/>
  <c r="U1389" i="1"/>
  <c r="R1389" i="1"/>
  <c r="P1389" i="1"/>
  <c r="K1389" i="1"/>
  <c r="Z1388" i="1"/>
  <c r="W1388" i="1"/>
  <c r="V1388" i="1"/>
  <c r="U1388" i="1"/>
  <c r="R1388" i="1"/>
  <c r="P1388" i="1"/>
  <c r="K1388" i="1"/>
  <c r="Z1387" i="1"/>
  <c r="W1387" i="1"/>
  <c r="V1387" i="1"/>
  <c r="U1387" i="1"/>
  <c r="R1387" i="1"/>
  <c r="P1387" i="1"/>
  <c r="K1387" i="1"/>
  <c r="Z1386" i="1"/>
  <c r="W1386" i="1"/>
  <c r="V1386" i="1"/>
  <c r="U1386" i="1"/>
  <c r="R1386" i="1"/>
  <c r="P1386" i="1"/>
  <c r="K1386" i="1"/>
  <c r="Z1385" i="1"/>
  <c r="W1385" i="1"/>
  <c r="V1385" i="1"/>
  <c r="U1385" i="1"/>
  <c r="R1385" i="1"/>
  <c r="P1385" i="1"/>
  <c r="K1385" i="1"/>
  <c r="Z1384" i="1"/>
  <c r="W1384" i="1"/>
  <c r="V1384" i="1"/>
  <c r="U1384" i="1"/>
  <c r="R1384" i="1"/>
  <c r="P1384" i="1"/>
  <c r="K1384" i="1"/>
  <c r="Z1383" i="1"/>
  <c r="W1383" i="1"/>
  <c r="V1383" i="1"/>
  <c r="U1383" i="1"/>
  <c r="R1383" i="1"/>
  <c r="P1383" i="1"/>
  <c r="K1383" i="1"/>
  <c r="Z1382" i="1"/>
  <c r="W1382" i="1"/>
  <c r="V1382" i="1"/>
  <c r="U1382" i="1"/>
  <c r="R1382" i="1"/>
  <c r="P1382" i="1"/>
  <c r="K1382" i="1"/>
  <c r="Z1381" i="1"/>
  <c r="W1381" i="1"/>
  <c r="V1381" i="1"/>
  <c r="U1381" i="1"/>
  <c r="R1381" i="1"/>
  <c r="P1381" i="1"/>
  <c r="K1381" i="1"/>
  <c r="Z1380" i="1"/>
  <c r="W1380" i="1"/>
  <c r="V1380" i="1"/>
  <c r="U1380" i="1"/>
  <c r="R1380" i="1"/>
  <c r="P1380" i="1"/>
  <c r="K1380" i="1"/>
  <c r="Z1379" i="1"/>
  <c r="W1379" i="1"/>
  <c r="V1379" i="1"/>
  <c r="U1379" i="1"/>
  <c r="R1379" i="1"/>
  <c r="P1379" i="1"/>
  <c r="K1379" i="1"/>
  <c r="Z1378" i="1"/>
  <c r="W1378" i="1"/>
  <c r="V1378" i="1"/>
  <c r="U1378" i="1"/>
  <c r="R1378" i="1"/>
  <c r="P1378" i="1"/>
  <c r="K1378" i="1"/>
  <c r="Z1377" i="1"/>
  <c r="W1377" i="1"/>
  <c r="V1377" i="1"/>
  <c r="U1377" i="1"/>
  <c r="R1377" i="1"/>
  <c r="P1377" i="1"/>
  <c r="K1377" i="1"/>
  <c r="Z1376" i="1"/>
  <c r="W1376" i="1"/>
  <c r="V1376" i="1"/>
  <c r="U1376" i="1"/>
  <c r="R1376" i="1"/>
  <c r="P1376" i="1"/>
  <c r="K1376" i="1"/>
  <c r="Z1375" i="1"/>
  <c r="W1375" i="1"/>
  <c r="V1375" i="1"/>
  <c r="U1375" i="1"/>
  <c r="R1375" i="1"/>
  <c r="P1375" i="1"/>
  <c r="K1375" i="1"/>
  <c r="Z1374" i="1"/>
  <c r="W1374" i="1"/>
  <c r="V1374" i="1"/>
  <c r="U1374" i="1"/>
  <c r="R1374" i="1"/>
  <c r="P1374" i="1"/>
  <c r="K1374" i="1"/>
  <c r="Z1373" i="1"/>
  <c r="W1373" i="1"/>
  <c r="V1373" i="1"/>
  <c r="U1373" i="1"/>
  <c r="R1373" i="1"/>
  <c r="P1373" i="1"/>
  <c r="K1373" i="1"/>
  <c r="Z1372" i="1"/>
  <c r="W1372" i="1"/>
  <c r="V1372" i="1"/>
  <c r="U1372" i="1"/>
  <c r="R1372" i="1"/>
  <c r="P1372" i="1"/>
  <c r="K1372" i="1"/>
  <c r="Z1371" i="1"/>
  <c r="W1371" i="1"/>
  <c r="V1371" i="1"/>
  <c r="U1371" i="1"/>
  <c r="R1371" i="1"/>
  <c r="P1371" i="1"/>
  <c r="K1371" i="1"/>
  <c r="Z1370" i="1"/>
  <c r="W1370" i="1"/>
  <c r="V1370" i="1"/>
  <c r="U1370" i="1"/>
  <c r="R1370" i="1"/>
  <c r="P1370" i="1"/>
  <c r="K1370" i="1"/>
  <c r="Z1369" i="1"/>
  <c r="W1369" i="1"/>
  <c r="V1369" i="1"/>
  <c r="U1369" i="1"/>
  <c r="R1369" i="1"/>
  <c r="P1369" i="1"/>
  <c r="K1369" i="1"/>
  <c r="Z1368" i="1"/>
  <c r="W1368" i="1"/>
  <c r="V1368" i="1"/>
  <c r="U1368" i="1"/>
  <c r="R1368" i="1"/>
  <c r="P1368" i="1"/>
  <c r="K1368" i="1"/>
  <c r="Z1367" i="1"/>
  <c r="W1367" i="1"/>
  <c r="V1367" i="1"/>
  <c r="U1367" i="1"/>
  <c r="R1367" i="1"/>
  <c r="P1367" i="1"/>
  <c r="K1367" i="1"/>
  <c r="Z1366" i="1"/>
  <c r="W1366" i="1"/>
  <c r="V1366" i="1"/>
  <c r="U1366" i="1"/>
  <c r="R1366" i="1"/>
  <c r="P1366" i="1"/>
  <c r="K1366" i="1"/>
  <c r="Z1365" i="1"/>
  <c r="W1365" i="1"/>
  <c r="V1365" i="1"/>
  <c r="U1365" i="1"/>
  <c r="R1365" i="1"/>
  <c r="P1365" i="1"/>
  <c r="K1365" i="1"/>
  <c r="Z1364" i="1"/>
  <c r="W1364" i="1"/>
  <c r="V1364" i="1"/>
  <c r="U1364" i="1"/>
  <c r="R1364" i="1"/>
  <c r="P1364" i="1"/>
  <c r="K1364" i="1"/>
  <c r="Z1363" i="1"/>
  <c r="W1363" i="1"/>
  <c r="V1363" i="1"/>
  <c r="U1363" i="1"/>
  <c r="R1363" i="1"/>
  <c r="P1363" i="1"/>
  <c r="K1363" i="1"/>
  <c r="Z1362" i="1"/>
  <c r="W1362" i="1"/>
  <c r="V1362" i="1"/>
  <c r="U1362" i="1"/>
  <c r="R1362" i="1"/>
  <c r="P1362" i="1"/>
  <c r="K1362" i="1"/>
  <c r="Z1361" i="1"/>
  <c r="W1361" i="1"/>
  <c r="V1361" i="1"/>
  <c r="U1361" i="1"/>
  <c r="R1361" i="1"/>
  <c r="P1361" i="1"/>
  <c r="K1361" i="1"/>
  <c r="Z1360" i="1"/>
  <c r="W1360" i="1"/>
  <c r="V1360" i="1"/>
  <c r="U1360" i="1"/>
  <c r="R1360" i="1"/>
  <c r="P1360" i="1"/>
  <c r="K1360" i="1"/>
  <c r="Z1359" i="1"/>
  <c r="W1359" i="1"/>
  <c r="V1359" i="1"/>
  <c r="U1359" i="1"/>
  <c r="R1359" i="1"/>
  <c r="P1359" i="1"/>
  <c r="K1359" i="1"/>
  <c r="Z1358" i="1"/>
  <c r="W1358" i="1"/>
  <c r="V1358" i="1"/>
  <c r="U1358" i="1"/>
  <c r="R1358" i="1"/>
  <c r="P1358" i="1"/>
  <c r="K1358" i="1"/>
  <c r="Z1357" i="1"/>
  <c r="W1357" i="1"/>
  <c r="V1357" i="1"/>
  <c r="U1357" i="1"/>
  <c r="R1357" i="1"/>
  <c r="P1357" i="1"/>
  <c r="K1357" i="1"/>
  <c r="Z1356" i="1"/>
  <c r="W1356" i="1"/>
  <c r="V1356" i="1"/>
  <c r="U1356" i="1"/>
  <c r="R1356" i="1"/>
  <c r="P1356" i="1"/>
  <c r="K1356" i="1"/>
  <c r="Z1355" i="1"/>
  <c r="W1355" i="1"/>
  <c r="V1355" i="1"/>
  <c r="U1355" i="1"/>
  <c r="R1355" i="1"/>
  <c r="P1355" i="1"/>
  <c r="K1355" i="1"/>
  <c r="Z1354" i="1"/>
  <c r="W1354" i="1"/>
  <c r="V1354" i="1"/>
  <c r="U1354" i="1"/>
  <c r="R1354" i="1"/>
  <c r="P1354" i="1"/>
  <c r="K1354" i="1"/>
  <c r="Z1353" i="1"/>
  <c r="W1353" i="1"/>
  <c r="V1353" i="1"/>
  <c r="U1353" i="1"/>
  <c r="R1353" i="1"/>
  <c r="P1353" i="1"/>
  <c r="K1353" i="1"/>
  <c r="Z1352" i="1"/>
  <c r="W1352" i="1"/>
  <c r="V1352" i="1"/>
  <c r="U1352" i="1"/>
  <c r="R1352" i="1"/>
  <c r="P1352" i="1"/>
  <c r="K1352" i="1"/>
  <c r="Z1351" i="1"/>
  <c r="W1351" i="1"/>
  <c r="V1351" i="1"/>
  <c r="U1351" i="1"/>
  <c r="R1351" i="1"/>
  <c r="P1351" i="1"/>
  <c r="K1351" i="1"/>
  <c r="Z1350" i="1"/>
  <c r="W1350" i="1"/>
  <c r="V1350" i="1"/>
  <c r="U1350" i="1"/>
  <c r="R1350" i="1"/>
  <c r="P1350" i="1"/>
  <c r="K1350" i="1"/>
  <c r="Z1349" i="1"/>
  <c r="W1349" i="1"/>
  <c r="V1349" i="1"/>
  <c r="U1349" i="1"/>
  <c r="R1349" i="1"/>
  <c r="P1349" i="1"/>
  <c r="K1349" i="1"/>
  <c r="Z1348" i="1"/>
  <c r="W1348" i="1"/>
  <c r="V1348" i="1"/>
  <c r="U1348" i="1"/>
  <c r="R1348" i="1"/>
  <c r="P1348" i="1"/>
  <c r="K1348" i="1"/>
  <c r="Z1347" i="1"/>
  <c r="W1347" i="1"/>
  <c r="V1347" i="1"/>
  <c r="U1347" i="1"/>
  <c r="R1347" i="1"/>
  <c r="P1347" i="1"/>
  <c r="K1347" i="1"/>
  <c r="Z1346" i="1"/>
  <c r="W1346" i="1"/>
  <c r="V1346" i="1"/>
  <c r="U1346" i="1"/>
  <c r="R1346" i="1"/>
  <c r="P1346" i="1"/>
  <c r="K1346" i="1"/>
  <c r="Z1345" i="1"/>
  <c r="W1345" i="1"/>
  <c r="V1345" i="1"/>
  <c r="U1345" i="1"/>
  <c r="R1345" i="1"/>
  <c r="P1345" i="1"/>
  <c r="K1345" i="1"/>
  <c r="Z1344" i="1"/>
  <c r="W1344" i="1"/>
  <c r="V1344" i="1"/>
  <c r="U1344" i="1"/>
  <c r="R1344" i="1"/>
  <c r="P1344" i="1"/>
  <c r="K1344" i="1"/>
  <c r="Z1343" i="1"/>
  <c r="W1343" i="1"/>
  <c r="V1343" i="1"/>
  <c r="U1343" i="1"/>
  <c r="R1343" i="1"/>
  <c r="P1343" i="1"/>
  <c r="K1343" i="1"/>
  <c r="Z1342" i="1"/>
  <c r="W1342" i="1"/>
  <c r="V1342" i="1"/>
  <c r="U1342" i="1"/>
  <c r="R1342" i="1"/>
  <c r="P1342" i="1"/>
  <c r="K1342" i="1"/>
  <c r="Z1341" i="1"/>
  <c r="W1341" i="1"/>
  <c r="V1341" i="1"/>
  <c r="U1341" i="1"/>
  <c r="R1341" i="1"/>
  <c r="P1341" i="1"/>
  <c r="K1341" i="1"/>
  <c r="Z1340" i="1"/>
  <c r="W1340" i="1"/>
  <c r="V1340" i="1"/>
  <c r="U1340" i="1"/>
  <c r="R1340" i="1"/>
  <c r="P1340" i="1"/>
  <c r="K1340" i="1"/>
  <c r="Z1339" i="1"/>
  <c r="W1339" i="1"/>
  <c r="V1339" i="1"/>
  <c r="U1339" i="1"/>
  <c r="R1339" i="1"/>
  <c r="P1339" i="1"/>
  <c r="K1339" i="1"/>
  <c r="Z1338" i="1"/>
  <c r="W1338" i="1"/>
  <c r="V1338" i="1"/>
  <c r="U1338" i="1"/>
  <c r="R1338" i="1"/>
  <c r="P1338" i="1"/>
  <c r="K1338" i="1"/>
  <c r="Z1337" i="1"/>
  <c r="W1337" i="1"/>
  <c r="V1337" i="1"/>
  <c r="U1337" i="1"/>
  <c r="R1337" i="1"/>
  <c r="P1337" i="1"/>
  <c r="K1337" i="1"/>
  <c r="Z1336" i="1"/>
  <c r="W1336" i="1"/>
  <c r="V1336" i="1"/>
  <c r="U1336" i="1"/>
  <c r="R1336" i="1"/>
  <c r="P1336" i="1"/>
  <c r="K1336" i="1"/>
  <c r="Z1335" i="1"/>
  <c r="W1335" i="1"/>
  <c r="V1335" i="1"/>
  <c r="U1335" i="1"/>
  <c r="R1335" i="1"/>
  <c r="P1335" i="1"/>
  <c r="K1335" i="1"/>
  <c r="Z1334" i="1"/>
  <c r="W1334" i="1"/>
  <c r="V1334" i="1"/>
  <c r="U1334" i="1"/>
  <c r="R1334" i="1"/>
  <c r="P1334" i="1"/>
  <c r="K1334" i="1"/>
  <c r="Z1333" i="1"/>
  <c r="W1333" i="1"/>
  <c r="V1333" i="1"/>
  <c r="U1333" i="1"/>
  <c r="R1333" i="1"/>
  <c r="P1333" i="1"/>
  <c r="K1333" i="1"/>
  <c r="Z1332" i="1"/>
  <c r="W1332" i="1"/>
  <c r="V1332" i="1"/>
  <c r="U1332" i="1"/>
  <c r="R1332" i="1"/>
  <c r="P1332" i="1"/>
  <c r="K1332" i="1"/>
  <c r="Z1331" i="1"/>
  <c r="W1331" i="1"/>
  <c r="V1331" i="1"/>
  <c r="U1331" i="1"/>
  <c r="R1331" i="1"/>
  <c r="P1331" i="1"/>
  <c r="K1331" i="1"/>
  <c r="Z1330" i="1"/>
  <c r="W1330" i="1"/>
  <c r="V1330" i="1"/>
  <c r="U1330" i="1"/>
  <c r="R1330" i="1"/>
  <c r="P1330" i="1"/>
  <c r="K1330" i="1"/>
  <c r="Z1329" i="1"/>
  <c r="W1329" i="1"/>
  <c r="V1329" i="1"/>
  <c r="U1329" i="1"/>
  <c r="R1329" i="1"/>
  <c r="P1329" i="1"/>
  <c r="K1329" i="1"/>
  <c r="Z1328" i="1"/>
  <c r="W1328" i="1"/>
  <c r="V1328" i="1"/>
  <c r="U1328" i="1"/>
  <c r="R1328" i="1"/>
  <c r="P1328" i="1"/>
  <c r="K1328" i="1"/>
  <c r="Z1327" i="1"/>
  <c r="W1327" i="1"/>
  <c r="V1327" i="1"/>
  <c r="U1327" i="1"/>
  <c r="R1327" i="1"/>
  <c r="P1327" i="1"/>
  <c r="K1327" i="1"/>
  <c r="Z1326" i="1"/>
  <c r="W1326" i="1"/>
  <c r="V1326" i="1"/>
  <c r="U1326" i="1"/>
  <c r="R1326" i="1"/>
  <c r="P1326" i="1"/>
  <c r="K1326" i="1"/>
  <c r="Z1325" i="1"/>
  <c r="W1325" i="1"/>
  <c r="V1325" i="1"/>
  <c r="U1325" i="1"/>
  <c r="R1325" i="1"/>
  <c r="P1325" i="1"/>
  <c r="K1325" i="1"/>
  <c r="Z1324" i="1"/>
  <c r="W1324" i="1"/>
  <c r="V1324" i="1"/>
  <c r="U1324" i="1"/>
  <c r="R1324" i="1"/>
  <c r="P1324" i="1"/>
  <c r="K1324" i="1"/>
  <c r="Z1323" i="1"/>
  <c r="W1323" i="1"/>
  <c r="V1323" i="1"/>
  <c r="U1323" i="1"/>
  <c r="R1323" i="1"/>
  <c r="P1323" i="1"/>
  <c r="K1323" i="1"/>
  <c r="Z1322" i="1"/>
  <c r="W1322" i="1"/>
  <c r="V1322" i="1"/>
  <c r="U1322" i="1"/>
  <c r="R1322" i="1"/>
  <c r="P1322" i="1"/>
  <c r="K1322" i="1"/>
  <c r="Z1321" i="1"/>
  <c r="W1321" i="1"/>
  <c r="V1321" i="1"/>
  <c r="U1321" i="1"/>
  <c r="R1321" i="1"/>
  <c r="P1321" i="1"/>
  <c r="K1321" i="1"/>
  <c r="Z1320" i="1"/>
  <c r="W1320" i="1"/>
  <c r="V1320" i="1"/>
  <c r="U1320" i="1"/>
  <c r="R1320" i="1"/>
  <c r="P1320" i="1"/>
  <c r="K1320" i="1"/>
  <c r="Z1319" i="1"/>
  <c r="W1319" i="1"/>
  <c r="V1319" i="1"/>
  <c r="U1319" i="1"/>
  <c r="R1319" i="1"/>
  <c r="P1319" i="1"/>
  <c r="K1319" i="1"/>
  <c r="Z1318" i="1"/>
  <c r="W1318" i="1"/>
  <c r="V1318" i="1"/>
  <c r="U1318" i="1"/>
  <c r="R1318" i="1"/>
  <c r="P1318" i="1"/>
  <c r="K1318" i="1"/>
  <c r="Z1317" i="1"/>
  <c r="W1317" i="1"/>
  <c r="V1317" i="1"/>
  <c r="U1317" i="1"/>
  <c r="R1317" i="1"/>
  <c r="P1317" i="1"/>
  <c r="K1317" i="1"/>
  <c r="Z1316" i="1"/>
  <c r="W1316" i="1"/>
  <c r="V1316" i="1"/>
  <c r="U1316" i="1"/>
  <c r="R1316" i="1"/>
  <c r="P1316" i="1"/>
  <c r="K1316" i="1"/>
  <c r="Z1315" i="1"/>
  <c r="W1315" i="1"/>
  <c r="V1315" i="1"/>
  <c r="U1315" i="1"/>
  <c r="R1315" i="1"/>
  <c r="P1315" i="1"/>
  <c r="K1315" i="1"/>
  <c r="Z1314" i="1"/>
  <c r="W1314" i="1"/>
  <c r="V1314" i="1"/>
  <c r="U1314" i="1"/>
  <c r="R1314" i="1"/>
  <c r="P1314" i="1"/>
  <c r="K1314" i="1"/>
  <c r="Z1313" i="1"/>
  <c r="W1313" i="1"/>
  <c r="V1313" i="1"/>
  <c r="U1313" i="1"/>
  <c r="R1313" i="1"/>
  <c r="P1313" i="1"/>
  <c r="K1313" i="1"/>
  <c r="Z1312" i="1"/>
  <c r="W1312" i="1"/>
  <c r="V1312" i="1"/>
  <c r="U1312" i="1"/>
  <c r="R1312" i="1"/>
  <c r="P1312" i="1"/>
  <c r="K1312" i="1"/>
  <c r="Z1311" i="1"/>
  <c r="W1311" i="1"/>
  <c r="V1311" i="1"/>
  <c r="U1311" i="1"/>
  <c r="R1311" i="1"/>
  <c r="P1311" i="1"/>
  <c r="K1311" i="1"/>
  <c r="Z1310" i="1"/>
  <c r="W1310" i="1"/>
  <c r="V1310" i="1"/>
  <c r="U1310" i="1"/>
  <c r="R1310" i="1"/>
  <c r="P1310" i="1"/>
  <c r="K1310" i="1"/>
  <c r="Z1309" i="1"/>
  <c r="W1309" i="1"/>
  <c r="V1309" i="1"/>
  <c r="U1309" i="1"/>
  <c r="R1309" i="1"/>
  <c r="P1309" i="1"/>
  <c r="K1309" i="1"/>
  <c r="Z1308" i="1"/>
  <c r="W1308" i="1"/>
  <c r="V1308" i="1"/>
  <c r="U1308" i="1"/>
  <c r="R1308" i="1"/>
  <c r="P1308" i="1"/>
  <c r="K1308" i="1"/>
  <c r="Z1307" i="1"/>
  <c r="W1307" i="1"/>
  <c r="V1307" i="1"/>
  <c r="U1307" i="1"/>
  <c r="R1307" i="1"/>
  <c r="P1307" i="1"/>
  <c r="K1307" i="1"/>
  <c r="Z1306" i="1"/>
  <c r="W1306" i="1"/>
  <c r="V1306" i="1"/>
  <c r="U1306" i="1"/>
  <c r="R1306" i="1"/>
  <c r="P1306" i="1"/>
  <c r="K1306" i="1"/>
  <c r="Z1305" i="1"/>
  <c r="W1305" i="1"/>
  <c r="V1305" i="1"/>
  <c r="U1305" i="1"/>
  <c r="R1305" i="1"/>
  <c r="P1305" i="1"/>
  <c r="K1305" i="1"/>
  <c r="Z1304" i="1"/>
  <c r="W1304" i="1"/>
  <c r="V1304" i="1"/>
  <c r="U1304" i="1"/>
  <c r="R1304" i="1"/>
  <c r="P1304" i="1"/>
  <c r="K1304" i="1"/>
  <c r="Z1303" i="1"/>
  <c r="W1303" i="1"/>
  <c r="V1303" i="1"/>
  <c r="U1303" i="1"/>
  <c r="R1303" i="1"/>
  <c r="P1303" i="1"/>
  <c r="K1303" i="1"/>
  <c r="Z1302" i="1"/>
  <c r="W1302" i="1"/>
  <c r="V1302" i="1"/>
  <c r="U1302" i="1"/>
  <c r="R1302" i="1"/>
  <c r="P1302" i="1"/>
  <c r="K1302" i="1"/>
  <c r="Z1301" i="1"/>
  <c r="W1301" i="1"/>
  <c r="V1301" i="1"/>
  <c r="U1301" i="1"/>
  <c r="R1301" i="1"/>
  <c r="P1301" i="1"/>
  <c r="K1301" i="1"/>
  <c r="Z1300" i="1"/>
  <c r="W1300" i="1"/>
  <c r="V1300" i="1"/>
  <c r="U1300" i="1"/>
  <c r="R1300" i="1"/>
  <c r="P1300" i="1"/>
  <c r="K1300" i="1"/>
  <c r="Z1299" i="1"/>
  <c r="W1299" i="1"/>
  <c r="V1299" i="1"/>
  <c r="U1299" i="1"/>
  <c r="R1299" i="1"/>
  <c r="P1299" i="1"/>
  <c r="K1299" i="1"/>
  <c r="Z1298" i="1"/>
  <c r="W1298" i="1"/>
  <c r="V1298" i="1"/>
  <c r="U1298" i="1"/>
  <c r="R1298" i="1"/>
  <c r="P1298" i="1"/>
  <c r="K1298" i="1"/>
  <c r="Z1297" i="1"/>
  <c r="W1297" i="1"/>
  <c r="V1297" i="1"/>
  <c r="U1297" i="1"/>
  <c r="R1297" i="1"/>
  <c r="P1297" i="1"/>
  <c r="K1297" i="1"/>
  <c r="Z1296" i="1"/>
  <c r="W1296" i="1"/>
  <c r="V1296" i="1"/>
  <c r="U1296" i="1"/>
  <c r="R1296" i="1"/>
  <c r="P1296" i="1"/>
  <c r="K1296" i="1"/>
  <c r="Z1295" i="1"/>
  <c r="W1295" i="1"/>
  <c r="V1295" i="1"/>
  <c r="U1295" i="1"/>
  <c r="R1295" i="1"/>
  <c r="P1295" i="1"/>
  <c r="K1295" i="1"/>
  <c r="Z1294" i="1"/>
  <c r="W1294" i="1"/>
  <c r="V1294" i="1"/>
  <c r="U1294" i="1"/>
  <c r="R1294" i="1"/>
  <c r="P1294" i="1"/>
  <c r="K1294" i="1"/>
  <c r="Z1293" i="1"/>
  <c r="W1293" i="1"/>
  <c r="V1293" i="1"/>
  <c r="U1293" i="1"/>
  <c r="R1293" i="1"/>
  <c r="P1293" i="1"/>
  <c r="K1293" i="1"/>
  <c r="Z1292" i="1"/>
  <c r="W1292" i="1"/>
  <c r="V1292" i="1"/>
  <c r="U1292" i="1"/>
  <c r="R1292" i="1"/>
  <c r="P1292" i="1"/>
  <c r="K1292" i="1"/>
  <c r="Z1291" i="1"/>
  <c r="W1291" i="1"/>
  <c r="V1291" i="1"/>
  <c r="U1291" i="1"/>
  <c r="R1291" i="1"/>
  <c r="P1291" i="1"/>
  <c r="K1291" i="1"/>
  <c r="Z1290" i="1"/>
  <c r="W1290" i="1"/>
  <c r="V1290" i="1"/>
  <c r="U1290" i="1"/>
  <c r="R1290" i="1"/>
  <c r="P1290" i="1"/>
  <c r="K1290" i="1"/>
  <c r="Z1289" i="1"/>
  <c r="W1289" i="1"/>
  <c r="V1289" i="1"/>
  <c r="U1289" i="1"/>
  <c r="R1289" i="1"/>
  <c r="P1289" i="1"/>
  <c r="K1289" i="1"/>
  <c r="Z1288" i="1"/>
  <c r="W1288" i="1"/>
  <c r="V1288" i="1"/>
  <c r="U1288" i="1"/>
  <c r="R1288" i="1"/>
  <c r="P1288" i="1"/>
  <c r="K1288" i="1"/>
  <c r="Z1287" i="1"/>
  <c r="W1287" i="1"/>
  <c r="V1287" i="1"/>
  <c r="U1287" i="1"/>
  <c r="R1287" i="1"/>
  <c r="P1287" i="1"/>
  <c r="K1287" i="1"/>
  <c r="Z1286" i="1"/>
  <c r="W1286" i="1"/>
  <c r="V1286" i="1"/>
  <c r="U1286" i="1"/>
  <c r="R1286" i="1"/>
  <c r="P1286" i="1"/>
  <c r="K1286" i="1"/>
  <c r="Z1285" i="1"/>
  <c r="W1285" i="1"/>
  <c r="V1285" i="1"/>
  <c r="U1285" i="1"/>
  <c r="R1285" i="1"/>
  <c r="P1285" i="1"/>
  <c r="K1285" i="1"/>
  <c r="Z1284" i="1"/>
  <c r="W1284" i="1"/>
  <c r="V1284" i="1"/>
  <c r="U1284" i="1"/>
  <c r="R1284" i="1"/>
  <c r="P1284" i="1"/>
  <c r="K1284" i="1"/>
  <c r="Z1283" i="1"/>
  <c r="W1283" i="1"/>
  <c r="V1283" i="1"/>
  <c r="U1283" i="1"/>
  <c r="R1283" i="1"/>
  <c r="P1283" i="1"/>
  <c r="K1283" i="1"/>
  <c r="Z1282" i="1"/>
  <c r="W1282" i="1"/>
  <c r="V1282" i="1"/>
  <c r="U1282" i="1"/>
  <c r="R1282" i="1"/>
  <c r="P1282" i="1"/>
  <c r="K1282" i="1"/>
  <c r="Z1281" i="1"/>
  <c r="W1281" i="1"/>
  <c r="V1281" i="1"/>
  <c r="U1281" i="1"/>
  <c r="R1281" i="1"/>
  <c r="P1281" i="1"/>
  <c r="K1281" i="1"/>
  <c r="Z1280" i="1"/>
  <c r="W1280" i="1"/>
  <c r="V1280" i="1"/>
  <c r="U1280" i="1"/>
  <c r="R1280" i="1"/>
  <c r="P1280" i="1"/>
  <c r="K1280" i="1"/>
  <c r="Z1279" i="1"/>
  <c r="W1279" i="1"/>
  <c r="V1279" i="1"/>
  <c r="U1279" i="1"/>
  <c r="R1279" i="1"/>
  <c r="P1279" i="1"/>
  <c r="K1279" i="1"/>
  <c r="Z1278" i="1"/>
  <c r="W1278" i="1"/>
  <c r="V1278" i="1"/>
  <c r="U1278" i="1"/>
  <c r="R1278" i="1"/>
  <c r="P1278" i="1"/>
  <c r="K1278" i="1"/>
  <c r="Z1277" i="1"/>
  <c r="W1277" i="1"/>
  <c r="V1277" i="1"/>
  <c r="U1277" i="1"/>
  <c r="R1277" i="1"/>
  <c r="P1277" i="1"/>
  <c r="K1277" i="1"/>
  <c r="Z1276" i="1"/>
  <c r="W1276" i="1"/>
  <c r="V1276" i="1"/>
  <c r="U1276" i="1"/>
  <c r="R1276" i="1"/>
  <c r="P1276" i="1"/>
  <c r="K1276" i="1"/>
  <c r="Z1275" i="1"/>
  <c r="W1275" i="1"/>
  <c r="V1275" i="1"/>
  <c r="U1275" i="1"/>
  <c r="R1275" i="1"/>
  <c r="P1275" i="1"/>
  <c r="K1275" i="1"/>
  <c r="Z1274" i="1"/>
  <c r="W1274" i="1"/>
  <c r="V1274" i="1"/>
  <c r="U1274" i="1"/>
  <c r="R1274" i="1"/>
  <c r="P1274" i="1"/>
  <c r="K1274" i="1"/>
  <c r="Z1273" i="1"/>
  <c r="W1273" i="1"/>
  <c r="V1273" i="1"/>
  <c r="U1273" i="1"/>
  <c r="R1273" i="1"/>
  <c r="P1273" i="1"/>
  <c r="K1273" i="1"/>
  <c r="Z1272" i="1"/>
  <c r="W1272" i="1"/>
  <c r="V1272" i="1"/>
  <c r="U1272" i="1"/>
  <c r="R1272" i="1"/>
  <c r="P1272" i="1"/>
  <c r="K1272" i="1"/>
  <c r="Z1271" i="1"/>
  <c r="W1271" i="1"/>
  <c r="V1271" i="1"/>
  <c r="U1271" i="1"/>
  <c r="R1271" i="1"/>
  <c r="P1271" i="1"/>
  <c r="K1271" i="1"/>
  <c r="Z1270" i="1"/>
  <c r="W1270" i="1"/>
  <c r="V1270" i="1"/>
  <c r="U1270" i="1"/>
  <c r="R1270" i="1"/>
  <c r="P1270" i="1"/>
  <c r="K1270" i="1"/>
  <c r="Z1269" i="1"/>
  <c r="W1269" i="1"/>
  <c r="V1269" i="1"/>
  <c r="U1269" i="1"/>
  <c r="R1269" i="1"/>
  <c r="P1269" i="1"/>
  <c r="K1269" i="1"/>
  <c r="Z1268" i="1"/>
  <c r="W1268" i="1"/>
  <c r="V1268" i="1"/>
  <c r="U1268" i="1"/>
  <c r="R1268" i="1"/>
  <c r="P1268" i="1"/>
  <c r="K1268" i="1"/>
  <c r="Z1267" i="1"/>
  <c r="W1267" i="1"/>
  <c r="V1267" i="1"/>
  <c r="U1267" i="1"/>
  <c r="R1267" i="1"/>
  <c r="P1267" i="1"/>
  <c r="K1267" i="1"/>
  <c r="Z1266" i="1"/>
  <c r="W1266" i="1"/>
  <c r="V1266" i="1"/>
  <c r="U1266" i="1"/>
  <c r="R1266" i="1"/>
  <c r="P1266" i="1"/>
  <c r="K1266" i="1"/>
  <c r="Z1265" i="1"/>
  <c r="W1265" i="1"/>
  <c r="V1265" i="1"/>
  <c r="U1265" i="1"/>
  <c r="R1265" i="1"/>
  <c r="P1265" i="1"/>
  <c r="K1265" i="1"/>
  <c r="Z1264" i="1"/>
  <c r="W1264" i="1"/>
  <c r="V1264" i="1"/>
  <c r="U1264" i="1"/>
  <c r="R1264" i="1"/>
  <c r="P1264" i="1"/>
  <c r="K1264" i="1"/>
  <c r="Z1263" i="1"/>
  <c r="W1263" i="1"/>
  <c r="V1263" i="1"/>
  <c r="U1263" i="1"/>
  <c r="R1263" i="1"/>
  <c r="P1263" i="1"/>
  <c r="K1263" i="1"/>
  <c r="Z1262" i="1"/>
  <c r="W1262" i="1"/>
  <c r="V1262" i="1"/>
  <c r="U1262" i="1"/>
  <c r="R1262" i="1"/>
  <c r="P1262" i="1"/>
  <c r="K1262" i="1"/>
  <c r="Z1261" i="1"/>
  <c r="W1261" i="1"/>
  <c r="V1261" i="1"/>
  <c r="U1261" i="1"/>
  <c r="R1261" i="1"/>
  <c r="P1261" i="1"/>
  <c r="K1261" i="1"/>
  <c r="Z1260" i="1"/>
  <c r="W1260" i="1"/>
  <c r="V1260" i="1"/>
  <c r="U1260" i="1"/>
  <c r="R1260" i="1"/>
  <c r="P1260" i="1"/>
  <c r="K1260" i="1"/>
  <c r="Z1259" i="1"/>
  <c r="W1259" i="1"/>
  <c r="V1259" i="1"/>
  <c r="U1259" i="1"/>
  <c r="R1259" i="1"/>
  <c r="P1259" i="1"/>
  <c r="K1259" i="1"/>
  <c r="Z1258" i="1"/>
  <c r="W1258" i="1"/>
  <c r="V1258" i="1"/>
  <c r="U1258" i="1"/>
  <c r="R1258" i="1"/>
  <c r="P1258" i="1"/>
  <c r="K1258" i="1"/>
  <c r="Z1257" i="1"/>
  <c r="W1257" i="1"/>
  <c r="V1257" i="1"/>
  <c r="U1257" i="1"/>
  <c r="R1257" i="1"/>
  <c r="P1257" i="1"/>
  <c r="K1257" i="1"/>
  <c r="Z1256" i="1"/>
  <c r="W1256" i="1"/>
  <c r="V1256" i="1"/>
  <c r="U1256" i="1"/>
  <c r="R1256" i="1"/>
  <c r="P1256" i="1"/>
  <c r="K1256" i="1"/>
  <c r="Z1255" i="1"/>
  <c r="W1255" i="1"/>
  <c r="V1255" i="1"/>
  <c r="U1255" i="1"/>
  <c r="R1255" i="1"/>
  <c r="P1255" i="1"/>
  <c r="K1255" i="1"/>
  <c r="Z1254" i="1"/>
  <c r="W1254" i="1"/>
  <c r="V1254" i="1"/>
  <c r="U1254" i="1"/>
  <c r="R1254" i="1"/>
  <c r="P1254" i="1"/>
  <c r="K1254" i="1"/>
  <c r="Z1253" i="1"/>
  <c r="W1253" i="1"/>
  <c r="V1253" i="1"/>
  <c r="U1253" i="1"/>
  <c r="R1253" i="1"/>
  <c r="P1253" i="1"/>
  <c r="K1253" i="1"/>
  <c r="Z1252" i="1"/>
  <c r="W1252" i="1"/>
  <c r="V1252" i="1"/>
  <c r="U1252" i="1"/>
  <c r="R1252" i="1"/>
  <c r="P1252" i="1"/>
  <c r="K1252" i="1"/>
  <c r="Z1251" i="1"/>
  <c r="W1251" i="1"/>
  <c r="V1251" i="1"/>
  <c r="U1251" i="1"/>
  <c r="R1251" i="1"/>
  <c r="P1251" i="1"/>
  <c r="K1251" i="1"/>
  <c r="Z1250" i="1"/>
  <c r="W1250" i="1"/>
  <c r="V1250" i="1"/>
  <c r="U1250" i="1"/>
  <c r="R1250" i="1"/>
  <c r="P1250" i="1"/>
  <c r="K1250" i="1"/>
  <c r="Z1249" i="1"/>
  <c r="W1249" i="1"/>
  <c r="V1249" i="1"/>
  <c r="U1249" i="1"/>
  <c r="R1249" i="1"/>
  <c r="P1249" i="1"/>
  <c r="K1249" i="1"/>
  <c r="Z1248" i="1"/>
  <c r="W1248" i="1"/>
  <c r="V1248" i="1"/>
  <c r="U1248" i="1"/>
  <c r="R1248" i="1"/>
  <c r="P1248" i="1"/>
  <c r="K1248" i="1"/>
  <c r="Z1247" i="1"/>
  <c r="W1247" i="1"/>
  <c r="V1247" i="1"/>
  <c r="U1247" i="1"/>
  <c r="R1247" i="1"/>
  <c r="P1247" i="1"/>
  <c r="K1247" i="1"/>
  <c r="Z1246" i="1"/>
  <c r="W1246" i="1"/>
  <c r="V1246" i="1"/>
  <c r="U1246" i="1"/>
  <c r="R1246" i="1"/>
  <c r="P1246" i="1"/>
  <c r="K1246" i="1"/>
  <c r="Z1245" i="1"/>
  <c r="W1245" i="1"/>
  <c r="V1245" i="1"/>
  <c r="U1245" i="1"/>
  <c r="R1245" i="1"/>
  <c r="P1245" i="1"/>
  <c r="K1245" i="1"/>
  <c r="Z1244" i="1"/>
  <c r="W1244" i="1"/>
  <c r="V1244" i="1"/>
  <c r="U1244" i="1"/>
  <c r="R1244" i="1"/>
  <c r="P1244" i="1"/>
  <c r="K1244" i="1"/>
  <c r="Z1243" i="1"/>
  <c r="W1243" i="1"/>
  <c r="V1243" i="1"/>
  <c r="U1243" i="1"/>
  <c r="R1243" i="1"/>
  <c r="P1243" i="1"/>
  <c r="K1243" i="1"/>
  <c r="Z1242" i="1"/>
  <c r="W1242" i="1"/>
  <c r="V1242" i="1"/>
  <c r="U1242" i="1"/>
  <c r="R1242" i="1"/>
  <c r="P1242" i="1"/>
  <c r="K1242" i="1"/>
  <c r="Z1241" i="1"/>
  <c r="W1241" i="1"/>
  <c r="V1241" i="1"/>
  <c r="U1241" i="1"/>
  <c r="R1241" i="1"/>
  <c r="P1241" i="1"/>
  <c r="K1241" i="1"/>
  <c r="Z1240" i="1"/>
  <c r="W1240" i="1"/>
  <c r="V1240" i="1"/>
  <c r="U1240" i="1"/>
  <c r="R1240" i="1"/>
  <c r="P1240" i="1"/>
  <c r="K1240" i="1"/>
  <c r="Z1239" i="1"/>
  <c r="W1239" i="1"/>
  <c r="V1239" i="1"/>
  <c r="U1239" i="1"/>
  <c r="R1239" i="1"/>
  <c r="P1239" i="1"/>
  <c r="K1239" i="1"/>
  <c r="Z1238" i="1"/>
  <c r="W1238" i="1"/>
  <c r="V1238" i="1"/>
  <c r="U1238" i="1"/>
  <c r="R1238" i="1"/>
  <c r="P1238" i="1"/>
  <c r="K1238" i="1"/>
  <c r="Z1237" i="1"/>
  <c r="W1237" i="1"/>
  <c r="V1237" i="1"/>
  <c r="U1237" i="1"/>
  <c r="R1237" i="1"/>
  <c r="P1237" i="1"/>
  <c r="K1237" i="1"/>
  <c r="Z1236" i="1"/>
  <c r="W1236" i="1"/>
  <c r="V1236" i="1"/>
  <c r="U1236" i="1"/>
  <c r="R1236" i="1"/>
  <c r="P1236" i="1"/>
  <c r="K1236" i="1"/>
  <c r="Z1235" i="1"/>
  <c r="W1235" i="1"/>
  <c r="V1235" i="1"/>
  <c r="U1235" i="1"/>
  <c r="R1235" i="1"/>
  <c r="P1235" i="1"/>
  <c r="K1235" i="1"/>
  <c r="Z1234" i="1"/>
  <c r="W1234" i="1"/>
  <c r="V1234" i="1"/>
  <c r="U1234" i="1"/>
  <c r="R1234" i="1"/>
  <c r="P1234" i="1"/>
  <c r="K1234" i="1"/>
  <c r="Z1233" i="1"/>
  <c r="W1233" i="1"/>
  <c r="V1233" i="1"/>
  <c r="U1233" i="1"/>
  <c r="R1233" i="1"/>
  <c r="P1233" i="1"/>
  <c r="K1233" i="1"/>
  <c r="Z1232" i="1"/>
  <c r="W1232" i="1"/>
  <c r="V1232" i="1"/>
  <c r="U1232" i="1"/>
  <c r="R1232" i="1"/>
  <c r="P1232" i="1"/>
  <c r="K1232" i="1"/>
  <c r="Z1231" i="1"/>
  <c r="W1231" i="1"/>
  <c r="V1231" i="1"/>
  <c r="U1231" i="1"/>
  <c r="R1231" i="1"/>
  <c r="P1231" i="1"/>
  <c r="K1231" i="1"/>
  <c r="Z1230" i="1"/>
  <c r="W1230" i="1"/>
  <c r="V1230" i="1"/>
  <c r="U1230" i="1"/>
  <c r="R1230" i="1"/>
  <c r="P1230" i="1"/>
  <c r="K1230" i="1"/>
  <c r="Z1229" i="1"/>
  <c r="W1229" i="1"/>
  <c r="V1229" i="1"/>
  <c r="U1229" i="1"/>
  <c r="R1229" i="1"/>
  <c r="P1229" i="1"/>
  <c r="K1229" i="1"/>
  <c r="Z1228" i="1"/>
  <c r="W1228" i="1"/>
  <c r="V1228" i="1"/>
  <c r="U1228" i="1"/>
  <c r="R1228" i="1"/>
  <c r="P1228" i="1"/>
  <c r="K1228" i="1"/>
  <c r="Z1227" i="1"/>
  <c r="W1227" i="1"/>
  <c r="V1227" i="1"/>
  <c r="U1227" i="1"/>
  <c r="R1227" i="1"/>
  <c r="P1227" i="1"/>
  <c r="K1227" i="1"/>
  <c r="Z1226" i="1"/>
  <c r="W1226" i="1"/>
  <c r="V1226" i="1"/>
  <c r="U1226" i="1"/>
  <c r="R1226" i="1"/>
  <c r="P1226" i="1"/>
  <c r="K1226" i="1"/>
  <c r="Z1225" i="1"/>
  <c r="W1225" i="1"/>
  <c r="V1225" i="1"/>
  <c r="U1225" i="1"/>
  <c r="R1225" i="1"/>
  <c r="P1225" i="1"/>
  <c r="K1225" i="1"/>
  <c r="Z1224" i="1"/>
  <c r="W1224" i="1"/>
  <c r="V1224" i="1"/>
  <c r="U1224" i="1"/>
  <c r="R1224" i="1"/>
  <c r="P1224" i="1"/>
  <c r="K1224" i="1"/>
  <c r="Z1223" i="1"/>
  <c r="W1223" i="1"/>
  <c r="V1223" i="1"/>
  <c r="U1223" i="1"/>
  <c r="R1223" i="1"/>
  <c r="P1223" i="1"/>
  <c r="K1223" i="1"/>
  <c r="Z1222" i="1"/>
  <c r="W1222" i="1"/>
  <c r="V1222" i="1"/>
  <c r="U1222" i="1"/>
  <c r="R1222" i="1"/>
  <c r="P1222" i="1"/>
  <c r="K1222" i="1"/>
  <c r="Z1221" i="1"/>
  <c r="W1221" i="1"/>
  <c r="V1221" i="1"/>
  <c r="U1221" i="1"/>
  <c r="R1221" i="1"/>
  <c r="P1221" i="1"/>
  <c r="K1221" i="1"/>
  <c r="Z1220" i="1"/>
  <c r="W1220" i="1"/>
  <c r="V1220" i="1"/>
  <c r="U1220" i="1"/>
  <c r="R1220" i="1"/>
  <c r="P1220" i="1"/>
  <c r="K1220" i="1"/>
  <c r="Z1219" i="1"/>
  <c r="W1219" i="1"/>
  <c r="V1219" i="1"/>
  <c r="U1219" i="1"/>
  <c r="R1219" i="1"/>
  <c r="P1219" i="1"/>
  <c r="K1219" i="1"/>
  <c r="Z1218" i="1"/>
  <c r="W1218" i="1"/>
  <c r="V1218" i="1"/>
  <c r="U1218" i="1"/>
  <c r="R1218" i="1"/>
  <c r="P1218" i="1"/>
  <c r="K1218" i="1"/>
  <c r="Z1217" i="1"/>
  <c r="W1217" i="1"/>
  <c r="V1217" i="1"/>
  <c r="U1217" i="1"/>
  <c r="R1217" i="1"/>
  <c r="P1217" i="1"/>
  <c r="K1217" i="1"/>
  <c r="Z1216" i="1"/>
  <c r="W1216" i="1"/>
  <c r="V1216" i="1"/>
  <c r="U1216" i="1"/>
  <c r="R1216" i="1"/>
  <c r="P1216" i="1"/>
  <c r="K1216" i="1"/>
  <c r="Z1215" i="1"/>
  <c r="W1215" i="1"/>
  <c r="V1215" i="1"/>
  <c r="U1215" i="1"/>
  <c r="R1215" i="1"/>
  <c r="P1215" i="1"/>
  <c r="K1215" i="1"/>
  <c r="Z1214" i="1"/>
  <c r="W1214" i="1"/>
  <c r="V1214" i="1"/>
  <c r="U1214" i="1"/>
  <c r="R1214" i="1"/>
  <c r="P1214" i="1"/>
  <c r="K1214" i="1"/>
  <c r="Z1213" i="1"/>
  <c r="W1213" i="1"/>
  <c r="V1213" i="1"/>
  <c r="U1213" i="1"/>
  <c r="R1213" i="1"/>
  <c r="P1213" i="1"/>
  <c r="K1213" i="1"/>
  <c r="Z1212" i="1"/>
  <c r="W1212" i="1"/>
  <c r="V1212" i="1"/>
  <c r="U1212" i="1"/>
  <c r="R1212" i="1"/>
  <c r="P1212" i="1"/>
  <c r="K1212" i="1"/>
  <c r="Z1211" i="1"/>
  <c r="W1211" i="1"/>
  <c r="V1211" i="1"/>
  <c r="U1211" i="1"/>
  <c r="R1211" i="1"/>
  <c r="P1211" i="1"/>
  <c r="K1211" i="1"/>
  <c r="Z1210" i="1"/>
  <c r="W1210" i="1"/>
  <c r="V1210" i="1"/>
  <c r="U1210" i="1"/>
  <c r="R1210" i="1"/>
  <c r="P1210" i="1"/>
  <c r="K1210" i="1"/>
  <c r="Z1209" i="1"/>
  <c r="W1209" i="1"/>
  <c r="V1209" i="1"/>
  <c r="U1209" i="1"/>
  <c r="R1209" i="1"/>
  <c r="P1209" i="1"/>
  <c r="K1209" i="1"/>
  <c r="Z1208" i="1"/>
  <c r="W1208" i="1"/>
  <c r="V1208" i="1"/>
  <c r="U1208" i="1"/>
  <c r="R1208" i="1"/>
  <c r="P1208" i="1"/>
  <c r="K1208" i="1"/>
  <c r="Z1207" i="1"/>
  <c r="W1207" i="1"/>
  <c r="V1207" i="1"/>
  <c r="U1207" i="1"/>
  <c r="R1207" i="1"/>
  <c r="P1207" i="1"/>
  <c r="K1207" i="1"/>
  <c r="Z1206" i="1"/>
  <c r="W1206" i="1"/>
  <c r="V1206" i="1"/>
  <c r="U1206" i="1"/>
  <c r="R1206" i="1"/>
  <c r="P1206" i="1"/>
  <c r="K1206" i="1"/>
  <c r="Z1205" i="1"/>
  <c r="W1205" i="1"/>
  <c r="V1205" i="1"/>
  <c r="U1205" i="1"/>
  <c r="R1205" i="1"/>
  <c r="P1205" i="1"/>
  <c r="K1205" i="1"/>
  <c r="Z1204" i="1"/>
  <c r="W1204" i="1"/>
  <c r="V1204" i="1"/>
  <c r="U1204" i="1"/>
  <c r="R1204" i="1"/>
  <c r="P1204" i="1"/>
  <c r="K1204" i="1"/>
  <c r="Z1203" i="1"/>
  <c r="W1203" i="1"/>
  <c r="V1203" i="1"/>
  <c r="U1203" i="1"/>
  <c r="R1203" i="1"/>
  <c r="P1203" i="1"/>
  <c r="K1203" i="1"/>
  <c r="Z1202" i="1"/>
  <c r="W1202" i="1"/>
  <c r="V1202" i="1"/>
  <c r="U1202" i="1"/>
  <c r="R1202" i="1"/>
  <c r="P1202" i="1"/>
  <c r="K1202" i="1"/>
  <c r="Z1201" i="1"/>
  <c r="W1201" i="1"/>
  <c r="V1201" i="1"/>
  <c r="U1201" i="1"/>
  <c r="R1201" i="1"/>
  <c r="P1201" i="1"/>
  <c r="K1201" i="1"/>
  <c r="Z1200" i="1"/>
  <c r="W1200" i="1"/>
  <c r="V1200" i="1"/>
  <c r="U1200" i="1"/>
  <c r="R1200" i="1"/>
  <c r="P1200" i="1"/>
  <c r="K1200" i="1"/>
  <c r="Z1199" i="1"/>
  <c r="W1199" i="1"/>
  <c r="V1199" i="1"/>
  <c r="U1199" i="1"/>
  <c r="R1199" i="1"/>
  <c r="P1199" i="1"/>
  <c r="K1199" i="1"/>
  <c r="Z1198" i="1"/>
  <c r="W1198" i="1"/>
  <c r="V1198" i="1"/>
  <c r="U1198" i="1"/>
  <c r="R1198" i="1"/>
  <c r="P1198" i="1"/>
  <c r="K1198" i="1"/>
  <c r="Z1197" i="1"/>
  <c r="W1197" i="1"/>
  <c r="V1197" i="1"/>
  <c r="U1197" i="1"/>
  <c r="R1197" i="1"/>
  <c r="P1197" i="1"/>
  <c r="K1197" i="1"/>
  <c r="Z1196" i="1"/>
  <c r="W1196" i="1"/>
  <c r="V1196" i="1"/>
  <c r="U1196" i="1"/>
  <c r="R1196" i="1"/>
  <c r="P1196" i="1"/>
  <c r="K1196" i="1"/>
  <c r="Z1195" i="1"/>
  <c r="W1195" i="1"/>
  <c r="V1195" i="1"/>
  <c r="U1195" i="1"/>
  <c r="R1195" i="1"/>
  <c r="P1195" i="1"/>
  <c r="K1195" i="1"/>
  <c r="Z1194" i="1"/>
  <c r="W1194" i="1"/>
  <c r="V1194" i="1"/>
  <c r="U1194" i="1"/>
  <c r="R1194" i="1"/>
  <c r="P1194" i="1"/>
  <c r="K1194" i="1"/>
  <c r="Z1193" i="1"/>
  <c r="W1193" i="1"/>
  <c r="V1193" i="1"/>
  <c r="U1193" i="1"/>
  <c r="R1193" i="1"/>
  <c r="P1193" i="1"/>
  <c r="K1193" i="1"/>
  <c r="Z1192" i="1"/>
  <c r="W1192" i="1"/>
  <c r="V1192" i="1"/>
  <c r="U1192" i="1"/>
  <c r="R1192" i="1"/>
  <c r="P1192" i="1"/>
  <c r="K1192" i="1"/>
  <c r="Z1191" i="1"/>
  <c r="W1191" i="1"/>
  <c r="V1191" i="1"/>
  <c r="U1191" i="1"/>
  <c r="R1191" i="1"/>
  <c r="P1191" i="1"/>
  <c r="K1191" i="1"/>
  <c r="Z1190" i="1"/>
  <c r="W1190" i="1"/>
  <c r="V1190" i="1"/>
  <c r="U1190" i="1"/>
  <c r="R1190" i="1"/>
  <c r="P1190" i="1"/>
  <c r="K1190" i="1"/>
  <c r="Z1189" i="1"/>
  <c r="W1189" i="1"/>
  <c r="V1189" i="1"/>
  <c r="U1189" i="1"/>
  <c r="R1189" i="1"/>
  <c r="P1189" i="1"/>
  <c r="K1189" i="1"/>
  <c r="Z1188" i="1"/>
  <c r="W1188" i="1"/>
  <c r="V1188" i="1"/>
  <c r="U1188" i="1"/>
  <c r="R1188" i="1"/>
  <c r="P1188" i="1"/>
  <c r="K1188" i="1"/>
  <c r="Z1187" i="1"/>
  <c r="W1187" i="1"/>
  <c r="V1187" i="1"/>
  <c r="U1187" i="1"/>
  <c r="R1187" i="1"/>
  <c r="P1187" i="1"/>
  <c r="K1187" i="1"/>
  <c r="Z1186" i="1"/>
  <c r="W1186" i="1"/>
  <c r="V1186" i="1"/>
  <c r="U1186" i="1"/>
  <c r="R1186" i="1"/>
  <c r="P1186" i="1"/>
  <c r="K1186" i="1"/>
  <c r="Z1185" i="1"/>
  <c r="W1185" i="1"/>
  <c r="V1185" i="1"/>
  <c r="U1185" i="1"/>
  <c r="R1185" i="1"/>
  <c r="P1185" i="1"/>
  <c r="K1185" i="1"/>
  <c r="Z1184" i="1"/>
  <c r="W1184" i="1"/>
  <c r="V1184" i="1"/>
  <c r="U1184" i="1"/>
  <c r="R1184" i="1"/>
  <c r="P1184" i="1"/>
  <c r="K1184" i="1"/>
  <c r="Z1183" i="1"/>
  <c r="W1183" i="1"/>
  <c r="V1183" i="1"/>
  <c r="U1183" i="1"/>
  <c r="R1183" i="1"/>
  <c r="P1183" i="1"/>
  <c r="K1183" i="1"/>
  <c r="Z1182" i="1"/>
  <c r="W1182" i="1"/>
  <c r="V1182" i="1"/>
  <c r="U1182" i="1"/>
  <c r="R1182" i="1"/>
  <c r="P1182" i="1"/>
  <c r="K1182" i="1"/>
  <c r="Z1181" i="1"/>
  <c r="W1181" i="1"/>
  <c r="V1181" i="1"/>
  <c r="U1181" i="1"/>
  <c r="R1181" i="1"/>
  <c r="P1181" i="1"/>
  <c r="K1181" i="1"/>
  <c r="Z1180" i="1"/>
  <c r="W1180" i="1"/>
  <c r="V1180" i="1"/>
  <c r="U1180" i="1"/>
  <c r="R1180" i="1"/>
  <c r="P1180" i="1"/>
  <c r="K1180" i="1"/>
  <c r="Z1179" i="1"/>
  <c r="W1179" i="1"/>
  <c r="V1179" i="1"/>
  <c r="U1179" i="1"/>
  <c r="R1179" i="1"/>
  <c r="P1179" i="1"/>
  <c r="K1179" i="1"/>
  <c r="Z1178" i="1"/>
  <c r="W1178" i="1"/>
  <c r="V1178" i="1"/>
  <c r="U1178" i="1"/>
  <c r="R1178" i="1"/>
  <c r="P1178" i="1"/>
  <c r="K1178" i="1"/>
  <c r="Z1177" i="1"/>
  <c r="W1177" i="1"/>
  <c r="V1177" i="1"/>
  <c r="U1177" i="1"/>
  <c r="R1177" i="1"/>
  <c r="P1177" i="1"/>
  <c r="K1177" i="1"/>
  <c r="Z1176" i="1"/>
  <c r="W1176" i="1"/>
  <c r="V1176" i="1"/>
  <c r="U1176" i="1"/>
  <c r="R1176" i="1"/>
  <c r="P1176" i="1"/>
  <c r="K1176" i="1"/>
  <c r="Z1175" i="1"/>
  <c r="W1175" i="1"/>
  <c r="V1175" i="1"/>
  <c r="U1175" i="1"/>
  <c r="R1175" i="1"/>
  <c r="P1175" i="1"/>
  <c r="K1175" i="1"/>
  <c r="Z1174" i="1"/>
  <c r="W1174" i="1"/>
  <c r="V1174" i="1"/>
  <c r="U1174" i="1"/>
  <c r="R1174" i="1"/>
  <c r="P1174" i="1"/>
  <c r="K1174" i="1"/>
  <c r="Z1173" i="1"/>
  <c r="W1173" i="1"/>
  <c r="V1173" i="1"/>
  <c r="U1173" i="1"/>
  <c r="R1173" i="1"/>
  <c r="P1173" i="1"/>
  <c r="K1173" i="1"/>
  <c r="Z1172" i="1"/>
  <c r="W1172" i="1"/>
  <c r="V1172" i="1"/>
  <c r="U1172" i="1"/>
  <c r="R1172" i="1"/>
  <c r="P1172" i="1"/>
  <c r="K1172" i="1"/>
  <c r="Z1171" i="1"/>
  <c r="W1171" i="1"/>
  <c r="V1171" i="1"/>
  <c r="U1171" i="1"/>
  <c r="R1171" i="1"/>
  <c r="P1171" i="1"/>
  <c r="K1171" i="1"/>
  <c r="Z1170" i="1"/>
  <c r="W1170" i="1"/>
  <c r="V1170" i="1"/>
  <c r="U1170" i="1"/>
  <c r="R1170" i="1"/>
  <c r="P1170" i="1"/>
  <c r="K1170" i="1"/>
  <c r="Z1169" i="1"/>
  <c r="W1169" i="1"/>
  <c r="V1169" i="1"/>
  <c r="U1169" i="1"/>
  <c r="R1169" i="1"/>
  <c r="P1169" i="1"/>
  <c r="K1169" i="1"/>
  <c r="Z1168" i="1"/>
  <c r="W1168" i="1"/>
  <c r="V1168" i="1"/>
  <c r="U1168" i="1"/>
  <c r="R1168" i="1"/>
  <c r="P1168" i="1"/>
  <c r="K1168" i="1"/>
  <c r="Z1167" i="1"/>
  <c r="W1167" i="1"/>
  <c r="V1167" i="1"/>
  <c r="U1167" i="1"/>
  <c r="R1167" i="1"/>
  <c r="P1167" i="1"/>
  <c r="K1167" i="1"/>
  <c r="Z1166" i="1"/>
  <c r="W1166" i="1"/>
  <c r="V1166" i="1"/>
  <c r="U1166" i="1"/>
  <c r="R1166" i="1"/>
  <c r="P1166" i="1"/>
  <c r="K1166" i="1"/>
  <c r="Z1165" i="1"/>
  <c r="W1165" i="1"/>
  <c r="V1165" i="1"/>
  <c r="U1165" i="1"/>
  <c r="R1165" i="1"/>
  <c r="P1165" i="1"/>
  <c r="K1165" i="1"/>
  <c r="Z1164" i="1"/>
  <c r="W1164" i="1"/>
  <c r="V1164" i="1"/>
  <c r="U1164" i="1"/>
  <c r="R1164" i="1"/>
  <c r="P1164" i="1"/>
  <c r="K1164" i="1"/>
  <c r="Z1163" i="1"/>
  <c r="W1163" i="1"/>
  <c r="V1163" i="1"/>
  <c r="U1163" i="1"/>
  <c r="R1163" i="1"/>
  <c r="P1163" i="1"/>
  <c r="K1163" i="1"/>
  <c r="Z1162" i="1"/>
  <c r="W1162" i="1"/>
  <c r="V1162" i="1"/>
  <c r="U1162" i="1"/>
  <c r="R1162" i="1"/>
  <c r="P1162" i="1"/>
  <c r="K1162" i="1"/>
  <c r="Z1161" i="1"/>
  <c r="W1161" i="1"/>
  <c r="V1161" i="1"/>
  <c r="U1161" i="1"/>
  <c r="R1161" i="1"/>
  <c r="P1161" i="1"/>
  <c r="K1161" i="1"/>
  <c r="Z1160" i="1"/>
  <c r="W1160" i="1"/>
  <c r="V1160" i="1"/>
  <c r="U1160" i="1"/>
  <c r="R1160" i="1"/>
  <c r="P1160" i="1"/>
  <c r="K1160" i="1"/>
  <c r="Z1159" i="1"/>
  <c r="W1159" i="1"/>
  <c r="V1159" i="1"/>
  <c r="U1159" i="1"/>
  <c r="R1159" i="1"/>
  <c r="P1159" i="1"/>
  <c r="K1159" i="1"/>
  <c r="Z1158" i="1"/>
  <c r="W1158" i="1"/>
  <c r="V1158" i="1"/>
  <c r="U1158" i="1"/>
  <c r="R1158" i="1"/>
  <c r="P1158" i="1"/>
  <c r="K1158" i="1"/>
  <c r="Z1157" i="1"/>
  <c r="W1157" i="1"/>
  <c r="V1157" i="1"/>
  <c r="U1157" i="1"/>
  <c r="R1157" i="1"/>
  <c r="P1157" i="1"/>
  <c r="K1157" i="1"/>
  <c r="Z1156" i="1"/>
  <c r="W1156" i="1"/>
  <c r="V1156" i="1"/>
  <c r="U1156" i="1"/>
  <c r="R1156" i="1"/>
  <c r="P1156" i="1"/>
  <c r="K1156" i="1"/>
  <c r="Z1155" i="1"/>
  <c r="W1155" i="1"/>
  <c r="V1155" i="1"/>
  <c r="U1155" i="1"/>
  <c r="R1155" i="1"/>
  <c r="P1155" i="1"/>
  <c r="K1155" i="1"/>
  <c r="Z1154" i="1"/>
  <c r="W1154" i="1"/>
  <c r="V1154" i="1"/>
  <c r="U1154" i="1"/>
  <c r="R1154" i="1"/>
  <c r="P1154" i="1"/>
  <c r="K1154" i="1"/>
  <c r="Z1153" i="1"/>
  <c r="W1153" i="1"/>
  <c r="V1153" i="1"/>
  <c r="U1153" i="1"/>
  <c r="R1153" i="1"/>
  <c r="P1153" i="1"/>
  <c r="K1153" i="1"/>
  <c r="Z1152" i="1"/>
  <c r="W1152" i="1"/>
  <c r="V1152" i="1"/>
  <c r="U1152" i="1"/>
  <c r="R1152" i="1"/>
  <c r="P1152" i="1"/>
  <c r="K1152" i="1"/>
  <c r="Z1151" i="1"/>
  <c r="W1151" i="1"/>
  <c r="V1151" i="1"/>
  <c r="U1151" i="1"/>
  <c r="R1151" i="1"/>
  <c r="P1151" i="1"/>
  <c r="K1151" i="1"/>
  <c r="Z1150" i="1"/>
  <c r="W1150" i="1"/>
  <c r="V1150" i="1"/>
  <c r="U1150" i="1"/>
  <c r="R1150" i="1"/>
  <c r="P1150" i="1"/>
  <c r="K1150" i="1"/>
  <c r="Z1149" i="1"/>
  <c r="W1149" i="1"/>
  <c r="V1149" i="1"/>
  <c r="U1149" i="1"/>
  <c r="R1149" i="1"/>
  <c r="P1149" i="1"/>
  <c r="K1149" i="1"/>
  <c r="Z1148" i="1"/>
  <c r="W1148" i="1"/>
  <c r="V1148" i="1"/>
  <c r="U1148" i="1"/>
  <c r="R1148" i="1"/>
  <c r="P1148" i="1"/>
  <c r="K1148" i="1"/>
  <c r="Z1147" i="1"/>
  <c r="W1147" i="1"/>
  <c r="V1147" i="1"/>
  <c r="U1147" i="1"/>
  <c r="R1147" i="1"/>
  <c r="P1147" i="1"/>
  <c r="K1147" i="1"/>
  <c r="Z1146" i="1"/>
  <c r="W1146" i="1"/>
  <c r="V1146" i="1"/>
  <c r="U1146" i="1"/>
  <c r="R1146" i="1"/>
  <c r="P1146" i="1"/>
  <c r="K1146" i="1"/>
  <c r="Z1145" i="1"/>
  <c r="W1145" i="1"/>
  <c r="V1145" i="1"/>
  <c r="U1145" i="1"/>
  <c r="R1145" i="1"/>
  <c r="P1145" i="1"/>
  <c r="K1145" i="1"/>
  <c r="Z1144" i="1"/>
  <c r="W1144" i="1"/>
  <c r="V1144" i="1"/>
  <c r="U1144" i="1"/>
  <c r="R1144" i="1"/>
  <c r="P1144" i="1"/>
  <c r="K1144" i="1"/>
  <c r="Z1143" i="1"/>
  <c r="W1143" i="1"/>
  <c r="V1143" i="1"/>
  <c r="U1143" i="1"/>
  <c r="R1143" i="1"/>
  <c r="P1143" i="1"/>
  <c r="K1143" i="1"/>
  <c r="Z1142" i="1"/>
  <c r="W1142" i="1"/>
  <c r="V1142" i="1"/>
  <c r="U1142" i="1"/>
  <c r="R1142" i="1"/>
  <c r="P1142" i="1"/>
  <c r="K1142" i="1"/>
  <c r="Z1141" i="1"/>
  <c r="W1141" i="1"/>
  <c r="V1141" i="1"/>
  <c r="U1141" i="1"/>
  <c r="R1141" i="1"/>
  <c r="P1141" i="1"/>
  <c r="K1141" i="1"/>
  <c r="Z1140" i="1"/>
  <c r="W1140" i="1"/>
  <c r="V1140" i="1"/>
  <c r="U1140" i="1"/>
  <c r="R1140" i="1"/>
  <c r="P1140" i="1"/>
  <c r="K1140" i="1"/>
  <c r="Z1139" i="1"/>
  <c r="W1139" i="1"/>
  <c r="V1139" i="1"/>
  <c r="U1139" i="1"/>
  <c r="R1139" i="1"/>
  <c r="P1139" i="1"/>
  <c r="K1139" i="1"/>
  <c r="Z1138" i="1"/>
  <c r="W1138" i="1"/>
  <c r="V1138" i="1"/>
  <c r="U1138" i="1"/>
  <c r="R1138" i="1"/>
  <c r="P1138" i="1"/>
  <c r="K1138" i="1"/>
  <c r="Z1137" i="1"/>
  <c r="W1137" i="1"/>
  <c r="V1137" i="1"/>
  <c r="U1137" i="1"/>
  <c r="R1137" i="1"/>
  <c r="P1137" i="1"/>
  <c r="K1137" i="1"/>
  <c r="Z1136" i="1"/>
  <c r="W1136" i="1"/>
  <c r="V1136" i="1"/>
  <c r="U1136" i="1"/>
  <c r="R1136" i="1"/>
  <c r="P1136" i="1"/>
  <c r="K1136" i="1"/>
  <c r="Z1135" i="1"/>
  <c r="W1135" i="1"/>
  <c r="V1135" i="1"/>
  <c r="U1135" i="1"/>
  <c r="R1135" i="1"/>
  <c r="P1135" i="1"/>
  <c r="K1135" i="1"/>
  <c r="Z1134" i="1"/>
  <c r="W1134" i="1"/>
  <c r="V1134" i="1"/>
  <c r="U1134" i="1"/>
  <c r="R1134" i="1"/>
  <c r="P1134" i="1"/>
  <c r="K1134" i="1"/>
  <c r="Z1133" i="1"/>
  <c r="W1133" i="1"/>
  <c r="V1133" i="1"/>
  <c r="U1133" i="1"/>
  <c r="R1133" i="1"/>
  <c r="P1133" i="1"/>
  <c r="K1133" i="1"/>
  <c r="Z1132" i="1"/>
  <c r="W1132" i="1"/>
  <c r="V1132" i="1"/>
  <c r="U1132" i="1"/>
  <c r="R1132" i="1"/>
  <c r="P1132" i="1"/>
  <c r="K1132" i="1"/>
  <c r="Z1131" i="1"/>
  <c r="W1131" i="1"/>
  <c r="V1131" i="1"/>
  <c r="U1131" i="1"/>
  <c r="R1131" i="1"/>
  <c r="P1131" i="1"/>
  <c r="K1131" i="1"/>
  <c r="Z1130" i="1"/>
  <c r="W1130" i="1"/>
  <c r="V1130" i="1"/>
  <c r="U1130" i="1"/>
  <c r="R1130" i="1"/>
  <c r="P1130" i="1"/>
  <c r="K1130" i="1"/>
  <c r="Z1129" i="1"/>
  <c r="W1129" i="1"/>
  <c r="V1129" i="1"/>
  <c r="U1129" i="1"/>
  <c r="R1129" i="1"/>
  <c r="P1129" i="1"/>
  <c r="K1129" i="1"/>
  <c r="Z1128" i="1"/>
  <c r="W1128" i="1"/>
  <c r="V1128" i="1"/>
  <c r="U1128" i="1"/>
  <c r="R1128" i="1"/>
  <c r="P1128" i="1"/>
  <c r="K1128" i="1"/>
  <c r="Z1127" i="1"/>
  <c r="W1127" i="1"/>
  <c r="V1127" i="1"/>
  <c r="U1127" i="1"/>
  <c r="R1127" i="1"/>
  <c r="P1127" i="1"/>
  <c r="K1127" i="1"/>
  <c r="Z1126" i="1"/>
  <c r="W1126" i="1"/>
  <c r="V1126" i="1"/>
  <c r="U1126" i="1"/>
  <c r="R1126" i="1"/>
  <c r="P1126" i="1"/>
  <c r="K1126" i="1"/>
  <c r="Z1125" i="1"/>
  <c r="W1125" i="1"/>
  <c r="V1125" i="1"/>
  <c r="U1125" i="1"/>
  <c r="R1125" i="1"/>
  <c r="P1125" i="1"/>
  <c r="K1125" i="1"/>
  <c r="Z1124" i="1"/>
  <c r="W1124" i="1"/>
  <c r="V1124" i="1"/>
  <c r="U1124" i="1"/>
  <c r="R1124" i="1"/>
  <c r="P1124" i="1"/>
  <c r="K1124" i="1"/>
  <c r="Z1123" i="1"/>
  <c r="W1123" i="1"/>
  <c r="V1123" i="1"/>
  <c r="U1123" i="1"/>
  <c r="R1123" i="1"/>
  <c r="P1123" i="1"/>
  <c r="K1123" i="1"/>
  <c r="Z1122" i="1"/>
  <c r="W1122" i="1"/>
  <c r="V1122" i="1"/>
  <c r="U1122" i="1"/>
  <c r="R1122" i="1"/>
  <c r="P1122" i="1"/>
  <c r="K1122" i="1"/>
  <c r="Z1121" i="1"/>
  <c r="W1121" i="1"/>
  <c r="V1121" i="1"/>
  <c r="U1121" i="1"/>
  <c r="R1121" i="1"/>
  <c r="P1121" i="1"/>
  <c r="K1121" i="1"/>
  <c r="Z1120" i="1"/>
  <c r="W1120" i="1"/>
  <c r="V1120" i="1"/>
  <c r="U1120" i="1"/>
  <c r="R1120" i="1"/>
  <c r="P1120" i="1"/>
  <c r="K1120" i="1"/>
  <c r="Z1119" i="1"/>
  <c r="W1119" i="1"/>
  <c r="V1119" i="1"/>
  <c r="U1119" i="1"/>
  <c r="R1119" i="1"/>
  <c r="P1119" i="1"/>
  <c r="K1119" i="1"/>
  <c r="Z1118" i="1"/>
  <c r="W1118" i="1"/>
  <c r="V1118" i="1"/>
  <c r="U1118" i="1"/>
  <c r="R1118" i="1"/>
  <c r="P1118" i="1"/>
  <c r="K1118" i="1"/>
  <c r="Z1117" i="1"/>
  <c r="W1117" i="1"/>
  <c r="V1117" i="1"/>
  <c r="U1117" i="1"/>
  <c r="R1117" i="1"/>
  <c r="P1117" i="1"/>
  <c r="K1117" i="1"/>
  <c r="Z1116" i="1"/>
  <c r="W1116" i="1"/>
  <c r="V1116" i="1"/>
  <c r="U1116" i="1"/>
  <c r="R1116" i="1"/>
  <c r="P1116" i="1"/>
  <c r="K1116" i="1"/>
  <c r="Z1115" i="1"/>
  <c r="W1115" i="1"/>
  <c r="V1115" i="1"/>
  <c r="U1115" i="1"/>
  <c r="R1115" i="1"/>
  <c r="P1115" i="1"/>
  <c r="K1115" i="1"/>
  <c r="Z1114" i="1"/>
  <c r="W1114" i="1"/>
  <c r="V1114" i="1"/>
  <c r="U1114" i="1"/>
  <c r="R1114" i="1"/>
  <c r="P1114" i="1"/>
  <c r="K1114" i="1"/>
  <c r="Z1113" i="1"/>
  <c r="W1113" i="1"/>
  <c r="V1113" i="1"/>
  <c r="U1113" i="1"/>
  <c r="R1113" i="1"/>
  <c r="P1113" i="1"/>
  <c r="K1113" i="1"/>
  <c r="Z1112" i="1"/>
  <c r="W1112" i="1"/>
  <c r="V1112" i="1"/>
  <c r="U1112" i="1"/>
  <c r="R1112" i="1"/>
  <c r="P1112" i="1"/>
  <c r="K1112" i="1"/>
  <c r="Z1111" i="1"/>
  <c r="W1111" i="1"/>
  <c r="V1111" i="1"/>
  <c r="U1111" i="1"/>
  <c r="R1111" i="1"/>
  <c r="P1111" i="1"/>
  <c r="K1111" i="1"/>
  <c r="Z1110" i="1"/>
  <c r="W1110" i="1"/>
  <c r="V1110" i="1"/>
  <c r="U1110" i="1"/>
  <c r="R1110" i="1"/>
  <c r="P1110" i="1"/>
  <c r="K1110" i="1"/>
  <c r="Z1109" i="1"/>
  <c r="W1109" i="1"/>
  <c r="V1109" i="1"/>
  <c r="U1109" i="1"/>
  <c r="R1109" i="1"/>
  <c r="P1109" i="1"/>
  <c r="K1109" i="1"/>
  <c r="Z1108" i="1"/>
  <c r="W1108" i="1"/>
  <c r="V1108" i="1"/>
  <c r="U1108" i="1"/>
  <c r="R1108" i="1"/>
  <c r="P1108" i="1"/>
  <c r="K1108" i="1"/>
  <c r="Z1107" i="1"/>
  <c r="W1107" i="1"/>
  <c r="V1107" i="1"/>
  <c r="U1107" i="1"/>
  <c r="R1107" i="1"/>
  <c r="P1107" i="1"/>
  <c r="K1107" i="1"/>
  <c r="Z1106" i="1"/>
  <c r="W1106" i="1"/>
  <c r="V1106" i="1"/>
  <c r="U1106" i="1"/>
  <c r="R1106" i="1"/>
  <c r="P1106" i="1"/>
  <c r="K1106" i="1"/>
  <c r="Z1105" i="1"/>
  <c r="W1105" i="1"/>
  <c r="V1105" i="1"/>
  <c r="U1105" i="1"/>
  <c r="R1105" i="1"/>
  <c r="P1105" i="1"/>
  <c r="K1105" i="1"/>
  <c r="Z1104" i="1"/>
  <c r="W1104" i="1"/>
  <c r="V1104" i="1"/>
  <c r="U1104" i="1"/>
  <c r="R1104" i="1"/>
  <c r="P1104" i="1"/>
  <c r="K1104" i="1"/>
  <c r="Z1103" i="1"/>
  <c r="W1103" i="1"/>
  <c r="V1103" i="1"/>
  <c r="U1103" i="1"/>
  <c r="R1103" i="1"/>
  <c r="P1103" i="1"/>
  <c r="K1103" i="1"/>
  <c r="Z1102" i="1"/>
  <c r="W1102" i="1"/>
  <c r="V1102" i="1"/>
  <c r="U1102" i="1"/>
  <c r="R1102" i="1"/>
  <c r="P1102" i="1"/>
  <c r="K1102" i="1"/>
  <c r="Z1101" i="1"/>
  <c r="W1101" i="1"/>
  <c r="V1101" i="1"/>
  <c r="U1101" i="1"/>
  <c r="R1101" i="1"/>
  <c r="P1101" i="1"/>
  <c r="K1101" i="1"/>
  <c r="Z1100" i="1"/>
  <c r="W1100" i="1"/>
  <c r="V1100" i="1"/>
  <c r="U1100" i="1"/>
  <c r="R1100" i="1"/>
  <c r="P1100" i="1"/>
  <c r="K1100" i="1"/>
  <c r="Z1099" i="1"/>
  <c r="W1099" i="1"/>
  <c r="V1099" i="1"/>
  <c r="U1099" i="1"/>
  <c r="R1099" i="1"/>
  <c r="P1099" i="1"/>
  <c r="K1099" i="1"/>
  <c r="Z1098" i="1"/>
  <c r="W1098" i="1"/>
  <c r="V1098" i="1"/>
  <c r="U1098" i="1"/>
  <c r="R1098" i="1"/>
  <c r="P1098" i="1"/>
  <c r="K1098" i="1"/>
  <c r="Z1097" i="1"/>
  <c r="W1097" i="1"/>
  <c r="V1097" i="1"/>
  <c r="U1097" i="1"/>
  <c r="R1097" i="1"/>
  <c r="P1097" i="1"/>
  <c r="K1097" i="1"/>
  <c r="Z1096" i="1"/>
  <c r="W1096" i="1"/>
  <c r="V1096" i="1"/>
  <c r="U1096" i="1"/>
  <c r="R1096" i="1"/>
  <c r="P1096" i="1"/>
  <c r="K1096" i="1"/>
  <c r="Z1095" i="1"/>
  <c r="W1095" i="1"/>
  <c r="V1095" i="1"/>
  <c r="U1095" i="1"/>
  <c r="R1095" i="1"/>
  <c r="P1095" i="1"/>
  <c r="K1095" i="1"/>
  <c r="Z1094" i="1"/>
  <c r="W1094" i="1"/>
  <c r="V1094" i="1"/>
  <c r="U1094" i="1"/>
  <c r="R1094" i="1"/>
  <c r="P1094" i="1"/>
  <c r="K1094" i="1"/>
  <c r="Z1093" i="1"/>
  <c r="W1093" i="1"/>
  <c r="V1093" i="1"/>
  <c r="U1093" i="1"/>
  <c r="R1093" i="1"/>
  <c r="P1093" i="1"/>
  <c r="K1093" i="1"/>
  <c r="Z1092" i="1"/>
  <c r="W1092" i="1"/>
  <c r="V1092" i="1"/>
  <c r="U1092" i="1"/>
  <c r="R1092" i="1"/>
  <c r="P1092" i="1"/>
  <c r="K1092" i="1"/>
  <c r="Z1091" i="1"/>
  <c r="W1091" i="1"/>
  <c r="V1091" i="1"/>
  <c r="U1091" i="1"/>
  <c r="R1091" i="1"/>
  <c r="P1091" i="1"/>
  <c r="K1091" i="1"/>
  <c r="Z1090" i="1"/>
  <c r="W1090" i="1"/>
  <c r="V1090" i="1"/>
  <c r="U1090" i="1"/>
  <c r="R1090" i="1"/>
  <c r="P1090" i="1"/>
  <c r="K1090" i="1"/>
  <c r="Z1089" i="1"/>
  <c r="W1089" i="1"/>
  <c r="V1089" i="1"/>
  <c r="U1089" i="1"/>
  <c r="R1089" i="1"/>
  <c r="P1089" i="1"/>
  <c r="K1089" i="1"/>
  <c r="Z1088" i="1"/>
  <c r="W1088" i="1"/>
  <c r="V1088" i="1"/>
  <c r="U1088" i="1"/>
  <c r="R1088" i="1"/>
  <c r="P1088" i="1"/>
  <c r="K1088" i="1"/>
  <c r="Z1087" i="1"/>
  <c r="W1087" i="1"/>
  <c r="V1087" i="1"/>
  <c r="U1087" i="1"/>
  <c r="R1087" i="1"/>
  <c r="P1087" i="1"/>
  <c r="K1087" i="1"/>
  <c r="Z1086" i="1"/>
  <c r="W1086" i="1"/>
  <c r="V1086" i="1"/>
  <c r="U1086" i="1"/>
  <c r="R1086" i="1"/>
  <c r="P1086" i="1"/>
  <c r="K1086" i="1"/>
  <c r="Z1085" i="1"/>
  <c r="W1085" i="1"/>
  <c r="V1085" i="1"/>
  <c r="U1085" i="1"/>
  <c r="R1085" i="1"/>
  <c r="P1085" i="1"/>
  <c r="K1085" i="1"/>
  <c r="Z1084" i="1"/>
  <c r="W1084" i="1"/>
  <c r="V1084" i="1"/>
  <c r="U1084" i="1"/>
  <c r="R1084" i="1"/>
  <c r="P1084" i="1"/>
  <c r="K1084" i="1"/>
  <c r="Z1083" i="1"/>
  <c r="W1083" i="1"/>
  <c r="V1083" i="1"/>
  <c r="U1083" i="1"/>
  <c r="R1083" i="1"/>
  <c r="P1083" i="1"/>
  <c r="K1083" i="1"/>
  <c r="Z1082" i="1"/>
  <c r="W1082" i="1"/>
  <c r="V1082" i="1"/>
  <c r="U1082" i="1"/>
  <c r="R1082" i="1"/>
  <c r="P1082" i="1"/>
  <c r="K1082" i="1"/>
  <c r="Z1081" i="1"/>
  <c r="W1081" i="1"/>
  <c r="V1081" i="1"/>
  <c r="U1081" i="1"/>
  <c r="R1081" i="1"/>
  <c r="P1081" i="1"/>
  <c r="K1081" i="1"/>
  <c r="Z1080" i="1"/>
  <c r="W1080" i="1"/>
  <c r="V1080" i="1"/>
  <c r="U1080" i="1"/>
  <c r="R1080" i="1"/>
  <c r="P1080" i="1"/>
  <c r="K1080" i="1"/>
  <c r="Z1079" i="1"/>
  <c r="W1079" i="1"/>
  <c r="V1079" i="1"/>
  <c r="U1079" i="1"/>
  <c r="R1079" i="1"/>
  <c r="P1079" i="1"/>
  <c r="K1079" i="1"/>
  <c r="Z1078" i="1"/>
  <c r="W1078" i="1"/>
  <c r="V1078" i="1"/>
  <c r="U1078" i="1"/>
  <c r="R1078" i="1"/>
  <c r="P1078" i="1"/>
  <c r="K1078" i="1"/>
  <c r="Z1077" i="1"/>
  <c r="W1077" i="1"/>
  <c r="V1077" i="1"/>
  <c r="U1077" i="1"/>
  <c r="R1077" i="1"/>
  <c r="P1077" i="1"/>
  <c r="K1077" i="1"/>
  <c r="Z1076" i="1"/>
  <c r="W1076" i="1"/>
  <c r="V1076" i="1"/>
  <c r="U1076" i="1"/>
  <c r="R1076" i="1"/>
  <c r="P1076" i="1"/>
  <c r="K1076" i="1"/>
  <c r="Z1075" i="1"/>
  <c r="W1075" i="1"/>
  <c r="V1075" i="1"/>
  <c r="U1075" i="1"/>
  <c r="R1075" i="1"/>
  <c r="P1075" i="1"/>
  <c r="K1075" i="1"/>
  <c r="Z1074" i="1"/>
  <c r="W1074" i="1"/>
  <c r="V1074" i="1"/>
  <c r="U1074" i="1"/>
  <c r="R1074" i="1"/>
  <c r="P1074" i="1"/>
  <c r="K1074" i="1"/>
  <c r="Z1073" i="1"/>
  <c r="W1073" i="1"/>
  <c r="V1073" i="1"/>
  <c r="U1073" i="1"/>
  <c r="R1073" i="1"/>
  <c r="P1073" i="1"/>
  <c r="K1073" i="1"/>
  <c r="Z1072" i="1"/>
  <c r="W1072" i="1"/>
  <c r="V1072" i="1"/>
  <c r="U1072" i="1"/>
  <c r="R1072" i="1"/>
  <c r="P1072" i="1"/>
  <c r="K1072" i="1"/>
  <c r="Z1071" i="1"/>
  <c r="W1071" i="1"/>
  <c r="V1071" i="1"/>
  <c r="U1071" i="1"/>
  <c r="R1071" i="1"/>
  <c r="P1071" i="1"/>
  <c r="K1071" i="1"/>
  <c r="Z1070" i="1"/>
  <c r="W1070" i="1"/>
  <c r="V1070" i="1"/>
  <c r="U1070" i="1"/>
  <c r="R1070" i="1"/>
  <c r="P1070" i="1"/>
  <c r="K1070" i="1"/>
  <c r="Z1069" i="1"/>
  <c r="W1069" i="1"/>
  <c r="V1069" i="1"/>
  <c r="U1069" i="1"/>
  <c r="R1069" i="1"/>
  <c r="P1069" i="1"/>
  <c r="K1069" i="1"/>
  <c r="Z1068" i="1"/>
  <c r="W1068" i="1"/>
  <c r="V1068" i="1"/>
  <c r="U1068" i="1"/>
  <c r="R1068" i="1"/>
  <c r="P1068" i="1"/>
  <c r="K1068" i="1"/>
  <c r="Z1067" i="1"/>
  <c r="W1067" i="1"/>
  <c r="V1067" i="1"/>
  <c r="U1067" i="1"/>
  <c r="R1067" i="1"/>
  <c r="P1067" i="1"/>
  <c r="K1067" i="1"/>
  <c r="Z1066" i="1"/>
  <c r="W1066" i="1"/>
  <c r="V1066" i="1"/>
  <c r="U1066" i="1"/>
  <c r="R1066" i="1"/>
  <c r="P1066" i="1"/>
  <c r="K1066" i="1"/>
  <c r="Z1065" i="1"/>
  <c r="W1065" i="1"/>
  <c r="V1065" i="1"/>
  <c r="U1065" i="1"/>
  <c r="R1065" i="1"/>
  <c r="P1065" i="1"/>
  <c r="K1065" i="1"/>
  <c r="Z1064" i="1"/>
  <c r="W1064" i="1"/>
  <c r="V1064" i="1"/>
  <c r="U1064" i="1"/>
  <c r="R1064" i="1"/>
  <c r="P1064" i="1"/>
  <c r="K1064" i="1"/>
  <c r="Z1063" i="1"/>
  <c r="W1063" i="1"/>
  <c r="V1063" i="1"/>
  <c r="U1063" i="1"/>
  <c r="R1063" i="1"/>
  <c r="P1063" i="1"/>
  <c r="K1063" i="1"/>
  <c r="Z1062" i="1"/>
  <c r="W1062" i="1"/>
  <c r="V1062" i="1"/>
  <c r="U1062" i="1"/>
  <c r="R1062" i="1"/>
  <c r="P1062" i="1"/>
  <c r="K1062" i="1"/>
  <c r="Z1061" i="1"/>
  <c r="W1061" i="1"/>
  <c r="V1061" i="1"/>
  <c r="U1061" i="1"/>
  <c r="R1061" i="1"/>
  <c r="P1061" i="1"/>
  <c r="K1061" i="1"/>
  <c r="Z1060" i="1"/>
  <c r="W1060" i="1"/>
  <c r="V1060" i="1"/>
  <c r="U1060" i="1"/>
  <c r="R1060" i="1"/>
  <c r="P1060" i="1"/>
  <c r="K1060" i="1"/>
  <c r="Z1059" i="1"/>
  <c r="W1059" i="1"/>
  <c r="V1059" i="1"/>
  <c r="U1059" i="1"/>
  <c r="R1059" i="1"/>
  <c r="P1059" i="1"/>
  <c r="K1059" i="1"/>
  <c r="Z1058" i="1"/>
  <c r="W1058" i="1"/>
  <c r="V1058" i="1"/>
  <c r="U1058" i="1"/>
  <c r="R1058" i="1"/>
  <c r="P1058" i="1"/>
  <c r="K1058" i="1"/>
  <c r="Z1057" i="1"/>
  <c r="W1057" i="1"/>
  <c r="V1057" i="1"/>
  <c r="U1057" i="1"/>
  <c r="R1057" i="1"/>
  <c r="P1057" i="1"/>
  <c r="K1057" i="1"/>
  <c r="Z1056" i="1"/>
  <c r="W1056" i="1"/>
  <c r="V1056" i="1"/>
  <c r="U1056" i="1"/>
  <c r="R1056" i="1"/>
  <c r="P1056" i="1"/>
  <c r="K1056" i="1"/>
  <c r="Z1055" i="1"/>
  <c r="W1055" i="1"/>
  <c r="V1055" i="1"/>
  <c r="U1055" i="1"/>
  <c r="R1055" i="1"/>
  <c r="P1055" i="1"/>
  <c r="K1055" i="1"/>
  <c r="Z1054" i="1"/>
  <c r="W1054" i="1"/>
  <c r="V1054" i="1"/>
  <c r="U1054" i="1"/>
  <c r="R1054" i="1"/>
  <c r="P1054" i="1"/>
  <c r="K1054" i="1"/>
  <c r="Z1053" i="1"/>
  <c r="W1053" i="1"/>
  <c r="V1053" i="1"/>
  <c r="U1053" i="1"/>
  <c r="R1053" i="1"/>
  <c r="P1053" i="1"/>
  <c r="K1053" i="1"/>
  <c r="Z1052" i="1"/>
  <c r="W1052" i="1"/>
  <c r="V1052" i="1"/>
  <c r="U1052" i="1"/>
  <c r="R1052" i="1"/>
  <c r="P1052" i="1"/>
  <c r="K1052" i="1"/>
  <c r="Z1051" i="1"/>
  <c r="W1051" i="1"/>
  <c r="V1051" i="1"/>
  <c r="U1051" i="1"/>
  <c r="R1051" i="1"/>
  <c r="P1051" i="1"/>
  <c r="K1051" i="1"/>
  <c r="Z1050" i="1"/>
  <c r="W1050" i="1"/>
  <c r="V1050" i="1"/>
  <c r="U1050" i="1"/>
  <c r="R1050" i="1"/>
  <c r="P1050" i="1"/>
  <c r="K1050" i="1"/>
  <c r="Z1049" i="1"/>
  <c r="W1049" i="1"/>
  <c r="V1049" i="1"/>
  <c r="U1049" i="1"/>
  <c r="R1049" i="1"/>
  <c r="P1049" i="1"/>
  <c r="K1049" i="1"/>
  <c r="Z1048" i="1"/>
  <c r="W1048" i="1"/>
  <c r="V1048" i="1"/>
  <c r="U1048" i="1"/>
  <c r="R1048" i="1"/>
  <c r="P1048" i="1"/>
  <c r="K1048" i="1"/>
  <c r="Z1047" i="1"/>
  <c r="W1047" i="1"/>
  <c r="V1047" i="1"/>
  <c r="U1047" i="1"/>
  <c r="R1047" i="1"/>
  <c r="P1047" i="1"/>
  <c r="K1047" i="1"/>
  <c r="Z1046" i="1"/>
  <c r="W1046" i="1"/>
  <c r="V1046" i="1"/>
  <c r="U1046" i="1"/>
  <c r="R1046" i="1"/>
  <c r="P1046" i="1"/>
  <c r="K1046" i="1"/>
  <c r="Z1045" i="1"/>
  <c r="W1045" i="1"/>
  <c r="V1045" i="1"/>
  <c r="U1045" i="1"/>
  <c r="R1045" i="1"/>
  <c r="P1045" i="1"/>
  <c r="K1045" i="1"/>
  <c r="Z1044" i="1"/>
  <c r="W1044" i="1"/>
  <c r="V1044" i="1"/>
  <c r="U1044" i="1"/>
  <c r="R1044" i="1"/>
  <c r="P1044" i="1"/>
  <c r="K1044" i="1"/>
  <c r="Z1043" i="1"/>
  <c r="W1043" i="1"/>
  <c r="V1043" i="1"/>
  <c r="U1043" i="1"/>
  <c r="R1043" i="1"/>
  <c r="P1043" i="1"/>
  <c r="K1043" i="1"/>
  <c r="Z1042" i="1"/>
  <c r="W1042" i="1"/>
  <c r="V1042" i="1"/>
  <c r="U1042" i="1"/>
  <c r="R1042" i="1"/>
  <c r="P1042" i="1"/>
  <c r="K1042" i="1"/>
  <c r="Z1041" i="1"/>
  <c r="W1041" i="1"/>
  <c r="V1041" i="1"/>
  <c r="U1041" i="1"/>
  <c r="R1041" i="1"/>
  <c r="P1041" i="1"/>
  <c r="K1041" i="1"/>
  <c r="Z1040" i="1"/>
  <c r="W1040" i="1"/>
  <c r="V1040" i="1"/>
  <c r="U1040" i="1"/>
  <c r="R1040" i="1"/>
  <c r="P1040" i="1"/>
  <c r="K1040" i="1"/>
  <c r="Z1039" i="1"/>
  <c r="W1039" i="1"/>
  <c r="V1039" i="1"/>
  <c r="U1039" i="1"/>
  <c r="R1039" i="1"/>
  <c r="P1039" i="1"/>
  <c r="K1039" i="1"/>
  <c r="Z1038" i="1"/>
  <c r="W1038" i="1"/>
  <c r="V1038" i="1"/>
  <c r="U1038" i="1"/>
  <c r="R1038" i="1"/>
  <c r="P1038" i="1"/>
  <c r="K1038" i="1"/>
  <c r="Z1037" i="1"/>
  <c r="W1037" i="1"/>
  <c r="V1037" i="1"/>
  <c r="U1037" i="1"/>
  <c r="R1037" i="1"/>
  <c r="P1037" i="1"/>
  <c r="K1037" i="1"/>
  <c r="Z1036" i="1"/>
  <c r="W1036" i="1"/>
  <c r="V1036" i="1"/>
  <c r="U1036" i="1"/>
  <c r="R1036" i="1"/>
  <c r="P1036" i="1"/>
  <c r="K1036" i="1"/>
  <c r="Z1035" i="1"/>
  <c r="W1035" i="1"/>
  <c r="V1035" i="1"/>
  <c r="U1035" i="1"/>
  <c r="R1035" i="1"/>
  <c r="P1035" i="1"/>
  <c r="K1035" i="1"/>
  <c r="Z1034" i="1"/>
  <c r="W1034" i="1"/>
  <c r="V1034" i="1"/>
  <c r="U1034" i="1"/>
  <c r="R1034" i="1"/>
  <c r="P1034" i="1"/>
  <c r="K1034" i="1"/>
  <c r="Z1033" i="1"/>
  <c r="W1033" i="1"/>
  <c r="V1033" i="1"/>
  <c r="U1033" i="1"/>
  <c r="R1033" i="1"/>
  <c r="P1033" i="1"/>
  <c r="K1033" i="1"/>
  <c r="Z1032" i="1"/>
  <c r="W1032" i="1"/>
  <c r="V1032" i="1"/>
  <c r="U1032" i="1"/>
  <c r="R1032" i="1"/>
  <c r="P1032" i="1"/>
  <c r="K1032" i="1"/>
  <c r="Z1031" i="1"/>
  <c r="W1031" i="1"/>
  <c r="V1031" i="1"/>
  <c r="U1031" i="1"/>
  <c r="R1031" i="1"/>
  <c r="P1031" i="1"/>
  <c r="K1031" i="1"/>
  <c r="Z1030" i="1"/>
  <c r="W1030" i="1"/>
  <c r="V1030" i="1"/>
  <c r="U1030" i="1"/>
  <c r="R1030" i="1"/>
  <c r="P1030" i="1"/>
  <c r="K1030" i="1"/>
  <c r="Z1029" i="1"/>
  <c r="W1029" i="1"/>
  <c r="V1029" i="1"/>
  <c r="U1029" i="1"/>
  <c r="R1029" i="1"/>
  <c r="P1029" i="1"/>
  <c r="K1029" i="1"/>
  <c r="Z1028" i="1"/>
  <c r="W1028" i="1"/>
  <c r="V1028" i="1"/>
  <c r="U1028" i="1"/>
  <c r="R1028" i="1"/>
  <c r="P1028" i="1"/>
  <c r="K1028" i="1"/>
  <c r="Z1027" i="1"/>
  <c r="W1027" i="1"/>
  <c r="V1027" i="1"/>
  <c r="U1027" i="1"/>
  <c r="R1027" i="1"/>
  <c r="P1027" i="1"/>
  <c r="K1027" i="1"/>
  <c r="Z1026" i="1"/>
  <c r="W1026" i="1"/>
  <c r="V1026" i="1"/>
  <c r="U1026" i="1"/>
  <c r="R1026" i="1"/>
  <c r="P1026" i="1"/>
  <c r="K1026" i="1"/>
  <c r="Z1025" i="1"/>
  <c r="W1025" i="1"/>
  <c r="V1025" i="1"/>
  <c r="U1025" i="1"/>
  <c r="R1025" i="1"/>
  <c r="P1025" i="1"/>
  <c r="K1025" i="1"/>
  <c r="Z1024" i="1"/>
  <c r="W1024" i="1"/>
  <c r="V1024" i="1"/>
  <c r="U1024" i="1"/>
  <c r="R1024" i="1"/>
  <c r="P1024" i="1"/>
  <c r="K1024" i="1"/>
  <c r="Z1023" i="1"/>
  <c r="W1023" i="1"/>
  <c r="V1023" i="1"/>
  <c r="U1023" i="1"/>
  <c r="R1023" i="1"/>
  <c r="P1023" i="1"/>
  <c r="K1023" i="1"/>
  <c r="Z1022" i="1"/>
  <c r="W1022" i="1"/>
  <c r="V1022" i="1"/>
  <c r="U1022" i="1"/>
  <c r="R1022" i="1"/>
  <c r="P1022" i="1"/>
  <c r="K1022" i="1"/>
  <c r="Z1021" i="1"/>
  <c r="W1021" i="1"/>
  <c r="V1021" i="1"/>
  <c r="U1021" i="1"/>
  <c r="R1021" i="1"/>
  <c r="P1021" i="1"/>
  <c r="K1021" i="1"/>
  <c r="Z1020" i="1"/>
  <c r="W1020" i="1"/>
  <c r="V1020" i="1"/>
  <c r="U1020" i="1"/>
  <c r="R1020" i="1"/>
  <c r="P1020" i="1"/>
  <c r="K1020" i="1"/>
  <c r="Z1019" i="1"/>
  <c r="W1019" i="1"/>
  <c r="V1019" i="1"/>
  <c r="U1019" i="1"/>
  <c r="R1019" i="1"/>
  <c r="P1019" i="1"/>
  <c r="K1019" i="1"/>
  <c r="Z1018" i="1"/>
  <c r="W1018" i="1"/>
  <c r="V1018" i="1"/>
  <c r="U1018" i="1"/>
  <c r="R1018" i="1"/>
  <c r="P1018" i="1"/>
  <c r="K1018" i="1"/>
  <c r="Z1017" i="1"/>
  <c r="W1017" i="1"/>
  <c r="V1017" i="1"/>
  <c r="U1017" i="1"/>
  <c r="R1017" i="1"/>
  <c r="P1017" i="1"/>
  <c r="K1017" i="1"/>
  <c r="Z1016" i="1"/>
  <c r="W1016" i="1"/>
  <c r="V1016" i="1"/>
  <c r="U1016" i="1"/>
  <c r="R1016" i="1"/>
  <c r="P1016" i="1"/>
  <c r="K1016" i="1"/>
  <c r="Z1015" i="1"/>
  <c r="W1015" i="1"/>
  <c r="V1015" i="1"/>
  <c r="U1015" i="1"/>
  <c r="R1015" i="1"/>
  <c r="P1015" i="1"/>
  <c r="K1015" i="1"/>
  <c r="Z1014" i="1"/>
  <c r="W1014" i="1"/>
  <c r="V1014" i="1"/>
  <c r="U1014" i="1"/>
  <c r="R1014" i="1"/>
  <c r="P1014" i="1"/>
  <c r="K1014" i="1"/>
  <c r="Z1013" i="1"/>
  <c r="W1013" i="1"/>
  <c r="V1013" i="1"/>
  <c r="U1013" i="1"/>
  <c r="R1013" i="1"/>
  <c r="P1013" i="1"/>
  <c r="K1013" i="1"/>
  <c r="Z1012" i="1"/>
  <c r="W1012" i="1"/>
  <c r="V1012" i="1"/>
  <c r="U1012" i="1"/>
  <c r="R1012" i="1"/>
  <c r="P1012" i="1"/>
  <c r="K1012" i="1"/>
  <c r="Z1011" i="1"/>
  <c r="W1011" i="1"/>
  <c r="V1011" i="1"/>
  <c r="U1011" i="1"/>
  <c r="R1011" i="1"/>
  <c r="P1011" i="1"/>
  <c r="K1011" i="1"/>
  <c r="Z1010" i="1"/>
  <c r="W1010" i="1"/>
  <c r="V1010" i="1"/>
  <c r="U1010" i="1"/>
  <c r="R1010" i="1"/>
  <c r="P1010" i="1"/>
  <c r="K1010" i="1"/>
  <c r="Z1009" i="1"/>
  <c r="W1009" i="1"/>
  <c r="V1009" i="1"/>
  <c r="U1009" i="1"/>
  <c r="R1009" i="1"/>
  <c r="P1009" i="1"/>
  <c r="K1009" i="1"/>
  <c r="Z1008" i="1"/>
  <c r="W1008" i="1"/>
  <c r="V1008" i="1"/>
  <c r="U1008" i="1"/>
  <c r="R1008" i="1"/>
  <c r="P1008" i="1"/>
  <c r="K1008" i="1"/>
  <c r="Z1007" i="1"/>
  <c r="W1007" i="1"/>
  <c r="V1007" i="1"/>
  <c r="U1007" i="1"/>
  <c r="R1007" i="1"/>
  <c r="P1007" i="1"/>
  <c r="K1007" i="1"/>
  <c r="Z1006" i="1"/>
  <c r="W1006" i="1"/>
  <c r="V1006" i="1"/>
  <c r="U1006" i="1"/>
  <c r="R1006" i="1"/>
  <c r="P1006" i="1"/>
  <c r="K1006" i="1"/>
  <c r="Z1005" i="1"/>
  <c r="W1005" i="1"/>
  <c r="V1005" i="1"/>
  <c r="U1005" i="1"/>
  <c r="R1005" i="1"/>
  <c r="P1005" i="1"/>
  <c r="K1005" i="1"/>
  <c r="Z1004" i="1"/>
  <c r="W1004" i="1"/>
  <c r="V1004" i="1"/>
  <c r="U1004" i="1"/>
  <c r="R1004" i="1"/>
  <c r="P1004" i="1"/>
  <c r="K1004" i="1"/>
  <c r="Z1003" i="1"/>
  <c r="W1003" i="1"/>
  <c r="V1003" i="1"/>
  <c r="U1003" i="1"/>
  <c r="R1003" i="1"/>
  <c r="P1003" i="1"/>
  <c r="K1003" i="1"/>
  <c r="Z1002" i="1"/>
  <c r="W1002" i="1"/>
  <c r="V1002" i="1"/>
  <c r="U1002" i="1"/>
  <c r="R1002" i="1"/>
  <c r="P1002" i="1"/>
  <c r="K1002" i="1"/>
  <c r="Z1001" i="1"/>
  <c r="W1001" i="1"/>
  <c r="V1001" i="1"/>
  <c r="U1001" i="1"/>
  <c r="R1001" i="1"/>
  <c r="P1001" i="1"/>
  <c r="K1001" i="1"/>
  <c r="Z1000" i="1"/>
  <c r="W1000" i="1"/>
  <c r="V1000" i="1"/>
  <c r="U1000" i="1"/>
  <c r="R1000" i="1"/>
  <c r="P1000" i="1"/>
  <c r="K1000" i="1"/>
  <c r="Z999" i="1"/>
  <c r="W999" i="1"/>
  <c r="V999" i="1"/>
  <c r="U999" i="1"/>
  <c r="R999" i="1"/>
  <c r="P999" i="1"/>
  <c r="K999" i="1"/>
  <c r="Z998" i="1"/>
  <c r="W998" i="1"/>
  <c r="V998" i="1"/>
  <c r="U998" i="1"/>
  <c r="R998" i="1"/>
  <c r="P998" i="1"/>
  <c r="K998" i="1"/>
  <c r="Z997" i="1"/>
  <c r="W997" i="1"/>
  <c r="V997" i="1"/>
  <c r="U997" i="1"/>
  <c r="R997" i="1"/>
  <c r="P997" i="1"/>
  <c r="K997" i="1"/>
  <c r="Z996" i="1"/>
  <c r="W996" i="1"/>
  <c r="V996" i="1"/>
  <c r="U996" i="1"/>
  <c r="R996" i="1"/>
  <c r="P996" i="1"/>
  <c r="K996" i="1"/>
  <c r="Z995" i="1"/>
  <c r="W995" i="1"/>
  <c r="V995" i="1"/>
  <c r="U995" i="1"/>
  <c r="R995" i="1"/>
  <c r="P995" i="1"/>
  <c r="K995" i="1"/>
  <c r="Z994" i="1"/>
  <c r="W994" i="1"/>
  <c r="V994" i="1"/>
  <c r="U994" i="1"/>
  <c r="R994" i="1"/>
  <c r="P994" i="1"/>
  <c r="K994" i="1"/>
  <c r="Z993" i="1"/>
  <c r="W993" i="1"/>
  <c r="V993" i="1"/>
  <c r="U993" i="1"/>
  <c r="R993" i="1"/>
  <c r="P993" i="1"/>
  <c r="K993" i="1"/>
  <c r="Z992" i="1"/>
  <c r="W992" i="1"/>
  <c r="V992" i="1"/>
  <c r="U992" i="1"/>
  <c r="R992" i="1"/>
  <c r="P992" i="1"/>
  <c r="K992" i="1"/>
  <c r="Z991" i="1"/>
  <c r="W991" i="1"/>
  <c r="V991" i="1"/>
  <c r="U991" i="1"/>
  <c r="R991" i="1"/>
  <c r="P991" i="1"/>
  <c r="K991" i="1"/>
  <c r="Z990" i="1"/>
  <c r="W990" i="1"/>
  <c r="V990" i="1"/>
  <c r="U990" i="1"/>
  <c r="R990" i="1"/>
  <c r="P990" i="1"/>
  <c r="K990" i="1"/>
  <c r="Z989" i="1"/>
  <c r="W989" i="1"/>
  <c r="V989" i="1"/>
  <c r="U989" i="1"/>
  <c r="R989" i="1"/>
  <c r="P989" i="1"/>
  <c r="K989" i="1"/>
  <c r="Z988" i="1"/>
  <c r="W988" i="1"/>
  <c r="V988" i="1"/>
  <c r="U988" i="1"/>
  <c r="R988" i="1"/>
  <c r="P988" i="1"/>
  <c r="K988" i="1"/>
  <c r="Z987" i="1"/>
  <c r="W987" i="1"/>
  <c r="V987" i="1"/>
  <c r="U987" i="1"/>
  <c r="R987" i="1"/>
  <c r="P987" i="1"/>
  <c r="K987" i="1"/>
  <c r="Z986" i="1"/>
  <c r="W986" i="1"/>
  <c r="V986" i="1"/>
  <c r="U986" i="1"/>
  <c r="R986" i="1"/>
  <c r="P986" i="1"/>
  <c r="K986" i="1"/>
  <c r="Z985" i="1"/>
  <c r="W985" i="1"/>
  <c r="V985" i="1"/>
  <c r="U985" i="1"/>
  <c r="R985" i="1"/>
  <c r="P985" i="1"/>
  <c r="K985" i="1"/>
  <c r="Z984" i="1"/>
  <c r="W984" i="1"/>
  <c r="V984" i="1"/>
  <c r="U984" i="1"/>
  <c r="R984" i="1"/>
  <c r="P984" i="1"/>
  <c r="K984" i="1"/>
  <c r="Z983" i="1"/>
  <c r="W983" i="1"/>
  <c r="V983" i="1"/>
  <c r="U983" i="1"/>
  <c r="R983" i="1"/>
  <c r="P983" i="1"/>
  <c r="K983" i="1"/>
  <c r="Z982" i="1"/>
  <c r="W982" i="1"/>
  <c r="V982" i="1"/>
  <c r="U982" i="1"/>
  <c r="R982" i="1"/>
  <c r="P982" i="1"/>
  <c r="K982" i="1"/>
  <c r="Z981" i="1"/>
  <c r="W981" i="1"/>
  <c r="V981" i="1"/>
  <c r="U981" i="1"/>
  <c r="R981" i="1"/>
  <c r="P981" i="1"/>
  <c r="K981" i="1"/>
  <c r="Z980" i="1"/>
  <c r="W980" i="1"/>
  <c r="V980" i="1"/>
  <c r="U980" i="1"/>
  <c r="R980" i="1"/>
  <c r="P980" i="1"/>
  <c r="K980" i="1"/>
  <c r="Z979" i="1"/>
  <c r="W979" i="1"/>
  <c r="V979" i="1"/>
  <c r="U979" i="1"/>
  <c r="R979" i="1"/>
  <c r="P979" i="1"/>
  <c r="K979" i="1"/>
  <c r="Z978" i="1"/>
  <c r="W978" i="1"/>
  <c r="V978" i="1"/>
  <c r="U978" i="1"/>
  <c r="R978" i="1"/>
  <c r="P978" i="1"/>
  <c r="K978" i="1"/>
  <c r="Z977" i="1"/>
  <c r="W977" i="1"/>
  <c r="V977" i="1"/>
  <c r="U977" i="1"/>
  <c r="R977" i="1"/>
  <c r="P977" i="1"/>
  <c r="K977" i="1"/>
  <c r="Z976" i="1"/>
  <c r="W976" i="1"/>
  <c r="V976" i="1"/>
  <c r="U976" i="1"/>
  <c r="R976" i="1"/>
  <c r="P976" i="1"/>
  <c r="K976" i="1"/>
  <c r="Z975" i="1"/>
  <c r="W975" i="1"/>
  <c r="V975" i="1"/>
  <c r="U975" i="1"/>
  <c r="R975" i="1"/>
  <c r="P975" i="1"/>
  <c r="K975" i="1"/>
  <c r="Z974" i="1"/>
  <c r="W974" i="1"/>
  <c r="V974" i="1"/>
  <c r="U974" i="1"/>
  <c r="R974" i="1"/>
  <c r="P974" i="1"/>
  <c r="K974" i="1"/>
  <c r="Z973" i="1"/>
  <c r="W973" i="1"/>
  <c r="V973" i="1"/>
  <c r="U973" i="1"/>
  <c r="R973" i="1"/>
  <c r="P973" i="1"/>
  <c r="K973" i="1"/>
  <c r="Z972" i="1"/>
  <c r="W972" i="1"/>
  <c r="V972" i="1"/>
  <c r="U972" i="1"/>
  <c r="R972" i="1"/>
  <c r="P972" i="1"/>
  <c r="K972" i="1"/>
  <c r="Z971" i="1"/>
  <c r="W971" i="1"/>
  <c r="V971" i="1"/>
  <c r="U971" i="1"/>
  <c r="R971" i="1"/>
  <c r="P971" i="1"/>
  <c r="K971" i="1"/>
  <c r="Z970" i="1"/>
  <c r="W970" i="1"/>
  <c r="V970" i="1"/>
  <c r="U970" i="1"/>
  <c r="R970" i="1"/>
  <c r="P970" i="1"/>
  <c r="K970" i="1"/>
  <c r="Z969" i="1"/>
  <c r="W969" i="1"/>
  <c r="V969" i="1"/>
  <c r="U969" i="1"/>
  <c r="R969" i="1"/>
  <c r="P969" i="1"/>
  <c r="K969" i="1"/>
  <c r="Z968" i="1"/>
  <c r="W968" i="1"/>
  <c r="V968" i="1"/>
  <c r="U968" i="1"/>
  <c r="R968" i="1"/>
  <c r="P968" i="1"/>
  <c r="K968" i="1"/>
  <c r="Z967" i="1"/>
  <c r="W967" i="1"/>
  <c r="V967" i="1"/>
  <c r="U967" i="1"/>
  <c r="R967" i="1"/>
  <c r="P967" i="1"/>
  <c r="K967" i="1"/>
  <c r="Z966" i="1"/>
  <c r="W966" i="1"/>
  <c r="V966" i="1"/>
  <c r="U966" i="1"/>
  <c r="R966" i="1"/>
  <c r="P966" i="1"/>
  <c r="K966" i="1"/>
  <c r="Z965" i="1"/>
  <c r="W965" i="1"/>
  <c r="V965" i="1"/>
  <c r="U965" i="1"/>
  <c r="R965" i="1"/>
  <c r="P965" i="1"/>
  <c r="K965" i="1"/>
  <c r="Z964" i="1"/>
  <c r="W964" i="1"/>
  <c r="V964" i="1"/>
  <c r="U964" i="1"/>
  <c r="R964" i="1"/>
  <c r="P964" i="1"/>
  <c r="K964" i="1"/>
  <c r="Z963" i="1"/>
  <c r="W963" i="1"/>
  <c r="V963" i="1"/>
  <c r="U963" i="1"/>
  <c r="R963" i="1"/>
  <c r="P963" i="1"/>
  <c r="K963" i="1"/>
  <c r="Z962" i="1"/>
  <c r="W962" i="1"/>
  <c r="V962" i="1"/>
  <c r="U962" i="1"/>
  <c r="R962" i="1"/>
  <c r="P962" i="1"/>
  <c r="K962" i="1"/>
  <c r="Z961" i="1"/>
  <c r="W961" i="1"/>
  <c r="V961" i="1"/>
  <c r="U961" i="1"/>
  <c r="R961" i="1"/>
  <c r="P961" i="1"/>
  <c r="K961" i="1"/>
  <c r="Z960" i="1"/>
  <c r="W960" i="1"/>
  <c r="V960" i="1"/>
  <c r="U960" i="1"/>
  <c r="R960" i="1"/>
  <c r="P960" i="1"/>
  <c r="K960" i="1"/>
  <c r="Z959" i="1"/>
  <c r="W959" i="1"/>
  <c r="V959" i="1"/>
  <c r="U959" i="1"/>
  <c r="R959" i="1"/>
  <c r="P959" i="1"/>
  <c r="K959" i="1"/>
  <c r="Z958" i="1"/>
  <c r="W958" i="1"/>
  <c r="V958" i="1"/>
  <c r="U958" i="1"/>
  <c r="R958" i="1"/>
  <c r="P958" i="1"/>
  <c r="K958" i="1"/>
  <c r="Z957" i="1"/>
  <c r="W957" i="1"/>
  <c r="V957" i="1"/>
  <c r="U957" i="1"/>
  <c r="R957" i="1"/>
  <c r="P957" i="1"/>
  <c r="K957" i="1"/>
  <c r="Z956" i="1"/>
  <c r="W956" i="1"/>
  <c r="V956" i="1"/>
  <c r="U956" i="1"/>
  <c r="R956" i="1"/>
  <c r="P956" i="1"/>
  <c r="K956" i="1"/>
  <c r="Z955" i="1"/>
  <c r="W955" i="1"/>
  <c r="V955" i="1"/>
  <c r="U955" i="1"/>
  <c r="R955" i="1"/>
  <c r="P955" i="1"/>
  <c r="K955" i="1"/>
  <c r="Z954" i="1"/>
  <c r="W954" i="1"/>
  <c r="V954" i="1"/>
  <c r="U954" i="1"/>
  <c r="R954" i="1"/>
  <c r="P954" i="1"/>
  <c r="K954" i="1"/>
  <c r="Z953" i="1"/>
  <c r="W953" i="1"/>
  <c r="V953" i="1"/>
  <c r="U953" i="1"/>
  <c r="R953" i="1"/>
  <c r="P953" i="1"/>
  <c r="K953" i="1"/>
  <c r="Z952" i="1"/>
  <c r="W952" i="1"/>
  <c r="V952" i="1"/>
  <c r="U952" i="1"/>
  <c r="R952" i="1"/>
  <c r="P952" i="1"/>
  <c r="K952" i="1"/>
  <c r="Z951" i="1"/>
  <c r="W951" i="1"/>
  <c r="V951" i="1"/>
  <c r="U951" i="1"/>
  <c r="R951" i="1"/>
  <c r="P951" i="1"/>
  <c r="K951" i="1"/>
  <c r="Z950" i="1"/>
  <c r="W950" i="1"/>
  <c r="V950" i="1"/>
  <c r="U950" i="1"/>
  <c r="R950" i="1"/>
  <c r="P950" i="1"/>
  <c r="K950" i="1"/>
  <c r="Z949" i="1"/>
  <c r="W949" i="1"/>
  <c r="V949" i="1"/>
  <c r="U949" i="1"/>
  <c r="R949" i="1"/>
  <c r="P949" i="1"/>
  <c r="K949" i="1"/>
  <c r="Z948" i="1"/>
  <c r="W948" i="1"/>
  <c r="V948" i="1"/>
  <c r="U948" i="1"/>
  <c r="R948" i="1"/>
  <c r="P948" i="1"/>
  <c r="K948" i="1"/>
  <c r="Z947" i="1"/>
  <c r="W947" i="1"/>
  <c r="V947" i="1"/>
  <c r="U947" i="1"/>
  <c r="R947" i="1"/>
  <c r="P947" i="1"/>
  <c r="K947" i="1"/>
  <c r="Z946" i="1"/>
  <c r="W946" i="1"/>
  <c r="V946" i="1"/>
  <c r="U946" i="1"/>
  <c r="R946" i="1"/>
  <c r="P946" i="1"/>
  <c r="K946" i="1"/>
  <c r="Z945" i="1"/>
  <c r="W945" i="1"/>
  <c r="V945" i="1"/>
  <c r="U945" i="1"/>
  <c r="R945" i="1"/>
  <c r="P945" i="1"/>
  <c r="K945" i="1"/>
  <c r="Z944" i="1"/>
  <c r="W944" i="1"/>
  <c r="V944" i="1"/>
  <c r="U944" i="1"/>
  <c r="R944" i="1"/>
  <c r="P944" i="1"/>
  <c r="K944" i="1"/>
  <c r="Z943" i="1"/>
  <c r="W943" i="1"/>
  <c r="V943" i="1"/>
  <c r="U943" i="1"/>
  <c r="R943" i="1"/>
  <c r="P943" i="1"/>
  <c r="K943" i="1"/>
  <c r="Z942" i="1"/>
  <c r="W942" i="1"/>
  <c r="V942" i="1"/>
  <c r="U942" i="1"/>
  <c r="R942" i="1"/>
  <c r="P942" i="1"/>
  <c r="K942" i="1"/>
  <c r="Z941" i="1"/>
  <c r="W941" i="1"/>
  <c r="V941" i="1"/>
  <c r="U941" i="1"/>
  <c r="R941" i="1"/>
  <c r="P941" i="1"/>
  <c r="K941" i="1"/>
  <c r="Z940" i="1"/>
  <c r="W940" i="1"/>
  <c r="V940" i="1"/>
  <c r="U940" i="1"/>
  <c r="R940" i="1"/>
  <c r="P940" i="1"/>
  <c r="K940" i="1"/>
  <c r="Z939" i="1"/>
  <c r="W939" i="1"/>
  <c r="V939" i="1"/>
  <c r="U939" i="1"/>
  <c r="R939" i="1"/>
  <c r="P939" i="1"/>
  <c r="K939" i="1"/>
  <c r="Z938" i="1"/>
  <c r="W938" i="1"/>
  <c r="V938" i="1"/>
  <c r="U938" i="1"/>
  <c r="R938" i="1"/>
  <c r="P938" i="1"/>
  <c r="K938" i="1"/>
  <c r="Z937" i="1"/>
  <c r="W937" i="1"/>
  <c r="V937" i="1"/>
  <c r="U937" i="1"/>
  <c r="R937" i="1"/>
  <c r="P937" i="1"/>
  <c r="K937" i="1"/>
  <c r="Z936" i="1"/>
  <c r="W936" i="1"/>
  <c r="V936" i="1"/>
  <c r="U936" i="1"/>
  <c r="R936" i="1"/>
  <c r="P936" i="1"/>
  <c r="K936" i="1"/>
  <c r="Z935" i="1"/>
  <c r="W935" i="1"/>
  <c r="V935" i="1"/>
  <c r="U935" i="1"/>
  <c r="R935" i="1"/>
  <c r="P935" i="1"/>
  <c r="K935" i="1"/>
  <c r="Z934" i="1"/>
  <c r="W934" i="1"/>
  <c r="V934" i="1"/>
  <c r="U934" i="1"/>
  <c r="R934" i="1"/>
  <c r="P934" i="1"/>
  <c r="K934" i="1"/>
  <c r="Z933" i="1"/>
  <c r="W933" i="1"/>
  <c r="V933" i="1"/>
  <c r="U933" i="1"/>
  <c r="R933" i="1"/>
  <c r="P933" i="1"/>
  <c r="K933" i="1"/>
  <c r="Z932" i="1"/>
  <c r="W932" i="1"/>
  <c r="V932" i="1"/>
  <c r="U932" i="1"/>
  <c r="R932" i="1"/>
  <c r="P932" i="1"/>
  <c r="K932" i="1"/>
  <c r="Z931" i="1"/>
  <c r="W931" i="1"/>
  <c r="V931" i="1"/>
  <c r="U931" i="1"/>
  <c r="R931" i="1"/>
  <c r="P931" i="1"/>
  <c r="K931" i="1"/>
  <c r="Z930" i="1"/>
  <c r="W930" i="1"/>
  <c r="V930" i="1"/>
  <c r="U930" i="1"/>
  <c r="R930" i="1"/>
  <c r="P930" i="1"/>
  <c r="K930" i="1"/>
  <c r="Z929" i="1"/>
  <c r="W929" i="1"/>
  <c r="V929" i="1"/>
  <c r="U929" i="1"/>
  <c r="R929" i="1"/>
  <c r="P929" i="1"/>
  <c r="K929" i="1"/>
  <c r="Z928" i="1"/>
  <c r="W928" i="1"/>
  <c r="V928" i="1"/>
  <c r="U928" i="1"/>
  <c r="R928" i="1"/>
  <c r="P928" i="1"/>
  <c r="K928" i="1"/>
  <c r="Z927" i="1"/>
  <c r="W927" i="1"/>
  <c r="V927" i="1"/>
  <c r="U927" i="1"/>
  <c r="R927" i="1"/>
  <c r="P927" i="1"/>
  <c r="K927" i="1"/>
  <c r="Z926" i="1"/>
  <c r="W926" i="1"/>
  <c r="V926" i="1"/>
  <c r="U926" i="1"/>
  <c r="R926" i="1"/>
  <c r="P926" i="1"/>
  <c r="K926" i="1"/>
  <c r="Z925" i="1"/>
  <c r="W925" i="1"/>
  <c r="V925" i="1"/>
  <c r="U925" i="1"/>
  <c r="R925" i="1"/>
  <c r="P925" i="1"/>
  <c r="K925" i="1"/>
  <c r="Z924" i="1"/>
  <c r="W924" i="1"/>
  <c r="V924" i="1"/>
  <c r="U924" i="1"/>
  <c r="R924" i="1"/>
  <c r="P924" i="1"/>
  <c r="K924" i="1"/>
  <c r="Z923" i="1"/>
  <c r="W923" i="1"/>
  <c r="V923" i="1"/>
  <c r="U923" i="1"/>
  <c r="R923" i="1"/>
  <c r="P923" i="1"/>
  <c r="K923" i="1"/>
  <c r="Z922" i="1"/>
  <c r="W922" i="1"/>
  <c r="V922" i="1"/>
  <c r="U922" i="1"/>
  <c r="R922" i="1"/>
  <c r="P922" i="1"/>
  <c r="K922" i="1"/>
  <c r="Z921" i="1"/>
  <c r="W921" i="1"/>
  <c r="V921" i="1"/>
  <c r="U921" i="1"/>
  <c r="R921" i="1"/>
  <c r="P921" i="1"/>
  <c r="K921" i="1"/>
  <c r="Z920" i="1"/>
  <c r="W920" i="1"/>
  <c r="V920" i="1"/>
  <c r="U920" i="1"/>
  <c r="R920" i="1"/>
  <c r="P920" i="1"/>
  <c r="K920" i="1"/>
  <c r="Z919" i="1"/>
  <c r="W919" i="1"/>
  <c r="V919" i="1"/>
  <c r="U919" i="1"/>
  <c r="R919" i="1"/>
  <c r="P919" i="1"/>
  <c r="K919" i="1"/>
  <c r="Z918" i="1"/>
  <c r="W918" i="1"/>
  <c r="V918" i="1"/>
  <c r="U918" i="1"/>
  <c r="R918" i="1"/>
  <c r="P918" i="1"/>
  <c r="K918" i="1"/>
  <c r="Z917" i="1"/>
  <c r="W917" i="1"/>
  <c r="V917" i="1"/>
  <c r="U917" i="1"/>
  <c r="R917" i="1"/>
  <c r="P917" i="1"/>
  <c r="K917" i="1"/>
  <c r="Z916" i="1"/>
  <c r="W916" i="1"/>
  <c r="V916" i="1"/>
  <c r="U916" i="1"/>
  <c r="R916" i="1"/>
  <c r="P916" i="1"/>
  <c r="K916" i="1"/>
  <c r="Z915" i="1"/>
  <c r="W915" i="1"/>
  <c r="V915" i="1"/>
  <c r="U915" i="1"/>
  <c r="R915" i="1"/>
  <c r="P915" i="1"/>
  <c r="K915" i="1"/>
  <c r="Z914" i="1"/>
  <c r="W914" i="1"/>
  <c r="V914" i="1"/>
  <c r="U914" i="1"/>
  <c r="R914" i="1"/>
  <c r="P914" i="1"/>
  <c r="K914" i="1"/>
  <c r="Z913" i="1"/>
  <c r="W913" i="1"/>
  <c r="V913" i="1"/>
  <c r="U913" i="1"/>
  <c r="R913" i="1"/>
  <c r="P913" i="1"/>
  <c r="K913" i="1"/>
  <c r="Z912" i="1"/>
  <c r="W912" i="1"/>
  <c r="V912" i="1"/>
  <c r="U912" i="1"/>
  <c r="R912" i="1"/>
  <c r="P912" i="1"/>
  <c r="K912" i="1"/>
  <c r="Z911" i="1"/>
  <c r="W911" i="1"/>
  <c r="V911" i="1"/>
  <c r="U911" i="1"/>
  <c r="R911" i="1"/>
  <c r="P911" i="1"/>
  <c r="K911" i="1"/>
  <c r="Z910" i="1"/>
  <c r="W910" i="1"/>
  <c r="V910" i="1"/>
  <c r="U910" i="1"/>
  <c r="R910" i="1"/>
  <c r="P910" i="1"/>
  <c r="K910" i="1"/>
  <c r="Z909" i="1"/>
  <c r="W909" i="1"/>
  <c r="V909" i="1"/>
  <c r="U909" i="1"/>
  <c r="R909" i="1"/>
  <c r="P909" i="1"/>
  <c r="K909" i="1"/>
  <c r="Z908" i="1"/>
  <c r="W908" i="1"/>
  <c r="V908" i="1"/>
  <c r="U908" i="1"/>
  <c r="R908" i="1"/>
  <c r="P908" i="1"/>
  <c r="K908" i="1"/>
  <c r="Z907" i="1"/>
  <c r="W907" i="1"/>
  <c r="V907" i="1"/>
  <c r="U907" i="1"/>
  <c r="R907" i="1"/>
  <c r="P907" i="1"/>
  <c r="K907" i="1"/>
  <c r="Z906" i="1"/>
  <c r="W906" i="1"/>
  <c r="V906" i="1"/>
  <c r="U906" i="1"/>
  <c r="R906" i="1"/>
  <c r="P906" i="1"/>
  <c r="K906" i="1"/>
  <c r="Z905" i="1"/>
  <c r="W905" i="1"/>
  <c r="V905" i="1"/>
  <c r="U905" i="1"/>
  <c r="R905" i="1"/>
  <c r="P905" i="1"/>
  <c r="K905" i="1"/>
  <c r="Z904" i="1"/>
  <c r="W904" i="1"/>
  <c r="V904" i="1"/>
  <c r="U904" i="1"/>
  <c r="R904" i="1"/>
  <c r="P904" i="1"/>
  <c r="K904" i="1"/>
  <c r="Z903" i="1"/>
  <c r="W903" i="1"/>
  <c r="V903" i="1"/>
  <c r="U903" i="1"/>
  <c r="R903" i="1"/>
  <c r="P903" i="1"/>
  <c r="K903" i="1"/>
  <c r="Z902" i="1"/>
  <c r="W902" i="1"/>
  <c r="V902" i="1"/>
  <c r="U902" i="1"/>
  <c r="R902" i="1"/>
  <c r="P902" i="1"/>
  <c r="K902" i="1"/>
  <c r="Z901" i="1"/>
  <c r="W901" i="1"/>
  <c r="V901" i="1"/>
  <c r="U901" i="1"/>
  <c r="R901" i="1"/>
  <c r="P901" i="1"/>
  <c r="K901" i="1"/>
  <c r="Z900" i="1"/>
  <c r="W900" i="1"/>
  <c r="V900" i="1"/>
  <c r="U900" i="1"/>
  <c r="R900" i="1"/>
  <c r="P900" i="1"/>
  <c r="K900" i="1"/>
  <c r="Z899" i="1"/>
  <c r="W899" i="1"/>
  <c r="V899" i="1"/>
  <c r="U899" i="1"/>
  <c r="R899" i="1"/>
  <c r="P899" i="1"/>
  <c r="K899" i="1"/>
  <c r="Z898" i="1"/>
  <c r="W898" i="1"/>
  <c r="V898" i="1"/>
  <c r="U898" i="1"/>
  <c r="R898" i="1"/>
  <c r="P898" i="1"/>
  <c r="K898" i="1"/>
  <c r="Z897" i="1"/>
  <c r="W897" i="1"/>
  <c r="V897" i="1"/>
  <c r="U897" i="1"/>
  <c r="R897" i="1"/>
  <c r="P897" i="1"/>
  <c r="K897" i="1"/>
  <c r="Z896" i="1"/>
  <c r="W896" i="1"/>
  <c r="V896" i="1"/>
  <c r="U896" i="1"/>
  <c r="R896" i="1"/>
  <c r="P896" i="1"/>
  <c r="K896" i="1"/>
  <c r="Z895" i="1"/>
  <c r="W895" i="1"/>
  <c r="V895" i="1"/>
  <c r="U895" i="1"/>
  <c r="R895" i="1"/>
  <c r="P895" i="1"/>
  <c r="K895" i="1"/>
  <c r="Z894" i="1"/>
  <c r="W894" i="1"/>
  <c r="V894" i="1"/>
  <c r="U894" i="1"/>
  <c r="R894" i="1"/>
  <c r="P894" i="1"/>
  <c r="K894" i="1"/>
  <c r="Z893" i="1"/>
  <c r="W893" i="1"/>
  <c r="V893" i="1"/>
  <c r="U893" i="1"/>
  <c r="R893" i="1"/>
  <c r="P893" i="1"/>
  <c r="K893" i="1"/>
  <c r="Z892" i="1"/>
  <c r="W892" i="1"/>
  <c r="V892" i="1"/>
  <c r="U892" i="1"/>
  <c r="R892" i="1"/>
  <c r="P892" i="1"/>
  <c r="K892" i="1"/>
  <c r="Z891" i="1"/>
  <c r="W891" i="1"/>
  <c r="V891" i="1"/>
  <c r="U891" i="1"/>
  <c r="R891" i="1"/>
  <c r="P891" i="1"/>
  <c r="K891" i="1"/>
  <c r="Z890" i="1"/>
  <c r="W890" i="1"/>
  <c r="V890" i="1"/>
  <c r="U890" i="1"/>
  <c r="R890" i="1"/>
  <c r="P890" i="1"/>
  <c r="K890" i="1"/>
  <c r="Z889" i="1"/>
  <c r="W889" i="1"/>
  <c r="V889" i="1"/>
  <c r="U889" i="1"/>
  <c r="R889" i="1"/>
  <c r="P889" i="1"/>
  <c r="K889" i="1"/>
  <c r="Z888" i="1"/>
  <c r="W888" i="1"/>
  <c r="V888" i="1"/>
  <c r="U888" i="1"/>
  <c r="R888" i="1"/>
  <c r="P888" i="1"/>
  <c r="K888" i="1"/>
  <c r="Z887" i="1"/>
  <c r="W887" i="1"/>
  <c r="V887" i="1"/>
  <c r="U887" i="1"/>
  <c r="R887" i="1"/>
  <c r="P887" i="1"/>
  <c r="K887" i="1"/>
  <c r="Z886" i="1"/>
  <c r="W886" i="1"/>
  <c r="V886" i="1"/>
  <c r="U886" i="1"/>
  <c r="R886" i="1"/>
  <c r="P886" i="1"/>
  <c r="K886" i="1"/>
  <c r="Z885" i="1"/>
  <c r="W885" i="1"/>
  <c r="V885" i="1"/>
  <c r="U885" i="1"/>
  <c r="R885" i="1"/>
  <c r="P885" i="1"/>
  <c r="K885" i="1"/>
  <c r="Z884" i="1"/>
  <c r="W884" i="1"/>
  <c r="V884" i="1"/>
  <c r="U884" i="1"/>
  <c r="R884" i="1"/>
  <c r="P884" i="1"/>
  <c r="K884" i="1"/>
  <c r="Z883" i="1"/>
  <c r="W883" i="1"/>
  <c r="V883" i="1"/>
  <c r="U883" i="1"/>
  <c r="R883" i="1"/>
  <c r="P883" i="1"/>
  <c r="K883" i="1"/>
  <c r="Z882" i="1"/>
  <c r="W882" i="1"/>
  <c r="V882" i="1"/>
  <c r="U882" i="1"/>
  <c r="R882" i="1"/>
  <c r="P882" i="1"/>
  <c r="K882" i="1"/>
  <c r="Z881" i="1"/>
  <c r="W881" i="1"/>
  <c r="V881" i="1"/>
  <c r="U881" i="1"/>
  <c r="R881" i="1"/>
  <c r="P881" i="1"/>
  <c r="K881" i="1"/>
  <c r="Z880" i="1"/>
  <c r="W880" i="1"/>
  <c r="V880" i="1"/>
  <c r="U880" i="1"/>
  <c r="R880" i="1"/>
  <c r="P880" i="1"/>
  <c r="K880" i="1"/>
  <c r="Z879" i="1"/>
  <c r="W879" i="1"/>
  <c r="V879" i="1"/>
  <c r="U879" i="1"/>
  <c r="R879" i="1"/>
  <c r="P879" i="1"/>
  <c r="K879" i="1"/>
  <c r="Z878" i="1"/>
  <c r="W878" i="1"/>
  <c r="V878" i="1"/>
  <c r="U878" i="1"/>
  <c r="R878" i="1"/>
  <c r="P878" i="1"/>
  <c r="K878" i="1"/>
  <c r="Z877" i="1"/>
  <c r="W877" i="1"/>
  <c r="V877" i="1"/>
  <c r="U877" i="1"/>
  <c r="R877" i="1"/>
  <c r="P877" i="1"/>
  <c r="K877" i="1"/>
  <c r="Z876" i="1"/>
  <c r="W876" i="1"/>
  <c r="V876" i="1"/>
  <c r="U876" i="1"/>
  <c r="R876" i="1"/>
  <c r="P876" i="1"/>
  <c r="K876" i="1"/>
  <c r="Z875" i="1"/>
  <c r="W875" i="1"/>
  <c r="V875" i="1"/>
  <c r="U875" i="1"/>
  <c r="R875" i="1"/>
  <c r="P875" i="1"/>
  <c r="K875" i="1"/>
  <c r="Z874" i="1"/>
  <c r="W874" i="1"/>
  <c r="V874" i="1"/>
  <c r="U874" i="1"/>
  <c r="R874" i="1"/>
  <c r="P874" i="1"/>
  <c r="K874" i="1"/>
  <c r="Z873" i="1"/>
  <c r="W873" i="1"/>
  <c r="V873" i="1"/>
  <c r="U873" i="1"/>
  <c r="R873" i="1"/>
  <c r="P873" i="1"/>
  <c r="K873" i="1"/>
  <c r="Z872" i="1"/>
  <c r="W872" i="1"/>
  <c r="V872" i="1"/>
  <c r="U872" i="1"/>
  <c r="R872" i="1"/>
  <c r="P872" i="1"/>
  <c r="K872" i="1"/>
  <c r="Z871" i="1"/>
  <c r="W871" i="1"/>
  <c r="V871" i="1"/>
  <c r="U871" i="1"/>
  <c r="R871" i="1"/>
  <c r="P871" i="1"/>
  <c r="K871" i="1"/>
  <c r="Z870" i="1"/>
  <c r="W870" i="1"/>
  <c r="V870" i="1"/>
  <c r="U870" i="1"/>
  <c r="R870" i="1"/>
  <c r="P870" i="1"/>
  <c r="K870" i="1"/>
  <c r="Z869" i="1"/>
  <c r="W869" i="1"/>
  <c r="V869" i="1"/>
  <c r="U869" i="1"/>
  <c r="R869" i="1"/>
  <c r="P869" i="1"/>
  <c r="K869" i="1"/>
  <c r="Z868" i="1"/>
  <c r="W868" i="1"/>
  <c r="V868" i="1"/>
  <c r="U868" i="1"/>
  <c r="R868" i="1"/>
  <c r="P868" i="1"/>
  <c r="K868" i="1"/>
  <c r="Z867" i="1"/>
  <c r="W867" i="1"/>
  <c r="V867" i="1"/>
  <c r="U867" i="1"/>
  <c r="R867" i="1"/>
  <c r="P867" i="1"/>
  <c r="K867" i="1"/>
  <c r="Z866" i="1"/>
  <c r="W866" i="1"/>
  <c r="V866" i="1"/>
  <c r="U866" i="1"/>
  <c r="R866" i="1"/>
  <c r="P866" i="1"/>
  <c r="K866" i="1"/>
  <c r="Z865" i="1"/>
  <c r="W865" i="1"/>
  <c r="V865" i="1"/>
  <c r="U865" i="1"/>
  <c r="R865" i="1"/>
  <c r="P865" i="1"/>
  <c r="K865" i="1"/>
  <c r="Z864" i="1"/>
  <c r="W864" i="1"/>
  <c r="V864" i="1"/>
  <c r="U864" i="1"/>
  <c r="R864" i="1"/>
  <c r="P864" i="1"/>
  <c r="K864" i="1"/>
  <c r="Z863" i="1"/>
  <c r="W863" i="1"/>
  <c r="V863" i="1"/>
  <c r="U863" i="1"/>
  <c r="R863" i="1"/>
  <c r="P863" i="1"/>
  <c r="K863" i="1"/>
  <c r="Z862" i="1"/>
  <c r="W862" i="1"/>
  <c r="V862" i="1"/>
  <c r="U862" i="1"/>
  <c r="R862" i="1"/>
  <c r="P862" i="1"/>
  <c r="K862" i="1"/>
  <c r="Z861" i="1"/>
  <c r="W861" i="1"/>
  <c r="V861" i="1"/>
  <c r="U861" i="1"/>
  <c r="R861" i="1"/>
  <c r="P861" i="1"/>
  <c r="K861" i="1"/>
  <c r="Z860" i="1"/>
  <c r="W860" i="1"/>
  <c r="V860" i="1"/>
  <c r="U860" i="1"/>
  <c r="R860" i="1"/>
  <c r="P860" i="1"/>
  <c r="K860" i="1"/>
  <c r="Z859" i="1"/>
  <c r="W859" i="1"/>
  <c r="V859" i="1"/>
  <c r="U859" i="1"/>
  <c r="R859" i="1"/>
  <c r="P859" i="1"/>
  <c r="K859" i="1"/>
  <c r="Z858" i="1"/>
  <c r="W858" i="1"/>
  <c r="V858" i="1"/>
  <c r="U858" i="1"/>
  <c r="R858" i="1"/>
  <c r="P858" i="1"/>
  <c r="K858" i="1"/>
  <c r="Z857" i="1"/>
  <c r="W857" i="1"/>
  <c r="V857" i="1"/>
  <c r="U857" i="1"/>
  <c r="R857" i="1"/>
  <c r="P857" i="1"/>
  <c r="K857" i="1"/>
  <c r="Z856" i="1"/>
  <c r="W856" i="1"/>
  <c r="V856" i="1"/>
  <c r="U856" i="1"/>
  <c r="R856" i="1"/>
  <c r="P856" i="1"/>
  <c r="K856" i="1"/>
  <c r="Z855" i="1"/>
  <c r="W855" i="1"/>
  <c r="V855" i="1"/>
  <c r="U855" i="1"/>
  <c r="R855" i="1"/>
  <c r="P855" i="1"/>
  <c r="K855" i="1"/>
  <c r="Z854" i="1"/>
  <c r="W854" i="1"/>
  <c r="V854" i="1"/>
  <c r="U854" i="1"/>
  <c r="R854" i="1"/>
  <c r="P854" i="1"/>
  <c r="K854" i="1"/>
  <c r="Z853" i="1"/>
  <c r="W853" i="1"/>
  <c r="V853" i="1"/>
  <c r="U853" i="1"/>
  <c r="R853" i="1"/>
  <c r="P853" i="1"/>
  <c r="K853" i="1"/>
  <c r="Z852" i="1"/>
  <c r="W852" i="1"/>
  <c r="V852" i="1"/>
  <c r="U852" i="1"/>
  <c r="R852" i="1"/>
  <c r="P852" i="1"/>
  <c r="K852" i="1"/>
  <c r="Z851" i="1"/>
  <c r="W851" i="1"/>
  <c r="V851" i="1"/>
  <c r="U851" i="1"/>
  <c r="R851" i="1"/>
  <c r="P851" i="1"/>
  <c r="K851" i="1"/>
  <c r="Z850" i="1"/>
  <c r="W850" i="1"/>
  <c r="V850" i="1"/>
  <c r="U850" i="1"/>
  <c r="R850" i="1"/>
  <c r="P850" i="1"/>
  <c r="K850" i="1"/>
  <c r="Z849" i="1"/>
  <c r="W849" i="1"/>
  <c r="V849" i="1"/>
  <c r="U849" i="1"/>
  <c r="R849" i="1"/>
  <c r="P849" i="1"/>
  <c r="K849" i="1"/>
  <c r="Z848" i="1"/>
  <c r="W848" i="1"/>
  <c r="V848" i="1"/>
  <c r="U848" i="1"/>
  <c r="R848" i="1"/>
  <c r="P848" i="1"/>
  <c r="K848" i="1"/>
  <c r="Z847" i="1"/>
  <c r="W847" i="1"/>
  <c r="V847" i="1"/>
  <c r="U847" i="1"/>
  <c r="R847" i="1"/>
  <c r="P847" i="1"/>
  <c r="K847" i="1"/>
  <c r="Z846" i="1"/>
  <c r="W846" i="1"/>
  <c r="V846" i="1"/>
  <c r="U846" i="1"/>
  <c r="R846" i="1"/>
  <c r="P846" i="1"/>
  <c r="K846" i="1"/>
  <c r="Z845" i="1"/>
  <c r="W845" i="1"/>
  <c r="V845" i="1"/>
  <c r="U845" i="1"/>
  <c r="R845" i="1"/>
  <c r="P845" i="1"/>
  <c r="K845" i="1"/>
  <c r="Z844" i="1"/>
  <c r="W844" i="1"/>
  <c r="V844" i="1"/>
  <c r="U844" i="1"/>
  <c r="R844" i="1"/>
  <c r="P844" i="1"/>
  <c r="K844" i="1"/>
  <c r="Z843" i="1"/>
  <c r="W843" i="1"/>
  <c r="V843" i="1"/>
  <c r="U843" i="1"/>
  <c r="R843" i="1"/>
  <c r="P843" i="1"/>
  <c r="K843" i="1"/>
  <c r="Z842" i="1"/>
  <c r="W842" i="1"/>
  <c r="V842" i="1"/>
  <c r="U842" i="1"/>
  <c r="R842" i="1"/>
  <c r="P842" i="1"/>
  <c r="K842" i="1"/>
  <c r="Z841" i="1"/>
  <c r="W841" i="1"/>
  <c r="V841" i="1"/>
  <c r="U841" i="1"/>
  <c r="R841" i="1"/>
  <c r="P841" i="1"/>
  <c r="K841" i="1"/>
  <c r="Z840" i="1"/>
  <c r="W840" i="1"/>
  <c r="V840" i="1"/>
  <c r="U840" i="1"/>
  <c r="R840" i="1"/>
  <c r="P840" i="1"/>
  <c r="K840" i="1"/>
  <c r="Z839" i="1"/>
  <c r="W839" i="1"/>
  <c r="V839" i="1"/>
  <c r="U839" i="1"/>
  <c r="R839" i="1"/>
  <c r="P839" i="1"/>
  <c r="K839" i="1"/>
  <c r="Z838" i="1"/>
  <c r="W838" i="1"/>
  <c r="V838" i="1"/>
  <c r="U838" i="1"/>
  <c r="R838" i="1"/>
  <c r="P838" i="1"/>
  <c r="K838" i="1"/>
  <c r="Z837" i="1"/>
  <c r="W837" i="1"/>
  <c r="V837" i="1"/>
  <c r="U837" i="1"/>
  <c r="R837" i="1"/>
  <c r="P837" i="1"/>
  <c r="K837" i="1"/>
  <c r="Z836" i="1"/>
  <c r="W836" i="1"/>
  <c r="V836" i="1"/>
  <c r="U836" i="1"/>
  <c r="R836" i="1"/>
  <c r="P836" i="1"/>
  <c r="K836" i="1"/>
  <c r="Z835" i="1"/>
  <c r="W835" i="1"/>
  <c r="V835" i="1"/>
  <c r="U835" i="1"/>
  <c r="R835" i="1"/>
  <c r="P835" i="1"/>
  <c r="K835" i="1"/>
  <c r="Z834" i="1"/>
  <c r="W834" i="1"/>
  <c r="V834" i="1"/>
  <c r="U834" i="1"/>
  <c r="R834" i="1"/>
  <c r="P834" i="1"/>
  <c r="K834" i="1"/>
  <c r="Z833" i="1"/>
  <c r="W833" i="1"/>
  <c r="V833" i="1"/>
  <c r="U833" i="1"/>
  <c r="R833" i="1"/>
  <c r="P833" i="1"/>
  <c r="K833" i="1"/>
  <c r="Z832" i="1"/>
  <c r="W832" i="1"/>
  <c r="V832" i="1"/>
  <c r="U832" i="1"/>
  <c r="R832" i="1"/>
  <c r="P832" i="1"/>
  <c r="K832" i="1"/>
  <c r="Z831" i="1"/>
  <c r="W831" i="1"/>
  <c r="V831" i="1"/>
  <c r="U831" i="1"/>
  <c r="R831" i="1"/>
  <c r="P831" i="1"/>
  <c r="K831" i="1"/>
  <c r="Z830" i="1"/>
  <c r="W830" i="1"/>
  <c r="V830" i="1"/>
  <c r="U830" i="1"/>
  <c r="R830" i="1"/>
  <c r="P830" i="1"/>
  <c r="K830" i="1"/>
  <c r="Z829" i="1"/>
  <c r="W829" i="1"/>
  <c r="V829" i="1"/>
  <c r="U829" i="1"/>
  <c r="R829" i="1"/>
  <c r="P829" i="1"/>
  <c r="K829" i="1"/>
  <c r="Z828" i="1"/>
  <c r="W828" i="1"/>
  <c r="V828" i="1"/>
  <c r="U828" i="1"/>
  <c r="R828" i="1"/>
  <c r="P828" i="1"/>
  <c r="K828" i="1"/>
  <c r="Z827" i="1"/>
  <c r="W827" i="1"/>
  <c r="V827" i="1"/>
  <c r="U827" i="1"/>
  <c r="R827" i="1"/>
  <c r="P827" i="1"/>
  <c r="K827" i="1"/>
  <c r="Z826" i="1"/>
  <c r="W826" i="1"/>
  <c r="V826" i="1"/>
  <c r="U826" i="1"/>
  <c r="R826" i="1"/>
  <c r="P826" i="1"/>
  <c r="K826" i="1"/>
  <c r="Z825" i="1"/>
  <c r="W825" i="1"/>
  <c r="V825" i="1"/>
  <c r="U825" i="1"/>
  <c r="R825" i="1"/>
  <c r="P825" i="1"/>
  <c r="K825" i="1"/>
  <c r="Z824" i="1"/>
  <c r="W824" i="1"/>
  <c r="V824" i="1"/>
  <c r="U824" i="1"/>
  <c r="R824" i="1"/>
  <c r="P824" i="1"/>
  <c r="K824" i="1"/>
  <c r="Z823" i="1"/>
  <c r="W823" i="1"/>
  <c r="V823" i="1"/>
  <c r="U823" i="1"/>
  <c r="R823" i="1"/>
  <c r="P823" i="1"/>
  <c r="K823" i="1"/>
  <c r="Z822" i="1"/>
  <c r="W822" i="1"/>
  <c r="V822" i="1"/>
  <c r="U822" i="1"/>
  <c r="R822" i="1"/>
  <c r="P822" i="1"/>
  <c r="K822" i="1"/>
  <c r="Z821" i="1"/>
  <c r="W821" i="1"/>
  <c r="V821" i="1"/>
  <c r="U821" i="1"/>
  <c r="R821" i="1"/>
  <c r="P821" i="1"/>
  <c r="K821" i="1"/>
  <c r="Z820" i="1"/>
  <c r="W820" i="1"/>
  <c r="V820" i="1"/>
  <c r="U820" i="1"/>
  <c r="R820" i="1"/>
  <c r="P820" i="1"/>
  <c r="K820" i="1"/>
  <c r="Z819" i="1"/>
  <c r="W819" i="1"/>
  <c r="V819" i="1"/>
  <c r="U819" i="1"/>
  <c r="R819" i="1"/>
  <c r="P819" i="1"/>
  <c r="K819" i="1"/>
  <c r="Z818" i="1"/>
  <c r="W818" i="1"/>
  <c r="V818" i="1"/>
  <c r="U818" i="1"/>
  <c r="R818" i="1"/>
  <c r="P818" i="1"/>
  <c r="K818" i="1"/>
  <c r="Z817" i="1"/>
  <c r="W817" i="1"/>
  <c r="V817" i="1"/>
  <c r="U817" i="1"/>
  <c r="R817" i="1"/>
  <c r="P817" i="1"/>
  <c r="K817" i="1"/>
  <c r="Z816" i="1"/>
  <c r="W816" i="1"/>
  <c r="V816" i="1"/>
  <c r="U816" i="1"/>
  <c r="R816" i="1"/>
  <c r="P816" i="1"/>
  <c r="K816" i="1"/>
  <c r="Z815" i="1"/>
  <c r="W815" i="1"/>
  <c r="V815" i="1"/>
  <c r="U815" i="1"/>
  <c r="R815" i="1"/>
  <c r="P815" i="1"/>
  <c r="K815" i="1"/>
  <c r="Z814" i="1"/>
  <c r="W814" i="1"/>
  <c r="V814" i="1"/>
  <c r="U814" i="1"/>
  <c r="R814" i="1"/>
  <c r="P814" i="1"/>
  <c r="K814" i="1"/>
  <c r="Z813" i="1"/>
  <c r="W813" i="1"/>
  <c r="V813" i="1"/>
  <c r="U813" i="1"/>
  <c r="R813" i="1"/>
  <c r="P813" i="1"/>
  <c r="K813" i="1"/>
  <c r="Z812" i="1"/>
  <c r="W812" i="1"/>
  <c r="V812" i="1"/>
  <c r="U812" i="1"/>
  <c r="R812" i="1"/>
  <c r="P812" i="1"/>
  <c r="K812" i="1"/>
  <c r="Z811" i="1"/>
  <c r="W811" i="1"/>
  <c r="V811" i="1"/>
  <c r="U811" i="1"/>
  <c r="R811" i="1"/>
  <c r="P811" i="1"/>
  <c r="K811" i="1"/>
  <c r="Z810" i="1"/>
  <c r="W810" i="1"/>
  <c r="V810" i="1"/>
  <c r="U810" i="1"/>
  <c r="R810" i="1"/>
  <c r="P810" i="1"/>
  <c r="K810" i="1"/>
  <c r="Z809" i="1"/>
  <c r="W809" i="1"/>
  <c r="V809" i="1"/>
  <c r="U809" i="1"/>
  <c r="R809" i="1"/>
  <c r="P809" i="1"/>
  <c r="K809" i="1"/>
  <c r="Z808" i="1"/>
  <c r="W808" i="1"/>
  <c r="V808" i="1"/>
  <c r="U808" i="1"/>
  <c r="R808" i="1"/>
  <c r="P808" i="1"/>
  <c r="K808" i="1"/>
  <c r="Z807" i="1"/>
  <c r="W807" i="1"/>
  <c r="V807" i="1"/>
  <c r="U807" i="1"/>
  <c r="R807" i="1"/>
  <c r="P807" i="1"/>
  <c r="K807" i="1"/>
  <c r="Z806" i="1"/>
  <c r="W806" i="1"/>
  <c r="V806" i="1"/>
  <c r="U806" i="1"/>
  <c r="R806" i="1"/>
  <c r="P806" i="1"/>
  <c r="K806" i="1"/>
  <c r="Z805" i="1"/>
  <c r="W805" i="1"/>
  <c r="V805" i="1"/>
  <c r="U805" i="1"/>
  <c r="R805" i="1"/>
  <c r="P805" i="1"/>
  <c r="K805" i="1"/>
  <c r="Z804" i="1"/>
  <c r="W804" i="1"/>
  <c r="V804" i="1"/>
  <c r="U804" i="1"/>
  <c r="R804" i="1"/>
  <c r="P804" i="1"/>
  <c r="K804" i="1"/>
  <c r="Z803" i="1"/>
  <c r="W803" i="1"/>
  <c r="V803" i="1"/>
  <c r="U803" i="1"/>
  <c r="R803" i="1"/>
  <c r="P803" i="1"/>
  <c r="K803" i="1"/>
  <c r="Z802" i="1"/>
  <c r="W802" i="1"/>
  <c r="V802" i="1"/>
  <c r="U802" i="1"/>
  <c r="R802" i="1"/>
  <c r="P802" i="1"/>
  <c r="K802" i="1"/>
  <c r="Z801" i="1"/>
  <c r="W801" i="1"/>
  <c r="V801" i="1"/>
  <c r="U801" i="1"/>
  <c r="R801" i="1"/>
  <c r="P801" i="1"/>
  <c r="K801" i="1"/>
  <c r="Z800" i="1"/>
  <c r="W800" i="1"/>
  <c r="V800" i="1"/>
  <c r="U800" i="1"/>
  <c r="R800" i="1"/>
  <c r="P800" i="1"/>
  <c r="K800" i="1"/>
  <c r="Z799" i="1"/>
  <c r="W799" i="1"/>
  <c r="V799" i="1"/>
  <c r="U799" i="1"/>
  <c r="R799" i="1"/>
  <c r="P799" i="1"/>
  <c r="K799" i="1"/>
  <c r="Z798" i="1"/>
  <c r="W798" i="1"/>
  <c r="V798" i="1"/>
  <c r="U798" i="1"/>
  <c r="R798" i="1"/>
  <c r="P798" i="1"/>
  <c r="K798" i="1"/>
  <c r="Z797" i="1"/>
  <c r="W797" i="1"/>
  <c r="V797" i="1"/>
  <c r="U797" i="1"/>
  <c r="R797" i="1"/>
  <c r="P797" i="1"/>
  <c r="K797" i="1"/>
  <c r="Z796" i="1"/>
  <c r="W796" i="1"/>
  <c r="V796" i="1"/>
  <c r="U796" i="1"/>
  <c r="R796" i="1"/>
  <c r="P796" i="1"/>
  <c r="K796" i="1"/>
  <c r="Z795" i="1"/>
  <c r="W795" i="1"/>
  <c r="V795" i="1"/>
  <c r="U795" i="1"/>
  <c r="R795" i="1"/>
  <c r="P795" i="1"/>
  <c r="K795" i="1"/>
  <c r="Z794" i="1"/>
  <c r="W794" i="1"/>
  <c r="V794" i="1"/>
  <c r="U794" i="1"/>
  <c r="R794" i="1"/>
  <c r="P794" i="1"/>
  <c r="K794" i="1"/>
  <c r="Z793" i="1"/>
  <c r="W793" i="1"/>
  <c r="V793" i="1"/>
  <c r="U793" i="1"/>
  <c r="R793" i="1"/>
  <c r="P793" i="1"/>
  <c r="K793" i="1"/>
  <c r="Z792" i="1"/>
  <c r="W792" i="1"/>
  <c r="V792" i="1"/>
  <c r="U792" i="1"/>
  <c r="R792" i="1"/>
  <c r="P792" i="1"/>
  <c r="K792" i="1"/>
  <c r="Z791" i="1"/>
  <c r="W791" i="1"/>
  <c r="V791" i="1"/>
  <c r="U791" i="1"/>
  <c r="R791" i="1"/>
  <c r="P791" i="1"/>
  <c r="K791" i="1"/>
  <c r="Z790" i="1"/>
  <c r="W790" i="1"/>
  <c r="V790" i="1"/>
  <c r="U790" i="1"/>
  <c r="R790" i="1"/>
  <c r="P790" i="1"/>
  <c r="K790" i="1"/>
  <c r="Z789" i="1"/>
  <c r="W789" i="1"/>
  <c r="V789" i="1"/>
  <c r="U789" i="1"/>
  <c r="R789" i="1"/>
  <c r="P789" i="1"/>
  <c r="K789" i="1"/>
  <c r="Z788" i="1"/>
  <c r="W788" i="1"/>
  <c r="V788" i="1"/>
  <c r="U788" i="1"/>
  <c r="R788" i="1"/>
  <c r="P788" i="1"/>
  <c r="K788" i="1"/>
  <c r="Z787" i="1"/>
  <c r="W787" i="1"/>
  <c r="V787" i="1"/>
  <c r="U787" i="1"/>
  <c r="R787" i="1"/>
  <c r="P787" i="1"/>
  <c r="K787" i="1"/>
  <c r="Z786" i="1"/>
  <c r="W786" i="1"/>
  <c r="V786" i="1"/>
  <c r="U786" i="1"/>
  <c r="R786" i="1"/>
  <c r="P786" i="1"/>
  <c r="K786" i="1"/>
  <c r="Z785" i="1"/>
  <c r="W785" i="1"/>
  <c r="V785" i="1"/>
  <c r="U785" i="1"/>
  <c r="R785" i="1"/>
  <c r="P785" i="1"/>
  <c r="K785" i="1"/>
  <c r="Z784" i="1"/>
  <c r="W784" i="1"/>
  <c r="V784" i="1"/>
  <c r="U784" i="1"/>
  <c r="R784" i="1"/>
  <c r="P784" i="1"/>
  <c r="K784" i="1"/>
  <c r="Z783" i="1"/>
  <c r="W783" i="1"/>
  <c r="V783" i="1"/>
  <c r="U783" i="1"/>
  <c r="R783" i="1"/>
  <c r="P783" i="1"/>
  <c r="K783" i="1"/>
  <c r="Z782" i="1"/>
  <c r="W782" i="1"/>
  <c r="V782" i="1"/>
  <c r="U782" i="1"/>
  <c r="R782" i="1"/>
  <c r="P782" i="1"/>
  <c r="K782" i="1"/>
  <c r="Z781" i="1"/>
  <c r="W781" i="1"/>
  <c r="V781" i="1"/>
  <c r="U781" i="1"/>
  <c r="R781" i="1"/>
  <c r="P781" i="1"/>
  <c r="K781" i="1"/>
  <c r="Z780" i="1"/>
  <c r="W780" i="1"/>
  <c r="V780" i="1"/>
  <c r="U780" i="1"/>
  <c r="R780" i="1"/>
  <c r="P780" i="1"/>
  <c r="K780" i="1"/>
  <c r="Z779" i="1"/>
  <c r="W779" i="1"/>
  <c r="V779" i="1"/>
  <c r="U779" i="1"/>
  <c r="R779" i="1"/>
  <c r="P779" i="1"/>
  <c r="K779" i="1"/>
  <c r="Z778" i="1"/>
  <c r="W778" i="1"/>
  <c r="V778" i="1"/>
  <c r="U778" i="1"/>
  <c r="R778" i="1"/>
  <c r="P778" i="1"/>
  <c r="K778" i="1"/>
  <c r="Z777" i="1"/>
  <c r="W777" i="1"/>
  <c r="V777" i="1"/>
  <c r="U777" i="1"/>
  <c r="R777" i="1"/>
  <c r="P777" i="1"/>
  <c r="K777" i="1"/>
  <c r="Z776" i="1"/>
  <c r="W776" i="1"/>
  <c r="V776" i="1"/>
  <c r="U776" i="1"/>
  <c r="R776" i="1"/>
  <c r="P776" i="1"/>
  <c r="K776" i="1"/>
  <c r="Z775" i="1"/>
  <c r="W775" i="1"/>
  <c r="V775" i="1"/>
  <c r="U775" i="1"/>
  <c r="R775" i="1"/>
  <c r="P775" i="1"/>
  <c r="K775" i="1"/>
  <c r="Z774" i="1"/>
  <c r="W774" i="1"/>
  <c r="V774" i="1"/>
  <c r="U774" i="1"/>
  <c r="R774" i="1"/>
  <c r="P774" i="1"/>
  <c r="K774" i="1"/>
  <c r="Z773" i="1"/>
  <c r="W773" i="1"/>
  <c r="V773" i="1"/>
  <c r="U773" i="1"/>
  <c r="R773" i="1"/>
  <c r="P773" i="1"/>
  <c r="K773" i="1"/>
  <c r="Z772" i="1"/>
  <c r="W772" i="1"/>
  <c r="V772" i="1"/>
  <c r="U772" i="1"/>
  <c r="R772" i="1"/>
  <c r="P772" i="1"/>
  <c r="K772" i="1"/>
  <c r="Z771" i="1"/>
  <c r="W771" i="1"/>
  <c r="V771" i="1"/>
  <c r="U771" i="1"/>
  <c r="R771" i="1"/>
  <c r="P771" i="1"/>
  <c r="K771" i="1"/>
  <c r="Z770" i="1"/>
  <c r="W770" i="1"/>
  <c r="V770" i="1"/>
  <c r="U770" i="1"/>
  <c r="R770" i="1"/>
  <c r="P770" i="1"/>
  <c r="K770" i="1"/>
  <c r="Z769" i="1"/>
  <c r="W769" i="1"/>
  <c r="V769" i="1"/>
  <c r="U769" i="1"/>
  <c r="R769" i="1"/>
  <c r="P769" i="1"/>
  <c r="K769" i="1"/>
  <c r="Z768" i="1"/>
  <c r="W768" i="1"/>
  <c r="V768" i="1"/>
  <c r="U768" i="1"/>
  <c r="R768" i="1"/>
  <c r="P768" i="1"/>
  <c r="K768" i="1"/>
  <c r="Z767" i="1"/>
  <c r="W767" i="1"/>
  <c r="V767" i="1"/>
  <c r="U767" i="1"/>
  <c r="R767" i="1"/>
  <c r="P767" i="1"/>
  <c r="K767" i="1"/>
  <c r="Z766" i="1"/>
  <c r="W766" i="1"/>
  <c r="V766" i="1"/>
  <c r="U766" i="1"/>
  <c r="R766" i="1"/>
  <c r="P766" i="1"/>
  <c r="K766" i="1"/>
  <c r="Z765" i="1"/>
  <c r="W765" i="1"/>
  <c r="V765" i="1"/>
  <c r="U765" i="1"/>
  <c r="R765" i="1"/>
  <c r="P765" i="1"/>
  <c r="K765" i="1"/>
  <c r="Z764" i="1"/>
  <c r="W764" i="1"/>
  <c r="V764" i="1"/>
  <c r="U764" i="1"/>
  <c r="R764" i="1"/>
  <c r="P764" i="1"/>
  <c r="K764" i="1"/>
  <c r="Z763" i="1"/>
  <c r="W763" i="1"/>
  <c r="V763" i="1"/>
  <c r="U763" i="1"/>
  <c r="R763" i="1"/>
  <c r="P763" i="1"/>
  <c r="K763" i="1"/>
  <c r="Z762" i="1"/>
  <c r="W762" i="1"/>
  <c r="V762" i="1"/>
  <c r="U762" i="1"/>
  <c r="R762" i="1"/>
  <c r="P762" i="1"/>
  <c r="K762" i="1"/>
  <c r="Z761" i="1"/>
  <c r="W761" i="1"/>
  <c r="V761" i="1"/>
  <c r="U761" i="1"/>
  <c r="R761" i="1"/>
  <c r="P761" i="1"/>
  <c r="K761" i="1"/>
  <c r="Z760" i="1"/>
  <c r="W760" i="1"/>
  <c r="V760" i="1"/>
  <c r="U760" i="1"/>
  <c r="R760" i="1"/>
  <c r="P760" i="1"/>
  <c r="K760" i="1"/>
  <c r="Z759" i="1"/>
  <c r="W759" i="1"/>
  <c r="V759" i="1"/>
  <c r="U759" i="1"/>
  <c r="R759" i="1"/>
  <c r="P759" i="1"/>
  <c r="K759" i="1"/>
  <c r="Z758" i="1"/>
  <c r="W758" i="1"/>
  <c r="V758" i="1"/>
  <c r="U758" i="1"/>
  <c r="R758" i="1"/>
  <c r="P758" i="1"/>
  <c r="K758" i="1"/>
  <c r="Z757" i="1"/>
  <c r="W757" i="1"/>
  <c r="V757" i="1"/>
  <c r="U757" i="1"/>
  <c r="R757" i="1"/>
  <c r="P757" i="1"/>
  <c r="K757" i="1"/>
  <c r="Z756" i="1"/>
  <c r="W756" i="1"/>
  <c r="V756" i="1"/>
  <c r="U756" i="1"/>
  <c r="R756" i="1"/>
  <c r="P756" i="1"/>
  <c r="K756" i="1"/>
  <c r="Z755" i="1"/>
  <c r="W755" i="1"/>
  <c r="V755" i="1"/>
  <c r="U755" i="1"/>
  <c r="R755" i="1"/>
  <c r="P755" i="1"/>
  <c r="K755" i="1"/>
  <c r="Z754" i="1"/>
  <c r="W754" i="1"/>
  <c r="V754" i="1"/>
  <c r="U754" i="1"/>
  <c r="R754" i="1"/>
  <c r="P754" i="1"/>
  <c r="K754" i="1"/>
  <c r="Z753" i="1"/>
  <c r="W753" i="1"/>
  <c r="V753" i="1"/>
  <c r="U753" i="1"/>
  <c r="R753" i="1"/>
  <c r="P753" i="1"/>
  <c r="K753" i="1"/>
  <c r="Z752" i="1"/>
  <c r="W752" i="1"/>
  <c r="V752" i="1"/>
  <c r="U752" i="1"/>
  <c r="R752" i="1"/>
  <c r="P752" i="1"/>
  <c r="K752" i="1"/>
  <c r="Z751" i="1"/>
  <c r="W751" i="1"/>
  <c r="V751" i="1"/>
  <c r="U751" i="1"/>
  <c r="R751" i="1"/>
  <c r="P751" i="1"/>
  <c r="K751" i="1"/>
  <c r="Z750" i="1"/>
  <c r="W750" i="1"/>
  <c r="V750" i="1"/>
  <c r="U750" i="1"/>
  <c r="R750" i="1"/>
  <c r="P750" i="1"/>
  <c r="K750" i="1"/>
  <c r="Z749" i="1"/>
  <c r="W749" i="1"/>
  <c r="V749" i="1"/>
  <c r="U749" i="1"/>
  <c r="R749" i="1"/>
  <c r="P749" i="1"/>
  <c r="K749" i="1"/>
  <c r="Z748" i="1"/>
  <c r="W748" i="1"/>
  <c r="V748" i="1"/>
  <c r="U748" i="1"/>
  <c r="R748" i="1"/>
  <c r="P748" i="1"/>
  <c r="K748" i="1"/>
  <c r="Z747" i="1"/>
  <c r="W747" i="1"/>
  <c r="V747" i="1"/>
  <c r="U747" i="1"/>
  <c r="R747" i="1"/>
  <c r="P747" i="1"/>
  <c r="K747" i="1"/>
  <c r="Z746" i="1"/>
  <c r="W746" i="1"/>
  <c r="V746" i="1"/>
  <c r="U746" i="1"/>
  <c r="R746" i="1"/>
  <c r="P746" i="1"/>
  <c r="K746" i="1"/>
  <c r="Z745" i="1"/>
  <c r="W745" i="1"/>
  <c r="V745" i="1"/>
  <c r="U745" i="1"/>
  <c r="R745" i="1"/>
  <c r="P745" i="1"/>
  <c r="K745" i="1"/>
  <c r="Z744" i="1"/>
  <c r="W744" i="1"/>
  <c r="V744" i="1"/>
  <c r="U744" i="1"/>
  <c r="R744" i="1"/>
  <c r="P744" i="1"/>
  <c r="K744" i="1"/>
  <c r="Z743" i="1"/>
  <c r="W743" i="1"/>
  <c r="V743" i="1"/>
  <c r="U743" i="1"/>
  <c r="R743" i="1"/>
  <c r="P743" i="1"/>
  <c r="K743" i="1"/>
  <c r="Z742" i="1"/>
  <c r="W742" i="1"/>
  <c r="V742" i="1"/>
  <c r="U742" i="1"/>
  <c r="R742" i="1"/>
  <c r="P742" i="1"/>
  <c r="K742" i="1"/>
  <c r="Z741" i="1"/>
  <c r="W741" i="1"/>
  <c r="V741" i="1"/>
  <c r="U741" i="1"/>
  <c r="R741" i="1"/>
  <c r="P741" i="1"/>
  <c r="K741" i="1"/>
  <c r="Z740" i="1"/>
  <c r="W740" i="1"/>
  <c r="V740" i="1"/>
  <c r="U740" i="1"/>
  <c r="R740" i="1"/>
  <c r="P740" i="1"/>
  <c r="K740" i="1"/>
  <c r="Z739" i="1"/>
  <c r="W739" i="1"/>
  <c r="V739" i="1"/>
  <c r="U739" i="1"/>
  <c r="R739" i="1"/>
  <c r="P739" i="1"/>
  <c r="K739" i="1"/>
  <c r="Z738" i="1"/>
  <c r="W738" i="1"/>
  <c r="V738" i="1"/>
  <c r="U738" i="1"/>
  <c r="R738" i="1"/>
  <c r="P738" i="1"/>
  <c r="K738" i="1"/>
  <c r="Z737" i="1"/>
  <c r="W737" i="1"/>
  <c r="V737" i="1"/>
  <c r="U737" i="1"/>
  <c r="R737" i="1"/>
  <c r="P737" i="1"/>
  <c r="K737" i="1"/>
  <c r="Z736" i="1"/>
  <c r="W736" i="1"/>
  <c r="V736" i="1"/>
  <c r="U736" i="1"/>
  <c r="R736" i="1"/>
  <c r="P736" i="1"/>
  <c r="K736" i="1"/>
  <c r="Z735" i="1"/>
  <c r="W735" i="1"/>
  <c r="V735" i="1"/>
  <c r="U735" i="1"/>
  <c r="R735" i="1"/>
  <c r="P735" i="1"/>
  <c r="K735" i="1"/>
  <c r="Z734" i="1"/>
  <c r="W734" i="1"/>
  <c r="V734" i="1"/>
  <c r="U734" i="1"/>
  <c r="R734" i="1"/>
  <c r="P734" i="1"/>
  <c r="K734" i="1"/>
  <c r="Z733" i="1"/>
  <c r="W733" i="1"/>
  <c r="V733" i="1"/>
  <c r="U733" i="1"/>
  <c r="R733" i="1"/>
  <c r="P733" i="1"/>
  <c r="K733" i="1"/>
  <c r="Z732" i="1"/>
  <c r="W732" i="1"/>
  <c r="V732" i="1"/>
  <c r="U732" i="1"/>
  <c r="R732" i="1"/>
  <c r="P732" i="1"/>
  <c r="K732" i="1"/>
  <c r="Z731" i="1"/>
  <c r="W731" i="1"/>
  <c r="V731" i="1"/>
  <c r="U731" i="1"/>
  <c r="R731" i="1"/>
  <c r="P731" i="1"/>
  <c r="K731" i="1"/>
  <c r="Z730" i="1"/>
  <c r="W730" i="1"/>
  <c r="V730" i="1"/>
  <c r="U730" i="1"/>
  <c r="R730" i="1"/>
  <c r="P730" i="1"/>
  <c r="K730" i="1"/>
  <c r="Z729" i="1"/>
  <c r="W729" i="1"/>
  <c r="V729" i="1"/>
  <c r="U729" i="1"/>
  <c r="R729" i="1"/>
  <c r="P729" i="1"/>
  <c r="K729" i="1"/>
  <c r="Z728" i="1"/>
  <c r="W728" i="1"/>
  <c r="V728" i="1"/>
  <c r="U728" i="1"/>
  <c r="R728" i="1"/>
  <c r="P728" i="1"/>
  <c r="K728" i="1"/>
  <c r="Z727" i="1"/>
  <c r="W727" i="1"/>
  <c r="V727" i="1"/>
  <c r="U727" i="1"/>
  <c r="R727" i="1"/>
  <c r="P727" i="1"/>
  <c r="K727" i="1"/>
  <c r="Z726" i="1"/>
  <c r="W726" i="1"/>
  <c r="V726" i="1"/>
  <c r="U726" i="1"/>
  <c r="R726" i="1"/>
  <c r="P726" i="1"/>
  <c r="K726" i="1"/>
  <c r="Z725" i="1"/>
  <c r="W725" i="1"/>
  <c r="V725" i="1"/>
  <c r="U725" i="1"/>
  <c r="R725" i="1"/>
  <c r="P725" i="1"/>
  <c r="K725" i="1"/>
  <c r="Z724" i="1"/>
  <c r="W724" i="1"/>
  <c r="V724" i="1"/>
  <c r="U724" i="1"/>
  <c r="R724" i="1"/>
  <c r="P724" i="1"/>
  <c r="K724" i="1"/>
  <c r="Z723" i="1"/>
  <c r="W723" i="1"/>
  <c r="V723" i="1"/>
  <c r="U723" i="1"/>
  <c r="R723" i="1"/>
  <c r="P723" i="1"/>
  <c r="K723" i="1"/>
  <c r="Z722" i="1"/>
  <c r="W722" i="1"/>
  <c r="V722" i="1"/>
  <c r="U722" i="1"/>
  <c r="R722" i="1"/>
  <c r="P722" i="1"/>
  <c r="K722" i="1"/>
  <c r="Z721" i="1"/>
  <c r="W721" i="1"/>
  <c r="V721" i="1"/>
  <c r="U721" i="1"/>
  <c r="R721" i="1"/>
  <c r="P721" i="1"/>
  <c r="K721" i="1"/>
  <c r="Z720" i="1"/>
  <c r="W720" i="1"/>
  <c r="V720" i="1"/>
  <c r="U720" i="1"/>
  <c r="R720" i="1"/>
  <c r="P720" i="1"/>
  <c r="K720" i="1"/>
  <c r="Z719" i="1"/>
  <c r="W719" i="1"/>
  <c r="V719" i="1"/>
  <c r="U719" i="1"/>
  <c r="R719" i="1"/>
  <c r="P719" i="1"/>
  <c r="K719" i="1"/>
  <c r="Z718" i="1"/>
  <c r="W718" i="1"/>
  <c r="V718" i="1"/>
  <c r="U718" i="1"/>
  <c r="R718" i="1"/>
  <c r="P718" i="1"/>
  <c r="K718" i="1"/>
  <c r="Z717" i="1"/>
  <c r="W717" i="1"/>
  <c r="V717" i="1"/>
  <c r="U717" i="1"/>
  <c r="R717" i="1"/>
  <c r="P717" i="1"/>
  <c r="K717" i="1"/>
  <c r="Z716" i="1"/>
  <c r="W716" i="1"/>
  <c r="V716" i="1"/>
  <c r="U716" i="1"/>
  <c r="R716" i="1"/>
  <c r="P716" i="1"/>
  <c r="K716" i="1"/>
  <c r="Z715" i="1"/>
  <c r="W715" i="1"/>
  <c r="V715" i="1"/>
  <c r="U715" i="1"/>
  <c r="R715" i="1"/>
  <c r="P715" i="1"/>
  <c r="K715" i="1"/>
  <c r="Z714" i="1"/>
  <c r="W714" i="1"/>
  <c r="V714" i="1"/>
  <c r="U714" i="1"/>
  <c r="R714" i="1"/>
  <c r="P714" i="1"/>
  <c r="K714" i="1"/>
  <c r="Z713" i="1"/>
  <c r="W713" i="1"/>
  <c r="V713" i="1"/>
  <c r="U713" i="1"/>
  <c r="R713" i="1"/>
  <c r="P713" i="1"/>
  <c r="K713" i="1"/>
  <c r="Z712" i="1"/>
  <c r="W712" i="1"/>
  <c r="V712" i="1"/>
  <c r="U712" i="1"/>
  <c r="R712" i="1"/>
  <c r="P712" i="1"/>
  <c r="K712" i="1"/>
  <c r="Z711" i="1"/>
  <c r="W711" i="1"/>
  <c r="V711" i="1"/>
  <c r="U711" i="1"/>
  <c r="R711" i="1"/>
  <c r="P711" i="1"/>
  <c r="K711" i="1"/>
  <c r="Z710" i="1"/>
  <c r="W710" i="1"/>
  <c r="V710" i="1"/>
  <c r="U710" i="1"/>
  <c r="R710" i="1"/>
  <c r="P710" i="1"/>
  <c r="K710" i="1"/>
  <c r="Z709" i="1"/>
  <c r="W709" i="1"/>
  <c r="V709" i="1"/>
  <c r="U709" i="1"/>
  <c r="R709" i="1"/>
  <c r="P709" i="1"/>
  <c r="K709" i="1"/>
  <c r="Z708" i="1"/>
  <c r="W708" i="1"/>
  <c r="V708" i="1"/>
  <c r="U708" i="1"/>
  <c r="R708" i="1"/>
  <c r="P708" i="1"/>
  <c r="K708" i="1"/>
  <c r="Z707" i="1"/>
  <c r="W707" i="1"/>
  <c r="V707" i="1"/>
  <c r="U707" i="1"/>
  <c r="R707" i="1"/>
  <c r="P707" i="1"/>
  <c r="K707" i="1"/>
  <c r="Z706" i="1"/>
  <c r="W706" i="1"/>
  <c r="V706" i="1"/>
  <c r="U706" i="1"/>
  <c r="R706" i="1"/>
  <c r="P706" i="1"/>
  <c r="K706" i="1"/>
  <c r="Z705" i="1"/>
  <c r="W705" i="1"/>
  <c r="V705" i="1"/>
  <c r="U705" i="1"/>
  <c r="R705" i="1"/>
  <c r="P705" i="1"/>
  <c r="K705" i="1"/>
  <c r="Z704" i="1"/>
  <c r="W704" i="1"/>
  <c r="V704" i="1"/>
  <c r="U704" i="1"/>
  <c r="R704" i="1"/>
  <c r="P704" i="1"/>
  <c r="K704" i="1"/>
  <c r="Z703" i="1"/>
  <c r="W703" i="1"/>
  <c r="V703" i="1"/>
  <c r="U703" i="1"/>
  <c r="R703" i="1"/>
  <c r="P703" i="1"/>
  <c r="K703" i="1"/>
  <c r="Z702" i="1"/>
  <c r="W702" i="1"/>
  <c r="V702" i="1"/>
  <c r="U702" i="1"/>
  <c r="R702" i="1"/>
  <c r="P702" i="1"/>
  <c r="K702" i="1"/>
  <c r="Z701" i="1"/>
  <c r="W701" i="1"/>
  <c r="V701" i="1"/>
  <c r="U701" i="1"/>
  <c r="R701" i="1"/>
  <c r="P701" i="1"/>
  <c r="K701" i="1"/>
  <c r="Z700" i="1"/>
  <c r="W700" i="1"/>
  <c r="V700" i="1"/>
  <c r="U700" i="1"/>
  <c r="R700" i="1"/>
  <c r="P700" i="1"/>
  <c r="K700" i="1"/>
  <c r="Z699" i="1"/>
  <c r="W699" i="1"/>
  <c r="V699" i="1"/>
  <c r="U699" i="1"/>
  <c r="R699" i="1"/>
  <c r="P699" i="1"/>
  <c r="K699" i="1"/>
  <c r="Z698" i="1"/>
  <c r="W698" i="1"/>
  <c r="V698" i="1"/>
  <c r="U698" i="1"/>
  <c r="R698" i="1"/>
  <c r="P698" i="1"/>
  <c r="K698" i="1"/>
  <c r="Z697" i="1"/>
  <c r="W697" i="1"/>
  <c r="V697" i="1"/>
  <c r="U697" i="1"/>
  <c r="R697" i="1"/>
  <c r="P697" i="1"/>
  <c r="K697" i="1"/>
  <c r="Z696" i="1"/>
  <c r="W696" i="1"/>
  <c r="V696" i="1"/>
  <c r="U696" i="1"/>
  <c r="R696" i="1"/>
  <c r="P696" i="1"/>
  <c r="K696" i="1"/>
  <c r="Z695" i="1"/>
  <c r="W695" i="1"/>
  <c r="V695" i="1"/>
  <c r="U695" i="1"/>
  <c r="R695" i="1"/>
  <c r="P695" i="1"/>
  <c r="K695" i="1"/>
  <c r="Z694" i="1"/>
  <c r="W694" i="1"/>
  <c r="V694" i="1"/>
  <c r="U694" i="1"/>
  <c r="R694" i="1"/>
  <c r="P694" i="1"/>
  <c r="K694" i="1"/>
  <c r="Z693" i="1"/>
  <c r="W693" i="1"/>
  <c r="V693" i="1"/>
  <c r="U693" i="1"/>
  <c r="R693" i="1"/>
  <c r="P693" i="1"/>
  <c r="K693" i="1"/>
  <c r="Z692" i="1"/>
  <c r="W692" i="1"/>
  <c r="V692" i="1"/>
  <c r="U692" i="1"/>
  <c r="R692" i="1"/>
  <c r="P692" i="1"/>
  <c r="K692" i="1"/>
  <c r="Z691" i="1"/>
  <c r="W691" i="1"/>
  <c r="V691" i="1"/>
  <c r="U691" i="1"/>
  <c r="R691" i="1"/>
  <c r="P691" i="1"/>
  <c r="K691" i="1"/>
  <c r="Z690" i="1"/>
  <c r="W690" i="1"/>
  <c r="V690" i="1"/>
  <c r="U690" i="1"/>
  <c r="R690" i="1"/>
  <c r="P690" i="1"/>
  <c r="K690" i="1"/>
  <c r="Z689" i="1"/>
  <c r="W689" i="1"/>
  <c r="V689" i="1"/>
  <c r="U689" i="1"/>
  <c r="R689" i="1"/>
  <c r="P689" i="1"/>
  <c r="K689" i="1"/>
  <c r="Z688" i="1"/>
  <c r="W688" i="1"/>
  <c r="V688" i="1"/>
  <c r="U688" i="1"/>
  <c r="R688" i="1"/>
  <c r="P688" i="1"/>
  <c r="K688" i="1"/>
  <c r="Z687" i="1"/>
  <c r="W687" i="1"/>
  <c r="V687" i="1"/>
  <c r="U687" i="1"/>
  <c r="R687" i="1"/>
  <c r="P687" i="1"/>
  <c r="K687" i="1"/>
  <c r="Z686" i="1"/>
  <c r="W686" i="1"/>
  <c r="V686" i="1"/>
  <c r="U686" i="1"/>
  <c r="R686" i="1"/>
  <c r="P686" i="1"/>
  <c r="K686" i="1"/>
  <c r="Z685" i="1"/>
  <c r="W685" i="1"/>
  <c r="V685" i="1"/>
  <c r="U685" i="1"/>
  <c r="R685" i="1"/>
  <c r="P685" i="1"/>
  <c r="K685" i="1"/>
  <c r="Z684" i="1"/>
  <c r="W684" i="1"/>
  <c r="V684" i="1"/>
  <c r="U684" i="1"/>
  <c r="R684" i="1"/>
  <c r="P684" i="1"/>
  <c r="K684" i="1"/>
  <c r="Z683" i="1"/>
  <c r="W683" i="1"/>
  <c r="V683" i="1"/>
  <c r="U683" i="1"/>
  <c r="R683" i="1"/>
  <c r="P683" i="1"/>
  <c r="K683" i="1"/>
  <c r="Z682" i="1"/>
  <c r="W682" i="1"/>
  <c r="V682" i="1"/>
  <c r="U682" i="1"/>
  <c r="R682" i="1"/>
  <c r="P682" i="1"/>
  <c r="K682" i="1"/>
  <c r="Z681" i="1"/>
  <c r="W681" i="1"/>
  <c r="V681" i="1"/>
  <c r="U681" i="1"/>
  <c r="R681" i="1"/>
  <c r="P681" i="1"/>
  <c r="K681" i="1"/>
  <c r="Z680" i="1"/>
  <c r="W680" i="1"/>
  <c r="V680" i="1"/>
  <c r="U680" i="1"/>
  <c r="R680" i="1"/>
  <c r="P680" i="1"/>
  <c r="K680" i="1"/>
  <c r="Z679" i="1"/>
  <c r="W679" i="1"/>
  <c r="V679" i="1"/>
  <c r="U679" i="1"/>
  <c r="R679" i="1"/>
  <c r="P679" i="1"/>
  <c r="K679" i="1"/>
  <c r="Z678" i="1"/>
  <c r="W678" i="1"/>
  <c r="V678" i="1"/>
  <c r="U678" i="1"/>
  <c r="R678" i="1"/>
  <c r="P678" i="1"/>
  <c r="K678" i="1"/>
  <c r="Z677" i="1"/>
  <c r="W677" i="1"/>
  <c r="V677" i="1"/>
  <c r="U677" i="1"/>
  <c r="R677" i="1"/>
  <c r="P677" i="1"/>
  <c r="K677" i="1"/>
  <c r="Z676" i="1"/>
  <c r="W676" i="1"/>
  <c r="V676" i="1"/>
  <c r="U676" i="1"/>
  <c r="R676" i="1"/>
  <c r="P676" i="1"/>
  <c r="K676" i="1"/>
  <c r="Z675" i="1"/>
  <c r="W675" i="1"/>
  <c r="V675" i="1"/>
  <c r="U675" i="1"/>
  <c r="R675" i="1"/>
  <c r="P675" i="1"/>
  <c r="K675" i="1"/>
  <c r="Z674" i="1"/>
  <c r="W674" i="1"/>
  <c r="V674" i="1"/>
  <c r="U674" i="1"/>
  <c r="R674" i="1"/>
  <c r="P674" i="1"/>
  <c r="K674" i="1"/>
  <c r="Z673" i="1"/>
  <c r="W673" i="1"/>
  <c r="V673" i="1"/>
  <c r="U673" i="1"/>
  <c r="R673" i="1"/>
  <c r="P673" i="1"/>
  <c r="K673" i="1"/>
  <c r="Z672" i="1"/>
  <c r="W672" i="1"/>
  <c r="V672" i="1"/>
  <c r="U672" i="1"/>
  <c r="R672" i="1"/>
  <c r="P672" i="1"/>
  <c r="K672" i="1"/>
  <c r="Z671" i="1"/>
  <c r="W671" i="1"/>
  <c r="V671" i="1"/>
  <c r="U671" i="1"/>
  <c r="R671" i="1"/>
  <c r="P671" i="1"/>
  <c r="K671" i="1"/>
  <c r="Z670" i="1"/>
  <c r="W670" i="1"/>
  <c r="V670" i="1"/>
  <c r="U670" i="1"/>
  <c r="R670" i="1"/>
  <c r="P670" i="1"/>
  <c r="K670" i="1"/>
  <c r="Z669" i="1"/>
  <c r="W669" i="1"/>
  <c r="V669" i="1"/>
  <c r="U669" i="1"/>
  <c r="R669" i="1"/>
  <c r="P669" i="1"/>
  <c r="K669" i="1"/>
  <c r="Z668" i="1"/>
  <c r="W668" i="1"/>
  <c r="V668" i="1"/>
  <c r="U668" i="1"/>
  <c r="R668" i="1"/>
  <c r="P668" i="1"/>
  <c r="K668" i="1"/>
  <c r="Z667" i="1"/>
  <c r="W667" i="1"/>
  <c r="V667" i="1"/>
  <c r="U667" i="1"/>
  <c r="R667" i="1"/>
  <c r="P667" i="1"/>
  <c r="K667" i="1"/>
  <c r="Z666" i="1"/>
  <c r="W666" i="1"/>
  <c r="V666" i="1"/>
  <c r="U666" i="1"/>
  <c r="R666" i="1"/>
  <c r="P666" i="1"/>
  <c r="K666" i="1"/>
  <c r="Z665" i="1"/>
  <c r="W665" i="1"/>
  <c r="V665" i="1"/>
  <c r="U665" i="1"/>
  <c r="R665" i="1"/>
  <c r="P665" i="1"/>
  <c r="K665" i="1"/>
  <c r="Z664" i="1"/>
  <c r="W664" i="1"/>
  <c r="V664" i="1"/>
  <c r="U664" i="1"/>
  <c r="R664" i="1"/>
  <c r="P664" i="1"/>
  <c r="K664" i="1"/>
  <c r="Z663" i="1"/>
  <c r="W663" i="1"/>
  <c r="V663" i="1"/>
  <c r="U663" i="1"/>
  <c r="R663" i="1"/>
  <c r="P663" i="1"/>
  <c r="K663" i="1"/>
  <c r="Z662" i="1"/>
  <c r="W662" i="1"/>
  <c r="V662" i="1"/>
  <c r="U662" i="1"/>
  <c r="R662" i="1"/>
  <c r="P662" i="1"/>
  <c r="K662" i="1"/>
  <c r="Z661" i="1"/>
  <c r="W661" i="1"/>
  <c r="V661" i="1"/>
  <c r="U661" i="1"/>
  <c r="R661" i="1"/>
  <c r="P661" i="1"/>
  <c r="K661" i="1"/>
  <c r="Z660" i="1"/>
  <c r="W660" i="1"/>
  <c r="V660" i="1"/>
  <c r="U660" i="1"/>
  <c r="R660" i="1"/>
  <c r="P660" i="1"/>
  <c r="K660" i="1"/>
  <c r="Z659" i="1"/>
  <c r="W659" i="1"/>
  <c r="V659" i="1"/>
  <c r="U659" i="1"/>
  <c r="R659" i="1"/>
  <c r="P659" i="1"/>
  <c r="K659" i="1"/>
  <c r="Z658" i="1"/>
  <c r="W658" i="1"/>
  <c r="V658" i="1"/>
  <c r="U658" i="1"/>
  <c r="R658" i="1"/>
  <c r="P658" i="1"/>
  <c r="K658" i="1"/>
  <c r="Z657" i="1"/>
  <c r="W657" i="1"/>
  <c r="V657" i="1"/>
  <c r="U657" i="1"/>
  <c r="R657" i="1"/>
  <c r="P657" i="1"/>
  <c r="K657" i="1"/>
  <c r="Z656" i="1"/>
  <c r="W656" i="1"/>
  <c r="V656" i="1"/>
  <c r="U656" i="1"/>
  <c r="R656" i="1"/>
  <c r="P656" i="1"/>
  <c r="K656" i="1"/>
  <c r="Z655" i="1"/>
  <c r="W655" i="1"/>
  <c r="V655" i="1"/>
  <c r="U655" i="1"/>
  <c r="R655" i="1"/>
  <c r="P655" i="1"/>
  <c r="K655" i="1"/>
  <c r="Z654" i="1"/>
  <c r="W654" i="1"/>
  <c r="V654" i="1"/>
  <c r="U654" i="1"/>
  <c r="R654" i="1"/>
  <c r="P654" i="1"/>
  <c r="K654" i="1"/>
  <c r="Z653" i="1"/>
  <c r="W653" i="1"/>
  <c r="V653" i="1"/>
  <c r="U653" i="1"/>
  <c r="R653" i="1"/>
  <c r="P653" i="1"/>
  <c r="K653" i="1"/>
  <c r="Z652" i="1"/>
  <c r="W652" i="1"/>
  <c r="V652" i="1"/>
  <c r="U652" i="1"/>
  <c r="R652" i="1"/>
  <c r="P652" i="1"/>
  <c r="K652" i="1"/>
  <c r="Z651" i="1"/>
  <c r="W651" i="1"/>
  <c r="V651" i="1"/>
  <c r="U651" i="1"/>
  <c r="R651" i="1"/>
  <c r="P651" i="1"/>
  <c r="K651" i="1"/>
  <c r="Z650" i="1"/>
  <c r="W650" i="1"/>
  <c r="V650" i="1"/>
  <c r="U650" i="1"/>
  <c r="R650" i="1"/>
  <c r="P650" i="1"/>
  <c r="K650" i="1"/>
  <c r="Z649" i="1"/>
  <c r="W649" i="1"/>
  <c r="V649" i="1"/>
  <c r="U649" i="1"/>
  <c r="R649" i="1"/>
  <c r="P649" i="1"/>
  <c r="K649" i="1"/>
  <c r="Z648" i="1"/>
  <c r="W648" i="1"/>
  <c r="V648" i="1"/>
  <c r="U648" i="1"/>
  <c r="R648" i="1"/>
  <c r="P648" i="1"/>
  <c r="K648" i="1"/>
  <c r="Z647" i="1"/>
  <c r="W647" i="1"/>
  <c r="V647" i="1"/>
  <c r="U647" i="1"/>
  <c r="R647" i="1"/>
  <c r="P647" i="1"/>
  <c r="K647" i="1"/>
  <c r="Z646" i="1"/>
  <c r="W646" i="1"/>
  <c r="V646" i="1"/>
  <c r="U646" i="1"/>
  <c r="R646" i="1"/>
  <c r="P646" i="1"/>
  <c r="K646" i="1"/>
  <c r="Z645" i="1"/>
  <c r="W645" i="1"/>
  <c r="V645" i="1"/>
  <c r="U645" i="1"/>
  <c r="R645" i="1"/>
  <c r="P645" i="1"/>
  <c r="K645" i="1"/>
  <c r="Z644" i="1"/>
  <c r="W644" i="1"/>
  <c r="V644" i="1"/>
  <c r="U644" i="1"/>
  <c r="R644" i="1"/>
  <c r="P644" i="1"/>
  <c r="K644" i="1"/>
  <c r="Z643" i="1"/>
  <c r="W643" i="1"/>
  <c r="V643" i="1"/>
  <c r="U643" i="1"/>
  <c r="R643" i="1"/>
  <c r="P643" i="1"/>
  <c r="K643" i="1"/>
  <c r="Z642" i="1"/>
  <c r="W642" i="1"/>
  <c r="V642" i="1"/>
  <c r="U642" i="1"/>
  <c r="R642" i="1"/>
  <c r="P642" i="1"/>
  <c r="K642" i="1"/>
  <c r="Z641" i="1"/>
  <c r="W641" i="1"/>
  <c r="V641" i="1"/>
  <c r="U641" i="1"/>
  <c r="R641" i="1"/>
  <c r="P641" i="1"/>
  <c r="K641" i="1"/>
  <c r="Z640" i="1"/>
  <c r="W640" i="1"/>
  <c r="V640" i="1"/>
  <c r="U640" i="1"/>
  <c r="R640" i="1"/>
  <c r="P640" i="1"/>
  <c r="K640" i="1"/>
  <c r="Z639" i="1"/>
  <c r="W639" i="1"/>
  <c r="V639" i="1"/>
  <c r="U639" i="1"/>
  <c r="R639" i="1"/>
  <c r="P639" i="1"/>
  <c r="K639" i="1"/>
  <c r="Z638" i="1"/>
  <c r="W638" i="1"/>
  <c r="V638" i="1"/>
  <c r="U638" i="1"/>
  <c r="R638" i="1"/>
  <c r="P638" i="1"/>
  <c r="K638" i="1"/>
  <c r="Z637" i="1"/>
  <c r="W637" i="1"/>
  <c r="V637" i="1"/>
  <c r="U637" i="1"/>
  <c r="R637" i="1"/>
  <c r="P637" i="1"/>
  <c r="K637" i="1"/>
  <c r="Z636" i="1"/>
  <c r="W636" i="1"/>
  <c r="V636" i="1"/>
  <c r="U636" i="1"/>
  <c r="R636" i="1"/>
  <c r="P636" i="1"/>
  <c r="K636" i="1"/>
  <c r="Z635" i="1"/>
  <c r="W635" i="1"/>
  <c r="V635" i="1"/>
  <c r="U635" i="1"/>
  <c r="R635" i="1"/>
  <c r="P635" i="1"/>
  <c r="K635" i="1"/>
  <c r="Z634" i="1"/>
  <c r="W634" i="1"/>
  <c r="V634" i="1"/>
  <c r="U634" i="1"/>
  <c r="R634" i="1"/>
  <c r="P634" i="1"/>
  <c r="K634" i="1"/>
  <c r="Z633" i="1"/>
  <c r="W633" i="1"/>
  <c r="V633" i="1"/>
  <c r="U633" i="1"/>
  <c r="R633" i="1"/>
  <c r="P633" i="1"/>
  <c r="K633" i="1"/>
  <c r="Z632" i="1"/>
  <c r="W632" i="1"/>
  <c r="V632" i="1"/>
  <c r="U632" i="1"/>
  <c r="R632" i="1"/>
  <c r="P632" i="1"/>
  <c r="K632" i="1"/>
  <c r="Z631" i="1"/>
  <c r="W631" i="1"/>
  <c r="V631" i="1"/>
  <c r="U631" i="1"/>
  <c r="R631" i="1"/>
  <c r="P631" i="1"/>
  <c r="K631" i="1"/>
  <c r="Z630" i="1"/>
  <c r="W630" i="1"/>
  <c r="V630" i="1"/>
  <c r="U630" i="1"/>
  <c r="R630" i="1"/>
  <c r="P630" i="1"/>
  <c r="K630" i="1"/>
  <c r="Z629" i="1"/>
  <c r="W629" i="1"/>
  <c r="V629" i="1"/>
  <c r="U629" i="1"/>
  <c r="R629" i="1"/>
  <c r="P629" i="1"/>
  <c r="K629" i="1"/>
  <c r="Z628" i="1"/>
  <c r="W628" i="1"/>
  <c r="V628" i="1"/>
  <c r="U628" i="1"/>
  <c r="R628" i="1"/>
  <c r="P628" i="1"/>
  <c r="K628" i="1"/>
  <c r="Z627" i="1"/>
  <c r="W627" i="1"/>
  <c r="V627" i="1"/>
  <c r="U627" i="1"/>
  <c r="R627" i="1"/>
  <c r="P627" i="1"/>
  <c r="K627" i="1"/>
  <c r="Z626" i="1"/>
  <c r="W626" i="1"/>
  <c r="V626" i="1"/>
  <c r="U626" i="1"/>
  <c r="R626" i="1"/>
  <c r="P626" i="1"/>
  <c r="K626" i="1"/>
  <c r="Z625" i="1"/>
  <c r="W625" i="1"/>
  <c r="V625" i="1"/>
  <c r="U625" i="1"/>
  <c r="R625" i="1"/>
  <c r="P625" i="1"/>
  <c r="K625" i="1"/>
  <c r="Z624" i="1"/>
  <c r="W624" i="1"/>
  <c r="V624" i="1"/>
  <c r="U624" i="1"/>
  <c r="R624" i="1"/>
  <c r="P624" i="1"/>
  <c r="K624" i="1"/>
  <c r="Z623" i="1"/>
  <c r="W623" i="1"/>
  <c r="V623" i="1"/>
  <c r="U623" i="1"/>
  <c r="R623" i="1"/>
  <c r="P623" i="1"/>
  <c r="K623" i="1"/>
  <c r="Z622" i="1"/>
  <c r="W622" i="1"/>
  <c r="V622" i="1"/>
  <c r="U622" i="1"/>
  <c r="R622" i="1"/>
  <c r="P622" i="1"/>
  <c r="K622" i="1"/>
  <c r="Z621" i="1"/>
  <c r="W621" i="1"/>
  <c r="V621" i="1"/>
  <c r="U621" i="1"/>
  <c r="R621" i="1"/>
  <c r="P621" i="1"/>
  <c r="K621" i="1"/>
  <c r="Z620" i="1"/>
  <c r="W620" i="1"/>
  <c r="V620" i="1"/>
  <c r="U620" i="1"/>
  <c r="R620" i="1"/>
  <c r="P620" i="1"/>
  <c r="K620" i="1"/>
  <c r="Z619" i="1"/>
  <c r="W619" i="1"/>
  <c r="V619" i="1"/>
  <c r="U619" i="1"/>
  <c r="R619" i="1"/>
  <c r="P619" i="1"/>
  <c r="K619" i="1"/>
  <c r="Z618" i="1"/>
  <c r="W618" i="1"/>
  <c r="V618" i="1"/>
  <c r="U618" i="1"/>
  <c r="R618" i="1"/>
  <c r="P618" i="1"/>
  <c r="K618" i="1"/>
  <c r="Z617" i="1"/>
  <c r="W617" i="1"/>
  <c r="V617" i="1"/>
  <c r="U617" i="1"/>
  <c r="R617" i="1"/>
  <c r="P617" i="1"/>
  <c r="K617" i="1"/>
  <c r="Z616" i="1"/>
  <c r="W616" i="1"/>
  <c r="V616" i="1"/>
  <c r="U616" i="1"/>
  <c r="R616" i="1"/>
  <c r="P616" i="1"/>
  <c r="K616" i="1"/>
  <c r="Z615" i="1"/>
  <c r="W615" i="1"/>
  <c r="V615" i="1"/>
  <c r="U615" i="1"/>
  <c r="R615" i="1"/>
  <c r="P615" i="1"/>
  <c r="K615" i="1"/>
  <c r="Z614" i="1"/>
  <c r="W614" i="1"/>
  <c r="V614" i="1"/>
  <c r="U614" i="1"/>
  <c r="R614" i="1"/>
  <c r="P614" i="1"/>
  <c r="K614" i="1"/>
  <c r="Z613" i="1"/>
  <c r="W613" i="1"/>
  <c r="V613" i="1"/>
  <c r="U613" i="1"/>
  <c r="R613" i="1"/>
  <c r="P613" i="1"/>
  <c r="K613" i="1"/>
  <c r="Z612" i="1"/>
  <c r="W612" i="1"/>
  <c r="V612" i="1"/>
  <c r="U612" i="1"/>
  <c r="R612" i="1"/>
  <c r="P612" i="1"/>
  <c r="K612" i="1"/>
  <c r="Z611" i="1"/>
  <c r="W611" i="1"/>
  <c r="V611" i="1"/>
  <c r="U611" i="1"/>
  <c r="R611" i="1"/>
  <c r="P611" i="1"/>
  <c r="K611" i="1"/>
  <c r="Z610" i="1"/>
  <c r="W610" i="1"/>
  <c r="V610" i="1"/>
  <c r="U610" i="1"/>
  <c r="R610" i="1"/>
  <c r="P610" i="1"/>
  <c r="K610" i="1"/>
  <c r="Z609" i="1"/>
  <c r="W609" i="1"/>
  <c r="V609" i="1"/>
  <c r="U609" i="1"/>
  <c r="R609" i="1"/>
  <c r="P609" i="1"/>
  <c r="K609" i="1"/>
  <c r="Z608" i="1"/>
  <c r="W608" i="1"/>
  <c r="V608" i="1"/>
  <c r="U608" i="1"/>
  <c r="R608" i="1"/>
  <c r="P608" i="1"/>
  <c r="K608" i="1"/>
  <c r="Z607" i="1"/>
  <c r="W607" i="1"/>
  <c r="V607" i="1"/>
  <c r="U607" i="1"/>
  <c r="R607" i="1"/>
  <c r="P607" i="1"/>
  <c r="K607" i="1"/>
  <c r="Z606" i="1"/>
  <c r="W606" i="1"/>
  <c r="V606" i="1"/>
  <c r="U606" i="1"/>
  <c r="R606" i="1"/>
  <c r="P606" i="1"/>
  <c r="K606" i="1"/>
  <c r="Z605" i="1"/>
  <c r="W605" i="1"/>
  <c r="V605" i="1"/>
  <c r="U605" i="1"/>
  <c r="R605" i="1"/>
  <c r="P605" i="1"/>
  <c r="K605" i="1"/>
  <c r="Z604" i="1"/>
  <c r="W604" i="1"/>
  <c r="V604" i="1"/>
  <c r="U604" i="1"/>
  <c r="R604" i="1"/>
  <c r="P604" i="1"/>
  <c r="K604" i="1"/>
  <c r="Z603" i="1"/>
  <c r="W603" i="1"/>
  <c r="V603" i="1"/>
  <c r="U603" i="1"/>
  <c r="R603" i="1"/>
  <c r="P603" i="1"/>
  <c r="K603" i="1"/>
  <c r="Z602" i="1"/>
  <c r="W602" i="1"/>
  <c r="V602" i="1"/>
  <c r="U602" i="1"/>
  <c r="R602" i="1"/>
  <c r="P602" i="1"/>
  <c r="K602" i="1"/>
  <c r="Z601" i="1"/>
  <c r="W601" i="1"/>
  <c r="V601" i="1"/>
  <c r="U601" i="1"/>
  <c r="R601" i="1"/>
  <c r="P601" i="1"/>
  <c r="K601" i="1"/>
  <c r="Z600" i="1"/>
  <c r="W600" i="1"/>
  <c r="V600" i="1"/>
  <c r="U600" i="1"/>
  <c r="R600" i="1"/>
  <c r="P600" i="1"/>
  <c r="K600" i="1"/>
  <c r="Z599" i="1"/>
  <c r="W599" i="1"/>
  <c r="V599" i="1"/>
  <c r="U599" i="1"/>
  <c r="R599" i="1"/>
  <c r="P599" i="1"/>
  <c r="K599" i="1"/>
  <c r="Z598" i="1"/>
  <c r="W598" i="1"/>
  <c r="V598" i="1"/>
  <c r="U598" i="1"/>
  <c r="R598" i="1"/>
  <c r="P598" i="1"/>
  <c r="K598" i="1"/>
  <c r="Z597" i="1"/>
  <c r="W597" i="1"/>
  <c r="V597" i="1"/>
  <c r="U597" i="1"/>
  <c r="R597" i="1"/>
  <c r="P597" i="1"/>
  <c r="K597" i="1"/>
  <c r="Z596" i="1"/>
  <c r="W596" i="1"/>
  <c r="V596" i="1"/>
  <c r="U596" i="1"/>
  <c r="R596" i="1"/>
  <c r="P596" i="1"/>
  <c r="K596" i="1"/>
  <c r="Z595" i="1"/>
  <c r="W595" i="1"/>
  <c r="V595" i="1"/>
  <c r="U595" i="1"/>
  <c r="R595" i="1"/>
  <c r="P595" i="1"/>
  <c r="K595" i="1"/>
  <c r="Z594" i="1"/>
  <c r="W594" i="1"/>
  <c r="V594" i="1"/>
  <c r="U594" i="1"/>
  <c r="R594" i="1"/>
  <c r="P594" i="1"/>
  <c r="K594" i="1"/>
  <c r="Z593" i="1"/>
  <c r="W593" i="1"/>
  <c r="V593" i="1"/>
  <c r="U593" i="1"/>
  <c r="R593" i="1"/>
  <c r="P593" i="1"/>
  <c r="K593" i="1"/>
  <c r="Z592" i="1"/>
  <c r="W592" i="1"/>
  <c r="V592" i="1"/>
  <c r="U592" i="1"/>
  <c r="R592" i="1"/>
  <c r="P592" i="1"/>
  <c r="K592" i="1"/>
  <c r="Z591" i="1"/>
  <c r="W591" i="1"/>
  <c r="V591" i="1"/>
  <c r="U591" i="1"/>
  <c r="R591" i="1"/>
  <c r="P591" i="1"/>
  <c r="K591" i="1"/>
  <c r="Z590" i="1"/>
  <c r="W590" i="1"/>
  <c r="V590" i="1"/>
  <c r="U590" i="1"/>
  <c r="R590" i="1"/>
  <c r="P590" i="1"/>
  <c r="K590" i="1"/>
  <c r="Z589" i="1"/>
  <c r="W589" i="1"/>
  <c r="V589" i="1"/>
  <c r="U589" i="1"/>
  <c r="R589" i="1"/>
  <c r="P589" i="1"/>
  <c r="K589" i="1"/>
  <c r="Z588" i="1"/>
  <c r="W588" i="1"/>
  <c r="V588" i="1"/>
  <c r="U588" i="1"/>
  <c r="R588" i="1"/>
  <c r="P588" i="1"/>
  <c r="K588" i="1"/>
  <c r="Z587" i="1"/>
  <c r="W587" i="1"/>
  <c r="V587" i="1"/>
  <c r="U587" i="1"/>
  <c r="R587" i="1"/>
  <c r="P587" i="1"/>
  <c r="K587" i="1"/>
  <c r="Z586" i="1"/>
  <c r="W586" i="1"/>
  <c r="V586" i="1"/>
  <c r="U586" i="1"/>
  <c r="R586" i="1"/>
  <c r="P586" i="1"/>
  <c r="K586" i="1"/>
  <c r="Z585" i="1"/>
  <c r="W585" i="1"/>
  <c r="V585" i="1"/>
  <c r="U585" i="1"/>
  <c r="R585" i="1"/>
  <c r="P585" i="1"/>
  <c r="K585" i="1"/>
  <c r="Z584" i="1"/>
  <c r="W584" i="1"/>
  <c r="V584" i="1"/>
  <c r="U584" i="1"/>
  <c r="R584" i="1"/>
  <c r="P584" i="1"/>
  <c r="K584" i="1"/>
  <c r="Z583" i="1"/>
  <c r="W583" i="1"/>
  <c r="V583" i="1"/>
  <c r="U583" i="1"/>
  <c r="R583" i="1"/>
  <c r="P583" i="1"/>
  <c r="K583" i="1"/>
  <c r="Z582" i="1"/>
  <c r="W582" i="1"/>
  <c r="V582" i="1"/>
  <c r="U582" i="1"/>
  <c r="R582" i="1"/>
  <c r="P582" i="1"/>
  <c r="K582" i="1"/>
  <c r="Z581" i="1"/>
  <c r="W581" i="1"/>
  <c r="V581" i="1"/>
  <c r="U581" i="1"/>
  <c r="R581" i="1"/>
  <c r="P581" i="1"/>
  <c r="K581" i="1"/>
  <c r="Z580" i="1"/>
  <c r="W580" i="1"/>
  <c r="V580" i="1"/>
  <c r="U580" i="1"/>
  <c r="R580" i="1"/>
  <c r="P580" i="1"/>
  <c r="K580" i="1"/>
  <c r="Z579" i="1"/>
  <c r="W579" i="1"/>
  <c r="V579" i="1"/>
  <c r="U579" i="1"/>
  <c r="R579" i="1"/>
  <c r="P579" i="1"/>
  <c r="K579" i="1"/>
  <c r="Z578" i="1"/>
  <c r="W578" i="1"/>
  <c r="V578" i="1"/>
  <c r="U578" i="1"/>
  <c r="R578" i="1"/>
  <c r="P578" i="1"/>
  <c r="K578" i="1"/>
  <c r="Z577" i="1"/>
  <c r="W577" i="1"/>
  <c r="V577" i="1"/>
  <c r="U577" i="1"/>
  <c r="R577" i="1"/>
  <c r="P577" i="1"/>
  <c r="K577" i="1"/>
  <c r="Z576" i="1"/>
  <c r="W576" i="1"/>
  <c r="V576" i="1"/>
  <c r="U576" i="1"/>
  <c r="R576" i="1"/>
  <c r="P576" i="1"/>
  <c r="K576" i="1"/>
  <c r="Z575" i="1"/>
  <c r="W575" i="1"/>
  <c r="V575" i="1"/>
  <c r="U575" i="1"/>
  <c r="R575" i="1"/>
  <c r="P575" i="1"/>
  <c r="K575" i="1"/>
  <c r="Z574" i="1"/>
  <c r="W574" i="1"/>
  <c r="V574" i="1"/>
  <c r="U574" i="1"/>
  <c r="R574" i="1"/>
  <c r="P574" i="1"/>
  <c r="K574" i="1"/>
  <c r="Z573" i="1"/>
  <c r="W573" i="1"/>
  <c r="V573" i="1"/>
  <c r="U573" i="1"/>
  <c r="R573" i="1"/>
  <c r="P573" i="1"/>
  <c r="K573" i="1"/>
  <c r="Z572" i="1"/>
  <c r="W572" i="1"/>
  <c r="V572" i="1"/>
  <c r="U572" i="1"/>
  <c r="R572" i="1"/>
  <c r="P572" i="1"/>
  <c r="K572" i="1"/>
  <c r="Z571" i="1"/>
  <c r="W571" i="1"/>
  <c r="V571" i="1"/>
  <c r="U571" i="1"/>
  <c r="R571" i="1"/>
  <c r="P571" i="1"/>
  <c r="K571" i="1"/>
  <c r="Z570" i="1"/>
  <c r="W570" i="1"/>
  <c r="V570" i="1"/>
  <c r="U570" i="1"/>
  <c r="R570" i="1"/>
  <c r="P570" i="1"/>
  <c r="K570" i="1"/>
  <c r="Z569" i="1"/>
  <c r="W569" i="1"/>
  <c r="V569" i="1"/>
  <c r="U569" i="1"/>
  <c r="R569" i="1"/>
  <c r="P569" i="1"/>
  <c r="K569" i="1"/>
  <c r="Z568" i="1"/>
  <c r="W568" i="1"/>
  <c r="V568" i="1"/>
  <c r="U568" i="1"/>
  <c r="R568" i="1"/>
  <c r="P568" i="1"/>
  <c r="K568" i="1"/>
  <c r="Z567" i="1"/>
  <c r="W567" i="1"/>
  <c r="V567" i="1"/>
  <c r="U567" i="1"/>
  <c r="R567" i="1"/>
  <c r="P567" i="1"/>
  <c r="K567" i="1"/>
  <c r="Z566" i="1"/>
  <c r="W566" i="1"/>
  <c r="V566" i="1"/>
  <c r="U566" i="1"/>
  <c r="R566" i="1"/>
  <c r="P566" i="1"/>
  <c r="K566" i="1"/>
  <c r="Z565" i="1"/>
  <c r="W565" i="1"/>
  <c r="V565" i="1"/>
  <c r="U565" i="1"/>
  <c r="R565" i="1"/>
  <c r="P565" i="1"/>
  <c r="K565" i="1"/>
  <c r="Z564" i="1"/>
  <c r="W564" i="1"/>
  <c r="V564" i="1"/>
  <c r="U564" i="1"/>
  <c r="R564" i="1"/>
  <c r="P564" i="1"/>
  <c r="K564" i="1"/>
  <c r="Z563" i="1"/>
  <c r="W563" i="1"/>
  <c r="V563" i="1"/>
  <c r="U563" i="1"/>
  <c r="R563" i="1"/>
  <c r="P563" i="1"/>
  <c r="K563" i="1"/>
  <c r="Z562" i="1"/>
  <c r="W562" i="1"/>
  <c r="V562" i="1"/>
  <c r="U562" i="1"/>
  <c r="R562" i="1"/>
  <c r="P562" i="1"/>
  <c r="K562" i="1"/>
  <c r="Z561" i="1"/>
  <c r="W561" i="1"/>
  <c r="V561" i="1"/>
  <c r="U561" i="1"/>
  <c r="R561" i="1"/>
  <c r="P561" i="1"/>
  <c r="K561" i="1"/>
  <c r="Z560" i="1"/>
  <c r="W560" i="1"/>
  <c r="V560" i="1"/>
  <c r="U560" i="1"/>
  <c r="R560" i="1"/>
  <c r="P560" i="1"/>
  <c r="K560" i="1"/>
  <c r="Z559" i="1"/>
  <c r="W559" i="1"/>
  <c r="V559" i="1"/>
  <c r="U559" i="1"/>
  <c r="R559" i="1"/>
  <c r="P559" i="1"/>
  <c r="K559" i="1"/>
  <c r="Z558" i="1"/>
  <c r="W558" i="1"/>
  <c r="V558" i="1"/>
  <c r="U558" i="1"/>
  <c r="R558" i="1"/>
  <c r="P558" i="1"/>
  <c r="K558" i="1"/>
  <c r="Z557" i="1"/>
  <c r="W557" i="1"/>
  <c r="V557" i="1"/>
  <c r="U557" i="1"/>
  <c r="R557" i="1"/>
  <c r="P557" i="1"/>
  <c r="K557" i="1"/>
  <c r="Z556" i="1"/>
  <c r="W556" i="1"/>
  <c r="V556" i="1"/>
  <c r="U556" i="1"/>
  <c r="R556" i="1"/>
  <c r="P556" i="1"/>
  <c r="K556" i="1"/>
  <c r="Z555" i="1"/>
  <c r="W555" i="1"/>
  <c r="V555" i="1"/>
  <c r="U555" i="1"/>
  <c r="R555" i="1"/>
  <c r="P555" i="1"/>
  <c r="K555" i="1"/>
  <c r="Z554" i="1"/>
  <c r="W554" i="1"/>
  <c r="V554" i="1"/>
  <c r="U554" i="1"/>
  <c r="R554" i="1"/>
  <c r="P554" i="1"/>
  <c r="K554" i="1"/>
  <c r="Z553" i="1"/>
  <c r="W553" i="1"/>
  <c r="V553" i="1"/>
  <c r="U553" i="1"/>
  <c r="R553" i="1"/>
  <c r="P553" i="1"/>
  <c r="K553" i="1"/>
  <c r="Z552" i="1"/>
  <c r="W552" i="1"/>
  <c r="V552" i="1"/>
  <c r="U552" i="1"/>
  <c r="R552" i="1"/>
  <c r="P552" i="1"/>
  <c r="K552" i="1"/>
  <c r="Z551" i="1"/>
  <c r="W551" i="1"/>
  <c r="V551" i="1"/>
  <c r="U551" i="1"/>
  <c r="R551" i="1"/>
  <c r="P551" i="1"/>
  <c r="K551" i="1"/>
  <c r="Z550" i="1"/>
  <c r="W550" i="1"/>
  <c r="V550" i="1"/>
  <c r="U550" i="1"/>
  <c r="R550" i="1"/>
  <c r="P550" i="1"/>
  <c r="K550" i="1"/>
  <c r="Z549" i="1"/>
  <c r="W549" i="1"/>
  <c r="V549" i="1"/>
  <c r="U549" i="1"/>
  <c r="R549" i="1"/>
  <c r="P549" i="1"/>
  <c r="K549" i="1"/>
  <c r="Z548" i="1"/>
  <c r="W548" i="1"/>
  <c r="V548" i="1"/>
  <c r="U548" i="1"/>
  <c r="R548" i="1"/>
  <c r="P548" i="1"/>
  <c r="K548" i="1"/>
  <c r="Z547" i="1"/>
  <c r="W547" i="1"/>
  <c r="V547" i="1"/>
  <c r="U547" i="1"/>
  <c r="R547" i="1"/>
  <c r="P547" i="1"/>
  <c r="K547" i="1"/>
  <c r="Z546" i="1"/>
  <c r="W546" i="1"/>
  <c r="V546" i="1"/>
  <c r="U546" i="1"/>
  <c r="R546" i="1"/>
  <c r="P546" i="1"/>
  <c r="K546" i="1"/>
  <c r="Z545" i="1"/>
  <c r="W545" i="1"/>
  <c r="V545" i="1"/>
  <c r="U545" i="1"/>
  <c r="R545" i="1"/>
  <c r="P545" i="1"/>
  <c r="K545" i="1"/>
  <c r="Z544" i="1"/>
  <c r="W544" i="1"/>
  <c r="V544" i="1"/>
  <c r="U544" i="1"/>
  <c r="R544" i="1"/>
  <c r="P544" i="1"/>
  <c r="K544" i="1"/>
  <c r="Z543" i="1"/>
  <c r="W543" i="1"/>
  <c r="V543" i="1"/>
  <c r="U543" i="1"/>
  <c r="R543" i="1"/>
  <c r="P543" i="1"/>
  <c r="K543" i="1"/>
  <c r="Z542" i="1"/>
  <c r="W542" i="1"/>
  <c r="V542" i="1"/>
  <c r="U542" i="1"/>
  <c r="R542" i="1"/>
  <c r="P542" i="1"/>
  <c r="K542" i="1"/>
  <c r="Z541" i="1"/>
  <c r="W541" i="1"/>
  <c r="V541" i="1"/>
  <c r="U541" i="1"/>
  <c r="R541" i="1"/>
  <c r="P541" i="1"/>
  <c r="K541" i="1"/>
  <c r="Z540" i="1"/>
  <c r="W540" i="1"/>
  <c r="V540" i="1"/>
  <c r="U540" i="1"/>
  <c r="R540" i="1"/>
  <c r="P540" i="1"/>
  <c r="K540" i="1"/>
  <c r="Z539" i="1"/>
  <c r="W539" i="1"/>
  <c r="V539" i="1"/>
  <c r="U539" i="1"/>
  <c r="R539" i="1"/>
  <c r="P539" i="1"/>
  <c r="K539" i="1"/>
  <c r="Z538" i="1"/>
  <c r="W538" i="1"/>
  <c r="V538" i="1"/>
  <c r="U538" i="1"/>
  <c r="R538" i="1"/>
  <c r="P538" i="1"/>
  <c r="K538" i="1"/>
  <c r="Z537" i="1"/>
  <c r="W537" i="1"/>
  <c r="V537" i="1"/>
  <c r="U537" i="1"/>
  <c r="R537" i="1"/>
  <c r="P537" i="1"/>
  <c r="K537" i="1"/>
  <c r="Z536" i="1"/>
  <c r="W536" i="1"/>
  <c r="V536" i="1"/>
  <c r="U536" i="1"/>
  <c r="R536" i="1"/>
  <c r="P536" i="1"/>
  <c r="K536" i="1"/>
  <c r="Z535" i="1"/>
  <c r="W535" i="1"/>
  <c r="V535" i="1"/>
  <c r="U535" i="1"/>
  <c r="R535" i="1"/>
  <c r="P535" i="1"/>
  <c r="K535" i="1"/>
  <c r="Z534" i="1"/>
  <c r="W534" i="1"/>
  <c r="V534" i="1"/>
  <c r="U534" i="1"/>
  <c r="R534" i="1"/>
  <c r="P534" i="1"/>
  <c r="K534" i="1"/>
  <c r="Z533" i="1"/>
  <c r="W533" i="1"/>
  <c r="V533" i="1"/>
  <c r="U533" i="1"/>
  <c r="R533" i="1"/>
  <c r="P533" i="1"/>
  <c r="K533" i="1"/>
  <c r="Z532" i="1"/>
  <c r="W532" i="1"/>
  <c r="V532" i="1"/>
  <c r="U532" i="1"/>
  <c r="R532" i="1"/>
  <c r="P532" i="1"/>
  <c r="K532" i="1"/>
  <c r="Z531" i="1"/>
  <c r="W531" i="1"/>
  <c r="V531" i="1"/>
  <c r="U531" i="1"/>
  <c r="R531" i="1"/>
  <c r="P531" i="1"/>
  <c r="K531" i="1"/>
  <c r="Z530" i="1"/>
  <c r="W530" i="1"/>
  <c r="V530" i="1"/>
  <c r="U530" i="1"/>
  <c r="R530" i="1"/>
  <c r="P530" i="1"/>
  <c r="K530" i="1"/>
  <c r="Z529" i="1"/>
  <c r="W529" i="1"/>
  <c r="V529" i="1"/>
  <c r="U529" i="1"/>
  <c r="R529" i="1"/>
  <c r="P529" i="1"/>
  <c r="K529" i="1"/>
  <c r="Z528" i="1"/>
  <c r="W528" i="1"/>
  <c r="V528" i="1"/>
  <c r="U528" i="1"/>
  <c r="R528" i="1"/>
  <c r="P528" i="1"/>
  <c r="K528" i="1"/>
  <c r="Z527" i="1"/>
  <c r="W527" i="1"/>
  <c r="V527" i="1"/>
  <c r="U527" i="1"/>
  <c r="R527" i="1"/>
  <c r="P527" i="1"/>
  <c r="K527" i="1"/>
  <c r="Z526" i="1"/>
  <c r="W526" i="1"/>
  <c r="V526" i="1"/>
  <c r="U526" i="1"/>
  <c r="R526" i="1"/>
  <c r="P526" i="1"/>
  <c r="K526" i="1"/>
  <c r="Z525" i="1"/>
  <c r="W525" i="1"/>
  <c r="V525" i="1"/>
  <c r="U525" i="1"/>
  <c r="R525" i="1"/>
  <c r="P525" i="1"/>
  <c r="K525" i="1"/>
  <c r="Z524" i="1"/>
  <c r="W524" i="1"/>
  <c r="V524" i="1"/>
  <c r="U524" i="1"/>
  <c r="R524" i="1"/>
  <c r="P524" i="1"/>
  <c r="K524" i="1"/>
  <c r="Z523" i="1"/>
  <c r="W523" i="1"/>
  <c r="V523" i="1"/>
  <c r="U523" i="1"/>
  <c r="R523" i="1"/>
  <c r="P523" i="1"/>
  <c r="K523" i="1"/>
  <c r="Z522" i="1"/>
  <c r="W522" i="1"/>
  <c r="V522" i="1"/>
  <c r="U522" i="1"/>
  <c r="R522" i="1"/>
  <c r="P522" i="1"/>
  <c r="K522" i="1"/>
  <c r="Z521" i="1"/>
  <c r="W521" i="1"/>
  <c r="V521" i="1"/>
  <c r="U521" i="1"/>
  <c r="R521" i="1"/>
  <c r="P521" i="1"/>
  <c r="K521" i="1"/>
  <c r="Z520" i="1"/>
  <c r="W520" i="1"/>
  <c r="V520" i="1"/>
  <c r="U520" i="1"/>
  <c r="R520" i="1"/>
  <c r="P520" i="1"/>
  <c r="K520" i="1"/>
  <c r="Z519" i="1"/>
  <c r="W519" i="1"/>
  <c r="V519" i="1"/>
  <c r="U519" i="1"/>
  <c r="R519" i="1"/>
  <c r="P519" i="1"/>
  <c r="K519" i="1"/>
  <c r="Z518" i="1"/>
  <c r="W518" i="1"/>
  <c r="V518" i="1"/>
  <c r="U518" i="1"/>
  <c r="R518" i="1"/>
  <c r="P518" i="1"/>
  <c r="K518" i="1"/>
  <c r="Z517" i="1"/>
  <c r="W517" i="1"/>
  <c r="V517" i="1"/>
  <c r="U517" i="1"/>
  <c r="R517" i="1"/>
  <c r="P517" i="1"/>
  <c r="K517" i="1"/>
  <c r="Z516" i="1"/>
  <c r="W516" i="1"/>
  <c r="V516" i="1"/>
  <c r="U516" i="1"/>
  <c r="R516" i="1"/>
  <c r="P516" i="1"/>
  <c r="K516" i="1"/>
  <c r="Z515" i="1"/>
  <c r="W515" i="1"/>
  <c r="V515" i="1"/>
  <c r="U515" i="1"/>
  <c r="R515" i="1"/>
  <c r="P515" i="1"/>
  <c r="K515" i="1"/>
  <c r="Z514" i="1"/>
  <c r="W514" i="1"/>
  <c r="V514" i="1"/>
  <c r="U514" i="1"/>
  <c r="R514" i="1"/>
  <c r="P514" i="1"/>
  <c r="K514" i="1"/>
  <c r="Z513" i="1"/>
  <c r="W513" i="1"/>
  <c r="V513" i="1"/>
  <c r="U513" i="1"/>
  <c r="R513" i="1"/>
  <c r="P513" i="1"/>
  <c r="K513" i="1"/>
  <c r="Z512" i="1"/>
  <c r="W512" i="1"/>
  <c r="V512" i="1"/>
  <c r="U512" i="1"/>
  <c r="R512" i="1"/>
  <c r="P512" i="1"/>
  <c r="K512" i="1"/>
  <c r="Z511" i="1"/>
  <c r="W511" i="1"/>
  <c r="V511" i="1"/>
  <c r="U511" i="1"/>
  <c r="R511" i="1"/>
  <c r="P511" i="1"/>
  <c r="K511" i="1"/>
  <c r="Z510" i="1"/>
  <c r="W510" i="1"/>
  <c r="V510" i="1"/>
  <c r="U510" i="1"/>
  <c r="R510" i="1"/>
  <c r="P510" i="1"/>
  <c r="K510" i="1"/>
  <c r="Z509" i="1"/>
  <c r="W509" i="1"/>
  <c r="V509" i="1"/>
  <c r="U509" i="1"/>
  <c r="R509" i="1"/>
  <c r="P509" i="1"/>
  <c r="K509" i="1"/>
  <c r="Z508" i="1"/>
  <c r="W508" i="1"/>
  <c r="V508" i="1"/>
  <c r="U508" i="1"/>
  <c r="R508" i="1"/>
  <c r="P508" i="1"/>
  <c r="K508" i="1"/>
  <c r="Z507" i="1"/>
  <c r="W507" i="1"/>
  <c r="V507" i="1"/>
  <c r="U507" i="1"/>
  <c r="R507" i="1"/>
  <c r="P507" i="1"/>
  <c r="K507" i="1"/>
  <c r="Z506" i="1"/>
  <c r="W506" i="1"/>
  <c r="V506" i="1"/>
  <c r="U506" i="1"/>
  <c r="R506" i="1"/>
  <c r="P506" i="1"/>
  <c r="K506" i="1"/>
  <c r="Z505" i="1"/>
  <c r="W505" i="1"/>
  <c r="V505" i="1"/>
  <c r="U505" i="1"/>
  <c r="R505" i="1"/>
  <c r="P505" i="1"/>
  <c r="K505" i="1"/>
  <c r="Z504" i="1"/>
  <c r="W504" i="1"/>
  <c r="V504" i="1"/>
  <c r="U504" i="1"/>
  <c r="R504" i="1"/>
  <c r="P504" i="1"/>
  <c r="K504" i="1"/>
  <c r="Z503" i="1"/>
  <c r="W503" i="1"/>
  <c r="V503" i="1"/>
  <c r="U503" i="1"/>
  <c r="R503" i="1"/>
  <c r="P503" i="1"/>
  <c r="K503" i="1"/>
  <c r="Z502" i="1"/>
  <c r="W502" i="1"/>
  <c r="V502" i="1"/>
  <c r="U502" i="1"/>
  <c r="R502" i="1"/>
  <c r="P502" i="1"/>
  <c r="K502" i="1"/>
  <c r="Z501" i="1"/>
  <c r="W501" i="1"/>
  <c r="V501" i="1"/>
  <c r="U501" i="1"/>
  <c r="R501" i="1"/>
  <c r="P501" i="1"/>
  <c r="K501" i="1"/>
  <c r="Z500" i="1"/>
  <c r="W500" i="1"/>
  <c r="V500" i="1"/>
  <c r="U500" i="1"/>
  <c r="R500" i="1"/>
  <c r="P500" i="1"/>
  <c r="K500" i="1"/>
  <c r="Z499" i="1"/>
  <c r="W499" i="1"/>
  <c r="V499" i="1"/>
  <c r="U499" i="1"/>
  <c r="R499" i="1"/>
  <c r="P499" i="1"/>
  <c r="K499" i="1"/>
  <c r="Z498" i="1"/>
  <c r="W498" i="1"/>
  <c r="V498" i="1"/>
  <c r="U498" i="1"/>
  <c r="R498" i="1"/>
  <c r="P498" i="1"/>
  <c r="K498" i="1"/>
  <c r="Z497" i="1"/>
  <c r="W497" i="1"/>
  <c r="V497" i="1"/>
  <c r="U497" i="1"/>
  <c r="R497" i="1"/>
  <c r="P497" i="1"/>
  <c r="K497" i="1"/>
  <c r="Z496" i="1"/>
  <c r="W496" i="1"/>
  <c r="V496" i="1"/>
  <c r="U496" i="1"/>
  <c r="R496" i="1"/>
  <c r="P496" i="1"/>
  <c r="K496" i="1"/>
  <c r="Z495" i="1"/>
  <c r="W495" i="1"/>
  <c r="V495" i="1"/>
  <c r="U495" i="1"/>
  <c r="R495" i="1"/>
  <c r="P495" i="1"/>
  <c r="K495" i="1"/>
  <c r="Z494" i="1"/>
  <c r="W494" i="1"/>
  <c r="V494" i="1"/>
  <c r="U494" i="1"/>
  <c r="R494" i="1"/>
  <c r="P494" i="1"/>
  <c r="K494" i="1"/>
  <c r="Z493" i="1"/>
  <c r="W493" i="1"/>
  <c r="V493" i="1"/>
  <c r="U493" i="1"/>
  <c r="R493" i="1"/>
  <c r="P493" i="1"/>
  <c r="K493" i="1"/>
  <c r="Z492" i="1"/>
  <c r="W492" i="1"/>
  <c r="V492" i="1"/>
  <c r="U492" i="1"/>
  <c r="R492" i="1"/>
  <c r="P492" i="1"/>
  <c r="K492" i="1"/>
  <c r="Z491" i="1"/>
  <c r="W491" i="1"/>
  <c r="V491" i="1"/>
  <c r="U491" i="1"/>
  <c r="R491" i="1"/>
  <c r="P491" i="1"/>
  <c r="K491" i="1"/>
  <c r="Z490" i="1"/>
  <c r="W490" i="1"/>
  <c r="V490" i="1"/>
  <c r="U490" i="1"/>
  <c r="R490" i="1"/>
  <c r="P490" i="1"/>
  <c r="K490" i="1"/>
  <c r="Z489" i="1"/>
  <c r="W489" i="1"/>
  <c r="V489" i="1"/>
  <c r="U489" i="1"/>
  <c r="R489" i="1"/>
  <c r="P489" i="1"/>
  <c r="K489" i="1"/>
  <c r="Z488" i="1"/>
  <c r="W488" i="1"/>
  <c r="V488" i="1"/>
  <c r="U488" i="1"/>
  <c r="R488" i="1"/>
  <c r="P488" i="1"/>
  <c r="K488" i="1"/>
  <c r="Z487" i="1"/>
  <c r="W487" i="1"/>
  <c r="V487" i="1"/>
  <c r="U487" i="1"/>
  <c r="R487" i="1"/>
  <c r="P487" i="1"/>
  <c r="K487" i="1"/>
  <c r="Z486" i="1"/>
  <c r="W486" i="1"/>
  <c r="V486" i="1"/>
  <c r="U486" i="1"/>
  <c r="R486" i="1"/>
  <c r="P486" i="1"/>
  <c r="K486" i="1"/>
  <c r="Z485" i="1"/>
  <c r="W485" i="1"/>
  <c r="V485" i="1"/>
  <c r="U485" i="1"/>
  <c r="R485" i="1"/>
  <c r="P485" i="1"/>
  <c r="K485" i="1"/>
  <c r="Z484" i="1"/>
  <c r="W484" i="1"/>
  <c r="V484" i="1"/>
  <c r="U484" i="1"/>
  <c r="R484" i="1"/>
  <c r="P484" i="1"/>
  <c r="K484" i="1"/>
  <c r="Z483" i="1"/>
  <c r="W483" i="1"/>
  <c r="V483" i="1"/>
  <c r="U483" i="1"/>
  <c r="R483" i="1"/>
  <c r="P483" i="1"/>
  <c r="K483" i="1"/>
  <c r="Z482" i="1"/>
  <c r="W482" i="1"/>
  <c r="V482" i="1"/>
  <c r="U482" i="1"/>
  <c r="R482" i="1"/>
  <c r="P482" i="1"/>
  <c r="K482" i="1"/>
  <c r="Z481" i="1"/>
  <c r="W481" i="1"/>
  <c r="V481" i="1"/>
  <c r="U481" i="1"/>
  <c r="R481" i="1"/>
  <c r="P481" i="1"/>
  <c r="K481" i="1"/>
  <c r="Z480" i="1"/>
  <c r="W480" i="1"/>
  <c r="V480" i="1"/>
  <c r="U480" i="1"/>
  <c r="R480" i="1"/>
  <c r="P480" i="1"/>
  <c r="K480" i="1"/>
  <c r="Z479" i="1"/>
  <c r="W479" i="1"/>
  <c r="V479" i="1"/>
  <c r="U479" i="1"/>
  <c r="R479" i="1"/>
  <c r="P479" i="1"/>
  <c r="K479" i="1"/>
  <c r="Z478" i="1"/>
  <c r="W478" i="1"/>
  <c r="V478" i="1"/>
  <c r="U478" i="1"/>
  <c r="R478" i="1"/>
  <c r="P478" i="1"/>
  <c r="K478" i="1"/>
  <c r="Z477" i="1"/>
  <c r="W477" i="1"/>
  <c r="V477" i="1"/>
  <c r="U477" i="1"/>
  <c r="R477" i="1"/>
  <c r="P477" i="1"/>
  <c r="K477" i="1"/>
  <c r="Z476" i="1"/>
  <c r="W476" i="1"/>
  <c r="V476" i="1"/>
  <c r="U476" i="1"/>
  <c r="R476" i="1"/>
  <c r="P476" i="1"/>
  <c r="K476" i="1"/>
  <c r="Z475" i="1"/>
  <c r="W475" i="1"/>
  <c r="V475" i="1"/>
  <c r="U475" i="1"/>
  <c r="R475" i="1"/>
  <c r="P475" i="1"/>
  <c r="K475" i="1"/>
  <c r="Z474" i="1"/>
  <c r="W474" i="1"/>
  <c r="V474" i="1"/>
  <c r="U474" i="1"/>
  <c r="R474" i="1"/>
  <c r="P474" i="1"/>
  <c r="K474" i="1"/>
  <c r="Z473" i="1"/>
  <c r="W473" i="1"/>
  <c r="V473" i="1"/>
  <c r="U473" i="1"/>
  <c r="R473" i="1"/>
  <c r="P473" i="1"/>
  <c r="K473" i="1"/>
  <c r="Z472" i="1"/>
  <c r="W472" i="1"/>
  <c r="V472" i="1"/>
  <c r="U472" i="1"/>
  <c r="R472" i="1"/>
  <c r="P472" i="1"/>
  <c r="K472" i="1"/>
  <c r="Z471" i="1"/>
  <c r="W471" i="1"/>
  <c r="V471" i="1"/>
  <c r="U471" i="1"/>
  <c r="R471" i="1"/>
  <c r="P471" i="1"/>
  <c r="K471" i="1"/>
  <c r="Z470" i="1"/>
  <c r="W470" i="1"/>
  <c r="V470" i="1"/>
  <c r="U470" i="1"/>
  <c r="R470" i="1"/>
  <c r="P470" i="1"/>
  <c r="K470" i="1"/>
  <c r="Z469" i="1"/>
  <c r="W469" i="1"/>
  <c r="V469" i="1"/>
  <c r="U469" i="1"/>
  <c r="R469" i="1"/>
  <c r="P469" i="1"/>
  <c r="K469" i="1"/>
  <c r="Z468" i="1"/>
  <c r="W468" i="1"/>
  <c r="V468" i="1"/>
  <c r="U468" i="1"/>
  <c r="R468" i="1"/>
  <c r="P468" i="1"/>
  <c r="K468" i="1"/>
  <c r="Z467" i="1"/>
  <c r="W467" i="1"/>
  <c r="V467" i="1"/>
  <c r="U467" i="1"/>
  <c r="R467" i="1"/>
  <c r="P467" i="1"/>
  <c r="K467" i="1"/>
  <c r="Z466" i="1"/>
  <c r="W466" i="1"/>
  <c r="V466" i="1"/>
  <c r="U466" i="1"/>
  <c r="R466" i="1"/>
  <c r="P466" i="1"/>
  <c r="K466" i="1"/>
  <c r="Z465" i="1"/>
  <c r="W465" i="1"/>
  <c r="V465" i="1"/>
  <c r="U465" i="1"/>
  <c r="R465" i="1"/>
  <c r="P465" i="1"/>
  <c r="K465" i="1"/>
  <c r="Z464" i="1"/>
  <c r="W464" i="1"/>
  <c r="V464" i="1"/>
  <c r="U464" i="1"/>
  <c r="R464" i="1"/>
  <c r="P464" i="1"/>
  <c r="K464" i="1"/>
  <c r="Z463" i="1"/>
  <c r="W463" i="1"/>
  <c r="V463" i="1"/>
  <c r="U463" i="1"/>
  <c r="R463" i="1"/>
  <c r="P463" i="1"/>
  <c r="K463" i="1"/>
  <c r="Z462" i="1"/>
  <c r="W462" i="1"/>
  <c r="V462" i="1"/>
  <c r="U462" i="1"/>
  <c r="R462" i="1"/>
  <c r="P462" i="1"/>
  <c r="K462" i="1"/>
  <c r="Z461" i="1"/>
  <c r="W461" i="1"/>
  <c r="V461" i="1"/>
  <c r="U461" i="1"/>
  <c r="R461" i="1"/>
  <c r="P461" i="1"/>
  <c r="K461" i="1"/>
  <c r="Z460" i="1"/>
  <c r="W460" i="1"/>
  <c r="V460" i="1"/>
  <c r="U460" i="1"/>
  <c r="R460" i="1"/>
  <c r="P460" i="1"/>
  <c r="K460" i="1"/>
  <c r="Z459" i="1"/>
  <c r="W459" i="1"/>
  <c r="V459" i="1"/>
  <c r="U459" i="1"/>
  <c r="R459" i="1"/>
  <c r="P459" i="1"/>
  <c r="K459" i="1"/>
  <c r="Z458" i="1"/>
  <c r="W458" i="1"/>
  <c r="V458" i="1"/>
  <c r="U458" i="1"/>
  <c r="R458" i="1"/>
  <c r="P458" i="1"/>
  <c r="K458" i="1"/>
  <c r="Z457" i="1"/>
  <c r="W457" i="1"/>
  <c r="V457" i="1"/>
  <c r="U457" i="1"/>
  <c r="R457" i="1"/>
  <c r="P457" i="1"/>
  <c r="K457" i="1"/>
  <c r="Z456" i="1"/>
  <c r="W456" i="1"/>
  <c r="V456" i="1"/>
  <c r="U456" i="1"/>
  <c r="R456" i="1"/>
  <c r="P456" i="1"/>
  <c r="K456" i="1"/>
  <c r="Z455" i="1"/>
  <c r="W455" i="1"/>
  <c r="V455" i="1"/>
  <c r="U455" i="1"/>
  <c r="R455" i="1"/>
  <c r="P455" i="1"/>
  <c r="K455" i="1"/>
  <c r="Z454" i="1"/>
  <c r="W454" i="1"/>
  <c r="V454" i="1"/>
  <c r="U454" i="1"/>
  <c r="R454" i="1"/>
  <c r="P454" i="1"/>
  <c r="K454" i="1"/>
  <c r="Z453" i="1"/>
  <c r="W453" i="1"/>
  <c r="V453" i="1"/>
  <c r="U453" i="1"/>
  <c r="R453" i="1"/>
  <c r="P453" i="1"/>
  <c r="K453" i="1"/>
  <c r="Z452" i="1"/>
  <c r="W452" i="1"/>
  <c r="V452" i="1"/>
  <c r="U452" i="1"/>
  <c r="R452" i="1"/>
  <c r="P452" i="1"/>
  <c r="K452" i="1"/>
  <c r="Z451" i="1"/>
  <c r="W451" i="1"/>
  <c r="V451" i="1"/>
  <c r="U451" i="1"/>
  <c r="R451" i="1"/>
  <c r="P451" i="1"/>
  <c r="K451" i="1"/>
  <c r="Z450" i="1"/>
  <c r="W450" i="1"/>
  <c r="V450" i="1"/>
  <c r="U450" i="1"/>
  <c r="R450" i="1"/>
  <c r="P450" i="1"/>
  <c r="K450" i="1"/>
  <c r="Z449" i="1"/>
  <c r="W449" i="1"/>
  <c r="V449" i="1"/>
  <c r="U449" i="1"/>
  <c r="R449" i="1"/>
  <c r="P449" i="1"/>
  <c r="K449" i="1"/>
  <c r="Z448" i="1"/>
  <c r="W448" i="1"/>
  <c r="V448" i="1"/>
  <c r="U448" i="1"/>
  <c r="R448" i="1"/>
  <c r="P448" i="1"/>
  <c r="K448" i="1"/>
  <c r="Z447" i="1"/>
  <c r="W447" i="1"/>
  <c r="V447" i="1"/>
  <c r="U447" i="1"/>
  <c r="R447" i="1"/>
  <c r="P447" i="1"/>
  <c r="K447" i="1"/>
  <c r="Z446" i="1"/>
  <c r="W446" i="1"/>
  <c r="V446" i="1"/>
  <c r="U446" i="1"/>
  <c r="R446" i="1"/>
  <c r="P446" i="1"/>
  <c r="K446" i="1"/>
  <c r="Z445" i="1"/>
  <c r="W445" i="1"/>
  <c r="V445" i="1"/>
  <c r="U445" i="1"/>
  <c r="R445" i="1"/>
  <c r="P445" i="1"/>
  <c r="K445" i="1"/>
  <c r="Z444" i="1"/>
  <c r="W444" i="1"/>
  <c r="V444" i="1"/>
  <c r="U444" i="1"/>
  <c r="R444" i="1"/>
  <c r="P444" i="1"/>
  <c r="K444" i="1"/>
  <c r="Z443" i="1"/>
  <c r="W443" i="1"/>
  <c r="V443" i="1"/>
  <c r="U443" i="1"/>
  <c r="R443" i="1"/>
  <c r="P443" i="1"/>
  <c r="K443" i="1"/>
  <c r="Z442" i="1"/>
  <c r="W442" i="1"/>
  <c r="V442" i="1"/>
  <c r="U442" i="1"/>
  <c r="R442" i="1"/>
  <c r="P442" i="1"/>
  <c r="K442" i="1"/>
  <c r="Z441" i="1"/>
  <c r="W441" i="1"/>
  <c r="V441" i="1"/>
  <c r="U441" i="1"/>
  <c r="R441" i="1"/>
  <c r="P441" i="1"/>
  <c r="K441" i="1"/>
  <c r="Z440" i="1"/>
  <c r="W440" i="1"/>
  <c r="V440" i="1"/>
  <c r="U440" i="1"/>
  <c r="R440" i="1"/>
  <c r="P440" i="1"/>
  <c r="K440" i="1"/>
  <c r="Z439" i="1"/>
  <c r="W439" i="1"/>
  <c r="V439" i="1"/>
  <c r="U439" i="1"/>
  <c r="R439" i="1"/>
  <c r="P439" i="1"/>
  <c r="K439" i="1"/>
  <c r="Z438" i="1"/>
  <c r="W438" i="1"/>
  <c r="V438" i="1"/>
  <c r="U438" i="1"/>
  <c r="R438" i="1"/>
  <c r="P438" i="1"/>
  <c r="K438" i="1"/>
  <c r="Z437" i="1"/>
  <c r="W437" i="1"/>
  <c r="V437" i="1"/>
  <c r="U437" i="1"/>
  <c r="R437" i="1"/>
  <c r="P437" i="1"/>
  <c r="K437" i="1"/>
  <c r="Z436" i="1"/>
  <c r="W436" i="1"/>
  <c r="V436" i="1"/>
  <c r="U436" i="1"/>
  <c r="R436" i="1"/>
  <c r="P436" i="1"/>
  <c r="K436" i="1"/>
  <c r="Z435" i="1"/>
  <c r="W435" i="1"/>
  <c r="V435" i="1"/>
  <c r="U435" i="1"/>
  <c r="R435" i="1"/>
  <c r="P435" i="1"/>
  <c r="K435" i="1"/>
  <c r="Z434" i="1"/>
  <c r="W434" i="1"/>
  <c r="V434" i="1"/>
  <c r="U434" i="1"/>
  <c r="R434" i="1"/>
  <c r="P434" i="1"/>
  <c r="K434" i="1"/>
  <c r="Z433" i="1"/>
  <c r="W433" i="1"/>
  <c r="V433" i="1"/>
  <c r="U433" i="1"/>
  <c r="R433" i="1"/>
  <c r="P433" i="1"/>
  <c r="K433" i="1"/>
  <c r="Z432" i="1"/>
  <c r="W432" i="1"/>
  <c r="V432" i="1"/>
  <c r="U432" i="1"/>
  <c r="R432" i="1"/>
  <c r="P432" i="1"/>
  <c r="K432" i="1"/>
  <c r="Z431" i="1"/>
  <c r="W431" i="1"/>
  <c r="V431" i="1"/>
  <c r="U431" i="1"/>
  <c r="R431" i="1"/>
  <c r="P431" i="1"/>
  <c r="K431" i="1"/>
  <c r="Z430" i="1"/>
  <c r="W430" i="1"/>
  <c r="V430" i="1"/>
  <c r="U430" i="1"/>
  <c r="R430" i="1"/>
  <c r="P430" i="1"/>
  <c r="K430" i="1"/>
  <c r="Z429" i="1"/>
  <c r="W429" i="1"/>
  <c r="V429" i="1"/>
  <c r="U429" i="1"/>
  <c r="R429" i="1"/>
  <c r="P429" i="1"/>
  <c r="K429" i="1"/>
  <c r="Z428" i="1"/>
  <c r="W428" i="1"/>
  <c r="V428" i="1"/>
  <c r="U428" i="1"/>
  <c r="R428" i="1"/>
  <c r="P428" i="1"/>
  <c r="K428" i="1"/>
  <c r="Z427" i="1"/>
  <c r="W427" i="1"/>
  <c r="V427" i="1"/>
  <c r="U427" i="1"/>
  <c r="R427" i="1"/>
  <c r="P427" i="1"/>
  <c r="K427" i="1"/>
  <c r="Z426" i="1"/>
  <c r="W426" i="1"/>
  <c r="V426" i="1"/>
  <c r="U426" i="1"/>
  <c r="R426" i="1"/>
  <c r="P426" i="1"/>
  <c r="K426" i="1"/>
  <c r="Z425" i="1"/>
  <c r="W425" i="1"/>
  <c r="V425" i="1"/>
  <c r="U425" i="1"/>
  <c r="R425" i="1"/>
  <c r="P425" i="1"/>
  <c r="K425" i="1"/>
  <c r="Z424" i="1"/>
  <c r="W424" i="1"/>
  <c r="V424" i="1"/>
  <c r="U424" i="1"/>
  <c r="R424" i="1"/>
  <c r="P424" i="1"/>
  <c r="K424" i="1"/>
  <c r="Z423" i="1"/>
  <c r="W423" i="1"/>
  <c r="V423" i="1"/>
  <c r="U423" i="1"/>
  <c r="R423" i="1"/>
  <c r="P423" i="1"/>
  <c r="K423" i="1"/>
  <c r="Z422" i="1"/>
  <c r="W422" i="1"/>
  <c r="V422" i="1"/>
  <c r="U422" i="1"/>
  <c r="R422" i="1"/>
  <c r="P422" i="1"/>
  <c r="K422" i="1"/>
  <c r="Z421" i="1"/>
  <c r="W421" i="1"/>
  <c r="V421" i="1"/>
  <c r="U421" i="1"/>
  <c r="R421" i="1"/>
  <c r="P421" i="1"/>
  <c r="K421" i="1"/>
  <c r="Z420" i="1"/>
  <c r="W420" i="1"/>
  <c r="V420" i="1"/>
  <c r="U420" i="1"/>
  <c r="R420" i="1"/>
  <c r="P420" i="1"/>
  <c r="K420" i="1"/>
  <c r="Z419" i="1"/>
  <c r="W419" i="1"/>
  <c r="V419" i="1"/>
  <c r="U419" i="1"/>
  <c r="R419" i="1"/>
  <c r="P419" i="1"/>
  <c r="K419" i="1"/>
  <c r="Z418" i="1"/>
  <c r="W418" i="1"/>
  <c r="V418" i="1"/>
  <c r="U418" i="1"/>
  <c r="R418" i="1"/>
  <c r="P418" i="1"/>
  <c r="K418" i="1"/>
  <c r="Z417" i="1"/>
  <c r="W417" i="1"/>
  <c r="V417" i="1"/>
  <c r="U417" i="1"/>
  <c r="R417" i="1"/>
  <c r="P417" i="1"/>
  <c r="K417" i="1"/>
  <c r="Z416" i="1"/>
  <c r="W416" i="1"/>
  <c r="V416" i="1"/>
  <c r="U416" i="1"/>
  <c r="R416" i="1"/>
  <c r="P416" i="1"/>
  <c r="K416" i="1"/>
  <c r="Z415" i="1"/>
  <c r="W415" i="1"/>
  <c r="V415" i="1"/>
  <c r="U415" i="1"/>
  <c r="R415" i="1"/>
  <c r="P415" i="1"/>
  <c r="K415" i="1"/>
  <c r="Z414" i="1"/>
  <c r="W414" i="1"/>
  <c r="V414" i="1"/>
  <c r="U414" i="1"/>
  <c r="R414" i="1"/>
  <c r="P414" i="1"/>
  <c r="K414" i="1"/>
  <c r="Z413" i="1"/>
  <c r="W413" i="1"/>
  <c r="V413" i="1"/>
  <c r="U413" i="1"/>
  <c r="R413" i="1"/>
  <c r="P413" i="1"/>
  <c r="K413" i="1"/>
  <c r="Z412" i="1"/>
  <c r="W412" i="1"/>
  <c r="V412" i="1"/>
  <c r="U412" i="1"/>
  <c r="R412" i="1"/>
  <c r="P412" i="1"/>
  <c r="K412" i="1"/>
  <c r="Z411" i="1"/>
  <c r="W411" i="1"/>
  <c r="V411" i="1"/>
  <c r="U411" i="1"/>
  <c r="R411" i="1"/>
  <c r="P411" i="1"/>
  <c r="K411" i="1"/>
  <c r="Z410" i="1"/>
  <c r="W410" i="1"/>
  <c r="V410" i="1"/>
  <c r="U410" i="1"/>
  <c r="R410" i="1"/>
  <c r="P410" i="1"/>
  <c r="K410" i="1"/>
  <c r="Z409" i="1"/>
  <c r="W409" i="1"/>
  <c r="V409" i="1"/>
  <c r="U409" i="1"/>
  <c r="R409" i="1"/>
  <c r="P409" i="1"/>
  <c r="K409" i="1"/>
  <c r="Z408" i="1"/>
  <c r="W408" i="1"/>
  <c r="V408" i="1"/>
  <c r="U408" i="1"/>
  <c r="R408" i="1"/>
  <c r="P408" i="1"/>
  <c r="K408" i="1"/>
  <c r="Z407" i="1"/>
  <c r="W407" i="1"/>
  <c r="V407" i="1"/>
  <c r="U407" i="1"/>
  <c r="R407" i="1"/>
  <c r="P407" i="1"/>
  <c r="K407" i="1"/>
  <c r="Z406" i="1"/>
  <c r="W406" i="1"/>
  <c r="V406" i="1"/>
  <c r="U406" i="1"/>
  <c r="R406" i="1"/>
  <c r="P406" i="1"/>
  <c r="K406" i="1"/>
  <c r="Z405" i="1"/>
  <c r="W405" i="1"/>
  <c r="V405" i="1"/>
  <c r="U405" i="1"/>
  <c r="R405" i="1"/>
  <c r="P405" i="1"/>
  <c r="K405" i="1"/>
  <c r="Z404" i="1"/>
  <c r="W404" i="1"/>
  <c r="V404" i="1"/>
  <c r="U404" i="1"/>
  <c r="R404" i="1"/>
  <c r="P404" i="1"/>
  <c r="K404" i="1"/>
  <c r="Z403" i="1"/>
  <c r="W403" i="1"/>
  <c r="V403" i="1"/>
  <c r="U403" i="1"/>
  <c r="R403" i="1"/>
  <c r="P403" i="1"/>
  <c r="K403" i="1"/>
  <c r="Z402" i="1"/>
  <c r="W402" i="1"/>
  <c r="V402" i="1"/>
  <c r="U402" i="1"/>
  <c r="R402" i="1"/>
  <c r="P402" i="1"/>
  <c r="K402" i="1"/>
  <c r="Z401" i="1"/>
  <c r="W401" i="1"/>
  <c r="V401" i="1"/>
  <c r="U401" i="1"/>
  <c r="R401" i="1"/>
  <c r="P401" i="1"/>
  <c r="K401" i="1"/>
  <c r="Z400" i="1"/>
  <c r="W400" i="1"/>
  <c r="V400" i="1"/>
  <c r="U400" i="1"/>
  <c r="R400" i="1"/>
  <c r="P400" i="1"/>
  <c r="K400" i="1"/>
  <c r="Z399" i="1"/>
  <c r="W399" i="1"/>
  <c r="V399" i="1"/>
  <c r="U399" i="1"/>
  <c r="R399" i="1"/>
  <c r="P399" i="1"/>
  <c r="K399" i="1"/>
  <c r="Z398" i="1"/>
  <c r="W398" i="1"/>
  <c r="V398" i="1"/>
  <c r="U398" i="1"/>
  <c r="R398" i="1"/>
  <c r="P398" i="1"/>
  <c r="K398" i="1"/>
  <c r="Z397" i="1"/>
  <c r="W397" i="1"/>
  <c r="V397" i="1"/>
  <c r="U397" i="1"/>
  <c r="R397" i="1"/>
  <c r="P397" i="1"/>
  <c r="K397" i="1"/>
  <c r="Z396" i="1"/>
  <c r="W396" i="1"/>
  <c r="V396" i="1"/>
  <c r="U396" i="1"/>
  <c r="R396" i="1"/>
  <c r="P396" i="1"/>
  <c r="K396" i="1"/>
  <c r="Z395" i="1"/>
  <c r="W395" i="1"/>
  <c r="V395" i="1"/>
  <c r="U395" i="1"/>
  <c r="R395" i="1"/>
  <c r="P395" i="1"/>
  <c r="K395" i="1"/>
  <c r="Z394" i="1"/>
  <c r="W394" i="1"/>
  <c r="V394" i="1"/>
  <c r="U394" i="1"/>
  <c r="R394" i="1"/>
  <c r="P394" i="1"/>
  <c r="K394" i="1"/>
  <c r="Z393" i="1"/>
  <c r="W393" i="1"/>
  <c r="V393" i="1"/>
  <c r="U393" i="1"/>
  <c r="R393" i="1"/>
  <c r="P393" i="1"/>
  <c r="K393" i="1"/>
  <c r="Z392" i="1"/>
  <c r="W392" i="1"/>
  <c r="V392" i="1"/>
  <c r="U392" i="1"/>
  <c r="R392" i="1"/>
  <c r="P392" i="1"/>
  <c r="K392" i="1"/>
  <c r="Z391" i="1"/>
  <c r="W391" i="1"/>
  <c r="V391" i="1"/>
  <c r="U391" i="1"/>
  <c r="R391" i="1"/>
  <c r="P391" i="1"/>
  <c r="K391" i="1"/>
  <c r="Z390" i="1"/>
  <c r="W390" i="1"/>
  <c r="V390" i="1"/>
  <c r="U390" i="1"/>
  <c r="R390" i="1"/>
  <c r="P390" i="1"/>
  <c r="K390" i="1"/>
  <c r="Z389" i="1"/>
  <c r="W389" i="1"/>
  <c r="V389" i="1"/>
  <c r="U389" i="1"/>
  <c r="R389" i="1"/>
  <c r="P389" i="1"/>
  <c r="K389" i="1"/>
  <c r="Z388" i="1"/>
  <c r="W388" i="1"/>
  <c r="V388" i="1"/>
  <c r="U388" i="1"/>
  <c r="R388" i="1"/>
  <c r="P388" i="1"/>
  <c r="K388" i="1"/>
  <c r="Z387" i="1"/>
  <c r="W387" i="1"/>
  <c r="V387" i="1"/>
  <c r="U387" i="1"/>
  <c r="R387" i="1"/>
  <c r="P387" i="1"/>
  <c r="K387" i="1"/>
  <c r="Z386" i="1"/>
  <c r="W386" i="1"/>
  <c r="V386" i="1"/>
  <c r="U386" i="1"/>
  <c r="R386" i="1"/>
  <c r="P386" i="1"/>
  <c r="K386" i="1"/>
  <c r="Z385" i="1"/>
  <c r="W385" i="1"/>
  <c r="V385" i="1"/>
  <c r="U385" i="1"/>
  <c r="R385" i="1"/>
  <c r="P385" i="1"/>
  <c r="K385" i="1"/>
  <c r="Z384" i="1"/>
  <c r="W384" i="1"/>
  <c r="V384" i="1"/>
  <c r="U384" i="1"/>
  <c r="R384" i="1"/>
  <c r="P384" i="1"/>
  <c r="K384" i="1"/>
  <c r="Z383" i="1"/>
  <c r="W383" i="1"/>
  <c r="V383" i="1"/>
  <c r="U383" i="1"/>
  <c r="R383" i="1"/>
  <c r="P383" i="1"/>
  <c r="K383" i="1"/>
  <c r="Z382" i="1"/>
  <c r="W382" i="1"/>
  <c r="V382" i="1"/>
  <c r="U382" i="1"/>
  <c r="R382" i="1"/>
  <c r="P382" i="1"/>
  <c r="K382" i="1"/>
  <c r="Z381" i="1"/>
  <c r="W381" i="1"/>
  <c r="V381" i="1"/>
  <c r="U381" i="1"/>
  <c r="R381" i="1"/>
  <c r="P381" i="1"/>
  <c r="K381" i="1"/>
  <c r="Z380" i="1"/>
  <c r="W380" i="1"/>
  <c r="V380" i="1"/>
  <c r="U380" i="1"/>
  <c r="R380" i="1"/>
  <c r="P380" i="1"/>
  <c r="K380" i="1"/>
  <c r="Z379" i="1"/>
  <c r="W379" i="1"/>
  <c r="V379" i="1"/>
  <c r="U379" i="1"/>
  <c r="R379" i="1"/>
  <c r="P379" i="1"/>
  <c r="K379" i="1"/>
  <c r="Z378" i="1"/>
  <c r="W378" i="1"/>
  <c r="V378" i="1"/>
  <c r="U378" i="1"/>
  <c r="R378" i="1"/>
  <c r="P378" i="1"/>
  <c r="K378" i="1"/>
  <c r="Z377" i="1"/>
  <c r="W377" i="1"/>
  <c r="V377" i="1"/>
  <c r="U377" i="1"/>
  <c r="R377" i="1"/>
  <c r="P377" i="1"/>
  <c r="K377" i="1"/>
  <c r="Z376" i="1"/>
  <c r="W376" i="1"/>
  <c r="V376" i="1"/>
  <c r="U376" i="1"/>
  <c r="R376" i="1"/>
  <c r="P376" i="1"/>
  <c r="K376" i="1"/>
  <c r="Z375" i="1"/>
  <c r="W375" i="1"/>
  <c r="V375" i="1"/>
  <c r="U375" i="1"/>
  <c r="R375" i="1"/>
  <c r="P375" i="1"/>
  <c r="K375" i="1"/>
  <c r="Z374" i="1"/>
  <c r="W374" i="1"/>
  <c r="V374" i="1"/>
  <c r="U374" i="1"/>
  <c r="R374" i="1"/>
  <c r="P374" i="1"/>
  <c r="K374" i="1"/>
  <c r="Z373" i="1"/>
  <c r="W373" i="1"/>
  <c r="V373" i="1"/>
  <c r="U373" i="1"/>
  <c r="R373" i="1"/>
  <c r="P373" i="1"/>
  <c r="K373" i="1"/>
  <c r="Z372" i="1"/>
  <c r="W372" i="1"/>
  <c r="V372" i="1"/>
  <c r="U372" i="1"/>
  <c r="R372" i="1"/>
  <c r="P372" i="1"/>
  <c r="K372" i="1"/>
  <c r="Z371" i="1"/>
  <c r="W371" i="1"/>
  <c r="V371" i="1"/>
  <c r="U371" i="1"/>
  <c r="R371" i="1"/>
  <c r="P371" i="1"/>
  <c r="K371" i="1"/>
  <c r="Z370" i="1"/>
  <c r="W370" i="1"/>
  <c r="V370" i="1"/>
  <c r="U370" i="1"/>
  <c r="R370" i="1"/>
  <c r="P370" i="1"/>
  <c r="K370" i="1"/>
  <c r="Z369" i="1"/>
  <c r="W369" i="1"/>
  <c r="V369" i="1"/>
  <c r="U369" i="1"/>
  <c r="R369" i="1"/>
  <c r="P369" i="1"/>
  <c r="K369" i="1"/>
  <c r="Z368" i="1"/>
  <c r="W368" i="1"/>
  <c r="V368" i="1"/>
  <c r="U368" i="1"/>
  <c r="R368" i="1"/>
  <c r="P368" i="1"/>
  <c r="K368" i="1"/>
  <c r="Z367" i="1"/>
  <c r="W367" i="1"/>
  <c r="V367" i="1"/>
  <c r="U367" i="1"/>
  <c r="R367" i="1"/>
  <c r="P367" i="1"/>
  <c r="K367" i="1"/>
  <c r="Z366" i="1"/>
  <c r="W366" i="1"/>
  <c r="V366" i="1"/>
  <c r="U366" i="1"/>
  <c r="R366" i="1"/>
  <c r="P366" i="1"/>
  <c r="K366" i="1"/>
  <c r="Z365" i="1"/>
  <c r="W365" i="1"/>
  <c r="V365" i="1"/>
  <c r="U365" i="1"/>
  <c r="R365" i="1"/>
  <c r="P365" i="1"/>
  <c r="K365" i="1"/>
  <c r="Z364" i="1"/>
  <c r="W364" i="1"/>
  <c r="V364" i="1"/>
  <c r="U364" i="1"/>
  <c r="R364" i="1"/>
  <c r="P364" i="1"/>
  <c r="K364" i="1"/>
  <c r="Z363" i="1"/>
  <c r="W363" i="1"/>
  <c r="V363" i="1"/>
  <c r="U363" i="1"/>
  <c r="R363" i="1"/>
  <c r="P363" i="1"/>
  <c r="K363" i="1"/>
  <c r="Z362" i="1"/>
  <c r="W362" i="1"/>
  <c r="V362" i="1"/>
  <c r="U362" i="1"/>
  <c r="R362" i="1"/>
  <c r="P362" i="1"/>
  <c r="K362" i="1"/>
  <c r="Z361" i="1"/>
  <c r="W361" i="1"/>
  <c r="V361" i="1"/>
  <c r="U361" i="1"/>
  <c r="R361" i="1"/>
  <c r="P361" i="1"/>
  <c r="K361" i="1"/>
  <c r="Z360" i="1"/>
  <c r="W360" i="1"/>
  <c r="V360" i="1"/>
  <c r="U360" i="1"/>
  <c r="R360" i="1"/>
  <c r="P360" i="1"/>
  <c r="K360" i="1"/>
  <c r="Z359" i="1"/>
  <c r="W359" i="1"/>
  <c r="V359" i="1"/>
  <c r="U359" i="1"/>
  <c r="R359" i="1"/>
  <c r="P359" i="1"/>
  <c r="K359" i="1"/>
  <c r="Z358" i="1"/>
  <c r="W358" i="1"/>
  <c r="V358" i="1"/>
  <c r="U358" i="1"/>
  <c r="R358" i="1"/>
  <c r="P358" i="1"/>
  <c r="K358" i="1"/>
  <c r="Z357" i="1"/>
  <c r="W357" i="1"/>
  <c r="V357" i="1"/>
  <c r="U357" i="1"/>
  <c r="R357" i="1"/>
  <c r="P357" i="1"/>
  <c r="K357" i="1"/>
  <c r="Z356" i="1"/>
  <c r="W356" i="1"/>
  <c r="V356" i="1"/>
  <c r="U356" i="1"/>
  <c r="R356" i="1"/>
  <c r="P356" i="1"/>
  <c r="K356" i="1"/>
  <c r="Z355" i="1"/>
  <c r="W355" i="1"/>
  <c r="V355" i="1"/>
  <c r="U355" i="1"/>
  <c r="R355" i="1"/>
  <c r="P355" i="1"/>
  <c r="K355" i="1"/>
  <c r="Z354" i="1"/>
  <c r="W354" i="1"/>
  <c r="V354" i="1"/>
  <c r="U354" i="1"/>
  <c r="R354" i="1"/>
  <c r="P354" i="1"/>
  <c r="K354" i="1"/>
  <c r="Z353" i="1"/>
  <c r="W353" i="1"/>
  <c r="V353" i="1"/>
  <c r="U353" i="1"/>
  <c r="R353" i="1"/>
  <c r="P353" i="1"/>
  <c r="K353" i="1"/>
  <c r="Z352" i="1"/>
  <c r="W352" i="1"/>
  <c r="V352" i="1"/>
  <c r="U352" i="1"/>
  <c r="R352" i="1"/>
  <c r="P352" i="1"/>
  <c r="K352" i="1"/>
  <c r="Z351" i="1"/>
  <c r="W351" i="1"/>
  <c r="V351" i="1"/>
  <c r="U351" i="1"/>
  <c r="R351" i="1"/>
  <c r="P351" i="1"/>
  <c r="K351" i="1"/>
  <c r="Z350" i="1"/>
  <c r="W350" i="1"/>
  <c r="V350" i="1"/>
  <c r="U350" i="1"/>
  <c r="R350" i="1"/>
  <c r="P350" i="1"/>
  <c r="K350" i="1"/>
  <c r="Z349" i="1"/>
  <c r="W349" i="1"/>
  <c r="V349" i="1"/>
  <c r="U349" i="1"/>
  <c r="R349" i="1"/>
  <c r="P349" i="1"/>
  <c r="K349" i="1"/>
  <c r="Z348" i="1"/>
  <c r="W348" i="1"/>
  <c r="V348" i="1"/>
  <c r="U348" i="1"/>
  <c r="R348" i="1"/>
  <c r="P348" i="1"/>
  <c r="K348" i="1"/>
  <c r="Z347" i="1"/>
  <c r="W347" i="1"/>
  <c r="V347" i="1"/>
  <c r="U347" i="1"/>
  <c r="R347" i="1"/>
  <c r="P347" i="1"/>
  <c r="K347" i="1"/>
  <c r="Z346" i="1"/>
  <c r="W346" i="1"/>
  <c r="V346" i="1"/>
  <c r="U346" i="1"/>
  <c r="R346" i="1"/>
  <c r="P346" i="1"/>
  <c r="K346" i="1"/>
  <c r="Z345" i="1"/>
  <c r="W345" i="1"/>
  <c r="V345" i="1"/>
  <c r="U345" i="1"/>
  <c r="R345" i="1"/>
  <c r="P345" i="1"/>
  <c r="K345" i="1"/>
  <c r="Z344" i="1"/>
  <c r="W344" i="1"/>
  <c r="V344" i="1"/>
  <c r="U344" i="1"/>
  <c r="R344" i="1"/>
  <c r="P344" i="1"/>
  <c r="K344" i="1"/>
  <c r="Z343" i="1"/>
  <c r="W343" i="1"/>
  <c r="V343" i="1"/>
  <c r="U343" i="1"/>
  <c r="R343" i="1"/>
  <c r="P343" i="1"/>
  <c r="K343" i="1"/>
  <c r="Z342" i="1"/>
  <c r="W342" i="1"/>
  <c r="V342" i="1"/>
  <c r="U342" i="1"/>
  <c r="R342" i="1"/>
  <c r="P342" i="1"/>
  <c r="K342" i="1"/>
  <c r="Z341" i="1"/>
  <c r="W341" i="1"/>
  <c r="V341" i="1"/>
  <c r="U341" i="1"/>
  <c r="R341" i="1"/>
  <c r="P341" i="1"/>
  <c r="K341" i="1"/>
  <c r="Z340" i="1"/>
  <c r="W340" i="1"/>
  <c r="V340" i="1"/>
  <c r="U340" i="1"/>
  <c r="R340" i="1"/>
  <c r="P340" i="1"/>
  <c r="K340" i="1"/>
  <c r="Z339" i="1"/>
  <c r="W339" i="1"/>
  <c r="V339" i="1"/>
  <c r="U339" i="1"/>
  <c r="R339" i="1"/>
  <c r="P339" i="1"/>
  <c r="K339" i="1"/>
  <c r="Z338" i="1"/>
  <c r="W338" i="1"/>
  <c r="V338" i="1"/>
  <c r="U338" i="1"/>
  <c r="R338" i="1"/>
  <c r="P338" i="1"/>
  <c r="K338" i="1"/>
  <c r="Z337" i="1"/>
  <c r="W337" i="1"/>
  <c r="V337" i="1"/>
  <c r="U337" i="1"/>
  <c r="R337" i="1"/>
  <c r="P337" i="1"/>
  <c r="K337" i="1"/>
  <c r="Z336" i="1"/>
  <c r="W336" i="1"/>
  <c r="V336" i="1"/>
  <c r="U336" i="1"/>
  <c r="R336" i="1"/>
  <c r="P336" i="1"/>
  <c r="K336" i="1"/>
  <c r="Z335" i="1"/>
  <c r="W335" i="1"/>
  <c r="V335" i="1"/>
  <c r="U335" i="1"/>
  <c r="R335" i="1"/>
  <c r="P335" i="1"/>
  <c r="K335" i="1"/>
  <c r="Z334" i="1"/>
  <c r="W334" i="1"/>
  <c r="V334" i="1"/>
  <c r="U334" i="1"/>
  <c r="R334" i="1"/>
  <c r="P334" i="1"/>
  <c r="K334" i="1"/>
  <c r="Z333" i="1"/>
  <c r="W333" i="1"/>
  <c r="V333" i="1"/>
  <c r="U333" i="1"/>
  <c r="R333" i="1"/>
  <c r="P333" i="1"/>
  <c r="K333" i="1"/>
  <c r="Z332" i="1"/>
  <c r="W332" i="1"/>
  <c r="V332" i="1"/>
  <c r="U332" i="1"/>
  <c r="R332" i="1"/>
  <c r="P332" i="1"/>
  <c r="K332" i="1"/>
  <c r="Z331" i="1"/>
  <c r="W331" i="1"/>
  <c r="V331" i="1"/>
  <c r="U331" i="1"/>
  <c r="R331" i="1"/>
  <c r="P331" i="1"/>
  <c r="K331" i="1"/>
  <c r="Z330" i="1"/>
  <c r="W330" i="1"/>
  <c r="V330" i="1"/>
  <c r="U330" i="1"/>
  <c r="R330" i="1"/>
  <c r="P330" i="1"/>
  <c r="K330" i="1"/>
  <c r="Z329" i="1"/>
  <c r="W329" i="1"/>
  <c r="V329" i="1"/>
  <c r="U329" i="1"/>
  <c r="R329" i="1"/>
  <c r="P329" i="1"/>
  <c r="K329" i="1"/>
  <c r="Z328" i="1"/>
  <c r="W328" i="1"/>
  <c r="V328" i="1"/>
  <c r="U328" i="1"/>
  <c r="R328" i="1"/>
  <c r="P328" i="1"/>
  <c r="K328" i="1"/>
  <c r="Z327" i="1"/>
  <c r="W327" i="1"/>
  <c r="V327" i="1"/>
  <c r="U327" i="1"/>
  <c r="R327" i="1"/>
  <c r="P327" i="1"/>
  <c r="K327" i="1"/>
  <c r="Z326" i="1"/>
  <c r="W326" i="1"/>
  <c r="V326" i="1"/>
  <c r="U326" i="1"/>
  <c r="R326" i="1"/>
  <c r="P326" i="1"/>
  <c r="K326" i="1"/>
  <c r="Z325" i="1"/>
  <c r="W325" i="1"/>
  <c r="V325" i="1"/>
  <c r="U325" i="1"/>
  <c r="R325" i="1"/>
  <c r="P325" i="1"/>
  <c r="K325" i="1"/>
  <c r="Z324" i="1"/>
  <c r="W324" i="1"/>
  <c r="V324" i="1"/>
  <c r="U324" i="1"/>
  <c r="R324" i="1"/>
  <c r="P324" i="1"/>
  <c r="K324" i="1"/>
  <c r="Z323" i="1"/>
  <c r="W323" i="1"/>
  <c r="V323" i="1"/>
  <c r="U323" i="1"/>
  <c r="R323" i="1"/>
  <c r="P323" i="1"/>
  <c r="K323" i="1"/>
  <c r="Z322" i="1"/>
  <c r="W322" i="1"/>
  <c r="V322" i="1"/>
  <c r="U322" i="1"/>
  <c r="R322" i="1"/>
  <c r="P322" i="1"/>
  <c r="K322" i="1"/>
  <c r="Z321" i="1"/>
  <c r="W321" i="1"/>
  <c r="V321" i="1"/>
  <c r="U321" i="1"/>
  <c r="R321" i="1"/>
  <c r="P321" i="1"/>
  <c r="K321" i="1"/>
  <c r="Z320" i="1"/>
  <c r="W320" i="1"/>
  <c r="V320" i="1"/>
  <c r="U320" i="1"/>
  <c r="R320" i="1"/>
  <c r="P320" i="1"/>
  <c r="K320" i="1"/>
  <c r="Z319" i="1"/>
  <c r="W319" i="1"/>
  <c r="V319" i="1"/>
  <c r="U319" i="1"/>
  <c r="R319" i="1"/>
  <c r="P319" i="1"/>
  <c r="K319" i="1"/>
  <c r="Z318" i="1"/>
  <c r="W318" i="1"/>
  <c r="V318" i="1"/>
  <c r="U318" i="1"/>
  <c r="R318" i="1"/>
  <c r="P318" i="1"/>
  <c r="K318" i="1"/>
  <c r="Z317" i="1"/>
  <c r="W317" i="1"/>
  <c r="V317" i="1"/>
  <c r="U317" i="1"/>
  <c r="R317" i="1"/>
  <c r="P317" i="1"/>
  <c r="K317" i="1"/>
  <c r="Z316" i="1"/>
  <c r="W316" i="1"/>
  <c r="V316" i="1"/>
  <c r="U316" i="1"/>
  <c r="R316" i="1"/>
  <c r="P316" i="1"/>
  <c r="K316" i="1"/>
  <c r="Z315" i="1"/>
  <c r="W315" i="1"/>
  <c r="V315" i="1"/>
  <c r="U315" i="1"/>
  <c r="R315" i="1"/>
  <c r="P315" i="1"/>
  <c r="K315" i="1"/>
  <c r="Z314" i="1"/>
  <c r="W314" i="1"/>
  <c r="V314" i="1"/>
  <c r="U314" i="1"/>
  <c r="R314" i="1"/>
  <c r="P314" i="1"/>
  <c r="K314" i="1"/>
  <c r="Z313" i="1"/>
  <c r="W313" i="1"/>
  <c r="V313" i="1"/>
  <c r="U313" i="1"/>
  <c r="R313" i="1"/>
  <c r="P313" i="1"/>
  <c r="K313" i="1"/>
  <c r="Z312" i="1"/>
  <c r="W312" i="1"/>
  <c r="V312" i="1"/>
  <c r="U312" i="1"/>
  <c r="R312" i="1"/>
  <c r="P312" i="1"/>
  <c r="K312" i="1"/>
  <c r="Z311" i="1"/>
  <c r="W311" i="1"/>
  <c r="V311" i="1"/>
  <c r="U311" i="1"/>
  <c r="R311" i="1"/>
  <c r="P311" i="1"/>
  <c r="K311" i="1"/>
  <c r="Z310" i="1"/>
  <c r="W310" i="1"/>
  <c r="V310" i="1"/>
  <c r="U310" i="1"/>
  <c r="R310" i="1"/>
  <c r="P310" i="1"/>
  <c r="K310" i="1"/>
  <c r="Z309" i="1"/>
  <c r="W309" i="1"/>
  <c r="V309" i="1"/>
  <c r="U309" i="1"/>
  <c r="R309" i="1"/>
  <c r="P309" i="1"/>
  <c r="K309" i="1"/>
  <c r="Z308" i="1"/>
  <c r="W308" i="1"/>
  <c r="V308" i="1"/>
  <c r="U308" i="1"/>
  <c r="R308" i="1"/>
  <c r="P308" i="1"/>
  <c r="K308" i="1"/>
  <c r="Z307" i="1"/>
  <c r="W307" i="1"/>
  <c r="V307" i="1"/>
  <c r="U307" i="1"/>
  <c r="R307" i="1"/>
  <c r="P307" i="1"/>
  <c r="K307" i="1"/>
  <c r="Z306" i="1"/>
  <c r="W306" i="1"/>
  <c r="V306" i="1"/>
  <c r="U306" i="1"/>
  <c r="R306" i="1"/>
  <c r="P306" i="1"/>
  <c r="K306" i="1"/>
  <c r="Z305" i="1"/>
  <c r="W305" i="1"/>
  <c r="V305" i="1"/>
  <c r="U305" i="1"/>
  <c r="R305" i="1"/>
  <c r="P305" i="1"/>
  <c r="K305" i="1"/>
  <c r="Z304" i="1"/>
  <c r="W304" i="1"/>
  <c r="V304" i="1"/>
  <c r="U304" i="1"/>
  <c r="R304" i="1"/>
  <c r="P304" i="1"/>
  <c r="K304" i="1"/>
  <c r="Z303" i="1"/>
  <c r="W303" i="1"/>
  <c r="V303" i="1"/>
  <c r="U303" i="1"/>
  <c r="R303" i="1"/>
  <c r="P303" i="1"/>
  <c r="K303" i="1"/>
  <c r="Z302" i="1"/>
  <c r="W302" i="1"/>
  <c r="V302" i="1"/>
  <c r="U302" i="1"/>
  <c r="R302" i="1"/>
  <c r="P302" i="1"/>
  <c r="K302" i="1"/>
  <c r="Z301" i="1"/>
  <c r="W301" i="1"/>
  <c r="V301" i="1"/>
  <c r="U301" i="1"/>
  <c r="R301" i="1"/>
  <c r="P301" i="1"/>
  <c r="K301" i="1"/>
  <c r="Z300" i="1"/>
  <c r="W300" i="1"/>
  <c r="V300" i="1"/>
  <c r="U300" i="1"/>
  <c r="R300" i="1"/>
  <c r="P300" i="1"/>
  <c r="K300" i="1"/>
  <c r="Z299" i="1"/>
  <c r="W299" i="1"/>
  <c r="V299" i="1"/>
  <c r="U299" i="1"/>
  <c r="R299" i="1"/>
  <c r="P299" i="1"/>
  <c r="K299" i="1"/>
  <c r="Z298" i="1"/>
  <c r="W298" i="1"/>
  <c r="V298" i="1"/>
  <c r="U298" i="1"/>
  <c r="R298" i="1"/>
  <c r="P298" i="1"/>
  <c r="K298" i="1"/>
  <c r="Z297" i="1"/>
  <c r="W297" i="1"/>
  <c r="V297" i="1"/>
  <c r="U297" i="1"/>
  <c r="R297" i="1"/>
  <c r="P297" i="1"/>
  <c r="K297" i="1"/>
  <c r="Z296" i="1"/>
  <c r="W296" i="1"/>
  <c r="V296" i="1"/>
  <c r="U296" i="1"/>
  <c r="R296" i="1"/>
  <c r="P296" i="1"/>
  <c r="K296" i="1"/>
  <c r="Z295" i="1"/>
  <c r="W295" i="1"/>
  <c r="V295" i="1"/>
  <c r="U295" i="1"/>
  <c r="R295" i="1"/>
  <c r="P295" i="1"/>
  <c r="K295" i="1"/>
  <c r="Z294" i="1"/>
  <c r="W294" i="1"/>
  <c r="V294" i="1"/>
  <c r="U294" i="1"/>
  <c r="R294" i="1"/>
  <c r="P294" i="1"/>
  <c r="K294" i="1"/>
  <c r="Z293" i="1"/>
  <c r="W293" i="1"/>
  <c r="V293" i="1"/>
  <c r="U293" i="1"/>
  <c r="R293" i="1"/>
  <c r="P293" i="1"/>
  <c r="K293" i="1"/>
  <c r="Z292" i="1"/>
  <c r="W292" i="1"/>
  <c r="V292" i="1"/>
  <c r="U292" i="1"/>
  <c r="R292" i="1"/>
  <c r="P292" i="1"/>
  <c r="K292" i="1"/>
  <c r="Z291" i="1"/>
  <c r="W291" i="1"/>
  <c r="V291" i="1"/>
  <c r="U291" i="1"/>
  <c r="R291" i="1"/>
  <c r="P291" i="1"/>
  <c r="K291" i="1"/>
  <c r="Z290" i="1"/>
  <c r="W290" i="1"/>
  <c r="V290" i="1"/>
  <c r="U290" i="1"/>
  <c r="R290" i="1"/>
  <c r="P290" i="1"/>
  <c r="K290" i="1"/>
  <c r="Z289" i="1"/>
  <c r="W289" i="1"/>
  <c r="V289" i="1"/>
  <c r="U289" i="1"/>
  <c r="R289" i="1"/>
  <c r="P289" i="1"/>
  <c r="K289" i="1"/>
  <c r="Z288" i="1"/>
  <c r="W288" i="1"/>
  <c r="V288" i="1"/>
  <c r="U288" i="1"/>
  <c r="R288" i="1"/>
  <c r="P288" i="1"/>
  <c r="K288" i="1"/>
  <c r="Z287" i="1"/>
  <c r="W287" i="1"/>
  <c r="V287" i="1"/>
  <c r="U287" i="1"/>
  <c r="R287" i="1"/>
  <c r="P287" i="1"/>
  <c r="K287" i="1"/>
  <c r="Z286" i="1"/>
  <c r="W286" i="1"/>
  <c r="V286" i="1"/>
  <c r="U286" i="1"/>
  <c r="R286" i="1"/>
  <c r="P286" i="1"/>
  <c r="K286" i="1"/>
  <c r="Z285" i="1"/>
  <c r="W285" i="1"/>
  <c r="V285" i="1"/>
  <c r="U285" i="1"/>
  <c r="R285" i="1"/>
  <c r="P285" i="1"/>
  <c r="K285" i="1"/>
  <c r="Z284" i="1"/>
  <c r="W284" i="1"/>
  <c r="V284" i="1"/>
  <c r="U284" i="1"/>
  <c r="R284" i="1"/>
  <c r="P284" i="1"/>
  <c r="K284" i="1"/>
  <c r="Z283" i="1"/>
  <c r="W283" i="1"/>
  <c r="V283" i="1"/>
  <c r="U283" i="1"/>
  <c r="R283" i="1"/>
  <c r="P283" i="1"/>
  <c r="K283" i="1"/>
  <c r="Z282" i="1"/>
  <c r="W282" i="1"/>
  <c r="V282" i="1"/>
  <c r="U282" i="1"/>
  <c r="R282" i="1"/>
  <c r="P282" i="1"/>
  <c r="K282" i="1"/>
  <c r="Z281" i="1"/>
  <c r="W281" i="1"/>
  <c r="V281" i="1"/>
  <c r="U281" i="1"/>
  <c r="R281" i="1"/>
  <c r="P281" i="1"/>
  <c r="K281" i="1"/>
  <c r="Z280" i="1"/>
  <c r="W280" i="1"/>
  <c r="V280" i="1"/>
  <c r="U280" i="1"/>
  <c r="R280" i="1"/>
  <c r="P280" i="1"/>
  <c r="K280" i="1"/>
  <c r="Z279" i="1"/>
  <c r="W279" i="1"/>
  <c r="V279" i="1"/>
  <c r="U279" i="1"/>
  <c r="R279" i="1"/>
  <c r="P279" i="1"/>
  <c r="K279" i="1"/>
  <c r="Z278" i="1"/>
  <c r="W278" i="1"/>
  <c r="V278" i="1"/>
  <c r="U278" i="1"/>
  <c r="R278" i="1"/>
  <c r="P278" i="1"/>
  <c r="K278" i="1"/>
  <c r="Z277" i="1"/>
  <c r="W277" i="1"/>
  <c r="V277" i="1"/>
  <c r="U277" i="1"/>
  <c r="R277" i="1"/>
  <c r="P277" i="1"/>
  <c r="K277" i="1"/>
  <c r="Z276" i="1"/>
  <c r="W276" i="1"/>
  <c r="V276" i="1"/>
  <c r="U276" i="1"/>
  <c r="R276" i="1"/>
  <c r="P276" i="1"/>
  <c r="K276" i="1"/>
  <c r="Z275" i="1"/>
  <c r="W275" i="1"/>
  <c r="V275" i="1"/>
  <c r="U275" i="1"/>
  <c r="R275" i="1"/>
  <c r="P275" i="1"/>
  <c r="K275" i="1"/>
  <c r="Z274" i="1"/>
  <c r="W274" i="1"/>
  <c r="V274" i="1"/>
  <c r="U274" i="1"/>
  <c r="R274" i="1"/>
  <c r="P274" i="1"/>
  <c r="K274" i="1"/>
  <c r="Z273" i="1"/>
  <c r="W273" i="1"/>
  <c r="V273" i="1"/>
  <c r="U273" i="1"/>
  <c r="R273" i="1"/>
  <c r="P273" i="1"/>
  <c r="K273" i="1"/>
  <c r="Z272" i="1"/>
  <c r="W272" i="1"/>
  <c r="V272" i="1"/>
  <c r="U272" i="1"/>
  <c r="R272" i="1"/>
  <c r="P272" i="1"/>
  <c r="K272" i="1"/>
  <c r="Z271" i="1"/>
  <c r="W271" i="1"/>
  <c r="V271" i="1"/>
  <c r="U271" i="1"/>
  <c r="R271" i="1"/>
  <c r="P271" i="1"/>
  <c r="K271" i="1"/>
  <c r="Z270" i="1"/>
  <c r="W270" i="1"/>
  <c r="V270" i="1"/>
  <c r="U270" i="1"/>
  <c r="R270" i="1"/>
  <c r="P270" i="1"/>
  <c r="K270" i="1"/>
  <c r="Z269" i="1"/>
  <c r="W269" i="1"/>
  <c r="V269" i="1"/>
  <c r="U269" i="1"/>
  <c r="R269" i="1"/>
  <c r="P269" i="1"/>
  <c r="K269" i="1"/>
  <c r="Z268" i="1"/>
  <c r="W268" i="1"/>
  <c r="V268" i="1"/>
  <c r="U268" i="1"/>
  <c r="R268" i="1"/>
  <c r="P268" i="1"/>
  <c r="K268" i="1"/>
  <c r="Z267" i="1"/>
  <c r="W267" i="1"/>
  <c r="V267" i="1"/>
  <c r="U267" i="1"/>
  <c r="R267" i="1"/>
  <c r="P267" i="1"/>
  <c r="K267" i="1"/>
  <c r="Z266" i="1"/>
  <c r="W266" i="1"/>
  <c r="V266" i="1"/>
  <c r="U266" i="1"/>
  <c r="R266" i="1"/>
  <c r="P266" i="1"/>
  <c r="K266" i="1"/>
  <c r="Z265" i="1"/>
  <c r="W265" i="1"/>
  <c r="V265" i="1"/>
  <c r="U265" i="1"/>
  <c r="R265" i="1"/>
  <c r="P265" i="1"/>
  <c r="K265" i="1"/>
  <c r="Z264" i="1"/>
  <c r="W264" i="1"/>
  <c r="V264" i="1"/>
  <c r="U264" i="1"/>
  <c r="R264" i="1"/>
  <c r="P264" i="1"/>
  <c r="K264" i="1"/>
  <c r="Z263" i="1"/>
  <c r="W263" i="1"/>
  <c r="V263" i="1"/>
  <c r="U263" i="1"/>
  <c r="R263" i="1"/>
  <c r="P263" i="1"/>
  <c r="K263" i="1"/>
  <c r="Z262" i="1"/>
  <c r="W262" i="1"/>
  <c r="V262" i="1"/>
  <c r="U262" i="1"/>
  <c r="R262" i="1"/>
  <c r="P262" i="1"/>
  <c r="K262" i="1"/>
  <c r="Z261" i="1"/>
  <c r="W261" i="1"/>
  <c r="V261" i="1"/>
  <c r="U261" i="1"/>
  <c r="R261" i="1"/>
  <c r="P261" i="1"/>
  <c r="K261" i="1"/>
  <c r="Z260" i="1"/>
  <c r="W260" i="1"/>
  <c r="V260" i="1"/>
  <c r="U260" i="1"/>
  <c r="R260" i="1"/>
  <c r="P260" i="1"/>
  <c r="K260" i="1"/>
  <c r="Z259" i="1"/>
  <c r="W259" i="1"/>
  <c r="V259" i="1"/>
  <c r="U259" i="1"/>
  <c r="R259" i="1"/>
  <c r="P259" i="1"/>
  <c r="K259" i="1"/>
  <c r="Z258" i="1"/>
  <c r="W258" i="1"/>
  <c r="V258" i="1"/>
  <c r="U258" i="1"/>
  <c r="R258" i="1"/>
  <c r="P258" i="1"/>
  <c r="K258" i="1"/>
  <c r="Z257" i="1"/>
  <c r="W257" i="1"/>
  <c r="V257" i="1"/>
  <c r="U257" i="1"/>
  <c r="R257" i="1"/>
  <c r="P257" i="1"/>
  <c r="K257" i="1"/>
  <c r="Z256" i="1"/>
  <c r="W256" i="1"/>
  <c r="V256" i="1"/>
  <c r="U256" i="1"/>
  <c r="R256" i="1"/>
  <c r="P256" i="1"/>
  <c r="K256" i="1"/>
  <c r="Z255" i="1"/>
  <c r="W255" i="1"/>
  <c r="V255" i="1"/>
  <c r="U255" i="1"/>
  <c r="R255" i="1"/>
  <c r="P255" i="1"/>
  <c r="K255" i="1"/>
  <c r="Z254" i="1"/>
  <c r="W254" i="1"/>
  <c r="V254" i="1"/>
  <c r="U254" i="1"/>
  <c r="R254" i="1"/>
  <c r="P254" i="1"/>
  <c r="K254" i="1"/>
  <c r="Z253" i="1"/>
  <c r="W253" i="1"/>
  <c r="V253" i="1"/>
  <c r="U253" i="1"/>
  <c r="R253" i="1"/>
  <c r="P253" i="1"/>
  <c r="K253" i="1"/>
  <c r="Z252" i="1"/>
  <c r="W252" i="1"/>
  <c r="V252" i="1"/>
  <c r="U252" i="1"/>
  <c r="R252" i="1"/>
  <c r="P252" i="1"/>
  <c r="K252" i="1"/>
  <c r="Z251" i="1"/>
  <c r="W251" i="1"/>
  <c r="V251" i="1"/>
  <c r="U251" i="1"/>
  <c r="R251" i="1"/>
  <c r="P251" i="1"/>
  <c r="K251" i="1"/>
  <c r="Z250" i="1"/>
  <c r="W250" i="1"/>
  <c r="V250" i="1"/>
  <c r="U250" i="1"/>
  <c r="R250" i="1"/>
  <c r="P250" i="1"/>
  <c r="K250" i="1"/>
  <c r="Z249" i="1"/>
  <c r="W249" i="1"/>
  <c r="V249" i="1"/>
  <c r="U249" i="1"/>
  <c r="R249" i="1"/>
  <c r="P249" i="1"/>
  <c r="K249" i="1"/>
  <c r="Z248" i="1"/>
  <c r="W248" i="1"/>
  <c r="V248" i="1"/>
  <c r="U248" i="1"/>
  <c r="R248" i="1"/>
  <c r="P248" i="1"/>
  <c r="K248" i="1"/>
  <c r="Z247" i="1"/>
  <c r="W247" i="1"/>
  <c r="V247" i="1"/>
  <c r="U247" i="1"/>
  <c r="R247" i="1"/>
  <c r="P247" i="1"/>
  <c r="K247" i="1"/>
  <c r="Z246" i="1"/>
  <c r="W246" i="1"/>
  <c r="V246" i="1"/>
  <c r="U246" i="1"/>
  <c r="R246" i="1"/>
  <c r="P246" i="1"/>
  <c r="K246" i="1"/>
  <c r="Z245" i="1"/>
  <c r="W245" i="1"/>
  <c r="V245" i="1"/>
  <c r="U245" i="1"/>
  <c r="R245" i="1"/>
  <c r="P245" i="1"/>
  <c r="K245" i="1"/>
  <c r="Z244" i="1"/>
  <c r="W244" i="1"/>
  <c r="V244" i="1"/>
  <c r="U244" i="1"/>
  <c r="R244" i="1"/>
  <c r="P244" i="1"/>
  <c r="K244" i="1"/>
  <c r="Z243" i="1"/>
  <c r="W243" i="1"/>
  <c r="V243" i="1"/>
  <c r="U243" i="1"/>
  <c r="R243" i="1"/>
  <c r="P243" i="1"/>
  <c r="K243" i="1"/>
  <c r="Z242" i="1"/>
  <c r="W242" i="1"/>
  <c r="V242" i="1"/>
  <c r="U242" i="1"/>
  <c r="R242" i="1"/>
  <c r="P242" i="1"/>
  <c r="K242" i="1"/>
  <c r="Z241" i="1"/>
  <c r="W241" i="1"/>
  <c r="V241" i="1"/>
  <c r="U241" i="1"/>
  <c r="R241" i="1"/>
  <c r="P241" i="1"/>
  <c r="K241" i="1"/>
  <c r="Z240" i="1"/>
  <c r="W240" i="1"/>
  <c r="V240" i="1"/>
  <c r="U240" i="1"/>
  <c r="R240" i="1"/>
  <c r="P240" i="1"/>
  <c r="K240" i="1"/>
  <c r="Z239" i="1"/>
  <c r="W239" i="1"/>
  <c r="V239" i="1"/>
  <c r="U239" i="1"/>
  <c r="R239" i="1"/>
  <c r="P239" i="1"/>
  <c r="K239" i="1"/>
  <c r="Z238" i="1"/>
  <c r="W238" i="1"/>
  <c r="V238" i="1"/>
  <c r="U238" i="1"/>
  <c r="R238" i="1"/>
  <c r="P238" i="1"/>
  <c r="K238" i="1"/>
  <c r="Z237" i="1"/>
  <c r="W237" i="1"/>
  <c r="V237" i="1"/>
  <c r="U237" i="1"/>
  <c r="R237" i="1"/>
  <c r="P237" i="1"/>
  <c r="K237" i="1"/>
  <c r="Z236" i="1"/>
  <c r="W236" i="1"/>
  <c r="V236" i="1"/>
  <c r="U236" i="1"/>
  <c r="R236" i="1"/>
  <c r="P236" i="1"/>
  <c r="K236" i="1"/>
  <c r="Z235" i="1"/>
  <c r="W235" i="1"/>
  <c r="V235" i="1"/>
  <c r="U235" i="1"/>
  <c r="R235" i="1"/>
  <c r="P235" i="1"/>
  <c r="K235" i="1"/>
  <c r="Z234" i="1"/>
  <c r="W234" i="1"/>
  <c r="V234" i="1"/>
  <c r="U234" i="1"/>
  <c r="R234" i="1"/>
  <c r="P234" i="1"/>
  <c r="K234" i="1"/>
  <c r="Z233" i="1"/>
  <c r="W233" i="1"/>
  <c r="V233" i="1"/>
  <c r="U233" i="1"/>
  <c r="R233" i="1"/>
  <c r="P233" i="1"/>
  <c r="K233" i="1"/>
  <c r="Z232" i="1"/>
  <c r="W232" i="1"/>
  <c r="V232" i="1"/>
  <c r="U232" i="1"/>
  <c r="R232" i="1"/>
  <c r="P232" i="1"/>
  <c r="K232" i="1"/>
  <c r="Z231" i="1"/>
  <c r="W231" i="1"/>
  <c r="V231" i="1"/>
  <c r="U231" i="1"/>
  <c r="R231" i="1"/>
  <c r="P231" i="1"/>
  <c r="K231" i="1"/>
  <c r="Z230" i="1"/>
  <c r="W230" i="1"/>
  <c r="V230" i="1"/>
  <c r="U230" i="1"/>
  <c r="R230" i="1"/>
  <c r="P230" i="1"/>
  <c r="K230" i="1"/>
  <c r="Z229" i="1"/>
  <c r="W229" i="1"/>
  <c r="V229" i="1"/>
  <c r="U229" i="1"/>
  <c r="R229" i="1"/>
  <c r="P229" i="1"/>
  <c r="K229" i="1"/>
  <c r="Z228" i="1"/>
  <c r="W228" i="1"/>
  <c r="V228" i="1"/>
  <c r="U228" i="1"/>
  <c r="R228" i="1"/>
  <c r="P228" i="1"/>
  <c r="K228" i="1"/>
  <c r="Z227" i="1"/>
  <c r="W227" i="1"/>
  <c r="V227" i="1"/>
  <c r="U227" i="1"/>
  <c r="R227" i="1"/>
  <c r="P227" i="1"/>
  <c r="K227" i="1"/>
  <c r="Z226" i="1"/>
  <c r="W226" i="1"/>
  <c r="V226" i="1"/>
  <c r="U226" i="1"/>
  <c r="R226" i="1"/>
  <c r="P226" i="1"/>
  <c r="K226" i="1"/>
  <c r="Z225" i="1"/>
  <c r="W225" i="1"/>
  <c r="V225" i="1"/>
  <c r="U225" i="1"/>
  <c r="R225" i="1"/>
  <c r="P225" i="1"/>
  <c r="K225" i="1"/>
  <c r="Z224" i="1"/>
  <c r="W224" i="1"/>
  <c r="V224" i="1"/>
  <c r="U224" i="1"/>
  <c r="R224" i="1"/>
  <c r="P224" i="1"/>
  <c r="K224" i="1"/>
  <c r="Z223" i="1"/>
  <c r="W223" i="1"/>
  <c r="V223" i="1"/>
  <c r="U223" i="1"/>
  <c r="R223" i="1"/>
  <c r="P223" i="1"/>
  <c r="K223" i="1"/>
  <c r="Z222" i="1"/>
  <c r="W222" i="1"/>
  <c r="V222" i="1"/>
  <c r="U222" i="1"/>
  <c r="R222" i="1"/>
  <c r="P222" i="1"/>
  <c r="K222" i="1"/>
  <c r="Z221" i="1"/>
  <c r="W221" i="1"/>
  <c r="V221" i="1"/>
  <c r="U221" i="1"/>
  <c r="R221" i="1"/>
  <c r="P221" i="1"/>
  <c r="K221" i="1"/>
  <c r="Z220" i="1"/>
  <c r="W220" i="1"/>
  <c r="V220" i="1"/>
  <c r="U220" i="1"/>
  <c r="R220" i="1"/>
  <c r="P220" i="1"/>
  <c r="K220" i="1"/>
  <c r="Z219" i="1"/>
  <c r="W219" i="1"/>
  <c r="V219" i="1"/>
  <c r="U219" i="1"/>
  <c r="R219" i="1"/>
  <c r="P219" i="1"/>
  <c r="K219" i="1"/>
  <c r="Z218" i="1"/>
  <c r="W218" i="1"/>
  <c r="V218" i="1"/>
  <c r="U218" i="1"/>
  <c r="R218" i="1"/>
  <c r="P218" i="1"/>
  <c r="K218" i="1"/>
  <c r="Z217" i="1"/>
  <c r="W217" i="1"/>
  <c r="V217" i="1"/>
  <c r="U217" i="1"/>
  <c r="R217" i="1"/>
  <c r="P217" i="1"/>
  <c r="K217" i="1"/>
  <c r="Z216" i="1"/>
  <c r="W216" i="1"/>
  <c r="V216" i="1"/>
  <c r="U216" i="1"/>
  <c r="R216" i="1"/>
  <c r="P216" i="1"/>
  <c r="K216" i="1"/>
  <c r="Z215" i="1"/>
  <c r="W215" i="1"/>
  <c r="V215" i="1"/>
  <c r="U215" i="1"/>
  <c r="R215" i="1"/>
  <c r="P215" i="1"/>
  <c r="K215" i="1"/>
  <c r="Z214" i="1"/>
  <c r="W214" i="1"/>
  <c r="V214" i="1"/>
  <c r="U214" i="1"/>
  <c r="R214" i="1"/>
  <c r="P214" i="1"/>
  <c r="K214" i="1"/>
  <c r="Z213" i="1"/>
  <c r="W213" i="1"/>
  <c r="V213" i="1"/>
  <c r="U213" i="1"/>
  <c r="R213" i="1"/>
  <c r="P213" i="1"/>
  <c r="K213" i="1"/>
  <c r="Z212" i="1"/>
  <c r="W212" i="1"/>
  <c r="V212" i="1"/>
  <c r="U212" i="1"/>
  <c r="R212" i="1"/>
  <c r="P212" i="1"/>
  <c r="K212" i="1"/>
  <c r="Z211" i="1"/>
  <c r="W211" i="1"/>
  <c r="V211" i="1"/>
  <c r="U211" i="1"/>
  <c r="R211" i="1"/>
  <c r="P211" i="1"/>
  <c r="K211" i="1"/>
  <c r="Z210" i="1"/>
  <c r="W210" i="1"/>
  <c r="V210" i="1"/>
  <c r="U210" i="1"/>
  <c r="R210" i="1"/>
  <c r="P210" i="1"/>
  <c r="K210" i="1"/>
  <c r="Z209" i="1"/>
  <c r="W209" i="1"/>
  <c r="V209" i="1"/>
  <c r="U209" i="1"/>
  <c r="R209" i="1"/>
  <c r="P209" i="1"/>
  <c r="K209" i="1"/>
  <c r="Z208" i="1"/>
  <c r="W208" i="1"/>
  <c r="V208" i="1"/>
  <c r="U208" i="1"/>
  <c r="R208" i="1"/>
  <c r="P208" i="1"/>
  <c r="K208" i="1"/>
  <c r="Z207" i="1"/>
  <c r="W207" i="1"/>
  <c r="V207" i="1"/>
  <c r="U207" i="1"/>
  <c r="R207" i="1"/>
  <c r="P207" i="1"/>
  <c r="K207" i="1"/>
  <c r="Z206" i="1"/>
  <c r="W206" i="1"/>
  <c r="V206" i="1"/>
  <c r="U206" i="1"/>
  <c r="R206" i="1"/>
  <c r="P206" i="1"/>
  <c r="K206" i="1"/>
  <c r="Z205" i="1"/>
  <c r="W205" i="1"/>
  <c r="V205" i="1"/>
  <c r="U205" i="1"/>
  <c r="R205" i="1"/>
  <c r="P205" i="1"/>
  <c r="K205" i="1"/>
  <c r="Z204" i="1"/>
  <c r="W204" i="1"/>
  <c r="V204" i="1"/>
  <c r="U204" i="1"/>
  <c r="R204" i="1"/>
  <c r="P204" i="1"/>
  <c r="K204" i="1"/>
  <c r="Z203" i="1"/>
  <c r="W203" i="1"/>
  <c r="V203" i="1"/>
  <c r="U203" i="1"/>
  <c r="R203" i="1"/>
  <c r="P203" i="1"/>
  <c r="K203" i="1"/>
  <c r="Z202" i="1"/>
  <c r="W202" i="1"/>
  <c r="V202" i="1"/>
  <c r="U202" i="1"/>
  <c r="R202" i="1"/>
  <c r="P202" i="1"/>
  <c r="K202" i="1"/>
  <c r="Z201" i="1"/>
  <c r="W201" i="1"/>
  <c r="V201" i="1"/>
  <c r="U201" i="1"/>
  <c r="R201" i="1"/>
  <c r="P201" i="1"/>
  <c r="K201" i="1"/>
  <c r="Z200" i="1"/>
  <c r="W200" i="1"/>
  <c r="V200" i="1"/>
  <c r="U200" i="1"/>
  <c r="R200" i="1"/>
  <c r="P200" i="1"/>
  <c r="K200" i="1"/>
  <c r="Z199" i="1"/>
  <c r="W199" i="1"/>
  <c r="V199" i="1"/>
  <c r="U199" i="1"/>
  <c r="R199" i="1"/>
  <c r="P199" i="1"/>
  <c r="K199" i="1"/>
  <c r="Z198" i="1"/>
  <c r="W198" i="1"/>
  <c r="V198" i="1"/>
  <c r="U198" i="1"/>
  <c r="R198" i="1"/>
  <c r="P198" i="1"/>
  <c r="K198" i="1"/>
  <c r="Z197" i="1"/>
  <c r="W197" i="1"/>
  <c r="V197" i="1"/>
  <c r="U197" i="1"/>
  <c r="R197" i="1"/>
  <c r="P197" i="1"/>
  <c r="K197" i="1"/>
  <c r="Z196" i="1"/>
  <c r="W196" i="1"/>
  <c r="V196" i="1"/>
  <c r="U196" i="1"/>
  <c r="R196" i="1"/>
  <c r="P196" i="1"/>
  <c r="K196" i="1"/>
  <c r="Z195" i="1"/>
  <c r="W195" i="1"/>
  <c r="V195" i="1"/>
  <c r="U195" i="1"/>
  <c r="R195" i="1"/>
  <c r="P195" i="1"/>
  <c r="K195" i="1"/>
  <c r="Z194" i="1"/>
  <c r="W194" i="1"/>
  <c r="V194" i="1"/>
  <c r="U194" i="1"/>
  <c r="R194" i="1"/>
  <c r="P194" i="1"/>
  <c r="K194" i="1"/>
  <c r="Z193" i="1"/>
  <c r="W193" i="1"/>
  <c r="V193" i="1"/>
  <c r="U193" i="1"/>
  <c r="R193" i="1"/>
  <c r="P193" i="1"/>
  <c r="K193" i="1"/>
  <c r="Z192" i="1"/>
  <c r="W192" i="1"/>
  <c r="V192" i="1"/>
  <c r="U192" i="1"/>
  <c r="R192" i="1"/>
  <c r="P192" i="1"/>
  <c r="K192" i="1"/>
  <c r="Z191" i="1"/>
  <c r="W191" i="1"/>
  <c r="V191" i="1"/>
  <c r="U191" i="1"/>
  <c r="R191" i="1"/>
  <c r="P191" i="1"/>
  <c r="K191" i="1"/>
  <c r="Z190" i="1"/>
  <c r="W190" i="1"/>
  <c r="V190" i="1"/>
  <c r="U190" i="1"/>
  <c r="R190" i="1"/>
  <c r="P190" i="1"/>
  <c r="K190" i="1"/>
  <c r="Z189" i="1"/>
  <c r="W189" i="1"/>
  <c r="V189" i="1"/>
  <c r="U189" i="1"/>
  <c r="R189" i="1"/>
  <c r="P189" i="1"/>
  <c r="K189" i="1"/>
  <c r="Z188" i="1"/>
  <c r="W188" i="1"/>
  <c r="V188" i="1"/>
  <c r="U188" i="1"/>
  <c r="R188" i="1"/>
  <c r="P188" i="1"/>
  <c r="K188" i="1"/>
  <c r="Z187" i="1"/>
  <c r="W187" i="1"/>
  <c r="V187" i="1"/>
  <c r="U187" i="1"/>
  <c r="R187" i="1"/>
  <c r="P187" i="1"/>
  <c r="K187" i="1"/>
  <c r="Z186" i="1"/>
  <c r="W186" i="1"/>
  <c r="V186" i="1"/>
  <c r="U186" i="1"/>
  <c r="R186" i="1"/>
  <c r="P186" i="1"/>
  <c r="K186" i="1"/>
  <c r="Z185" i="1"/>
  <c r="W185" i="1"/>
  <c r="V185" i="1"/>
  <c r="U185" i="1"/>
  <c r="R185" i="1"/>
  <c r="P185" i="1"/>
  <c r="K185" i="1"/>
  <c r="Z184" i="1"/>
  <c r="W184" i="1"/>
  <c r="V184" i="1"/>
  <c r="U184" i="1"/>
  <c r="R184" i="1"/>
  <c r="P184" i="1"/>
  <c r="K184" i="1"/>
  <c r="Z183" i="1"/>
  <c r="W183" i="1"/>
  <c r="V183" i="1"/>
  <c r="U183" i="1"/>
  <c r="R183" i="1"/>
  <c r="P183" i="1"/>
  <c r="K183" i="1"/>
  <c r="Z182" i="1"/>
  <c r="W182" i="1"/>
  <c r="V182" i="1"/>
  <c r="U182" i="1"/>
  <c r="R182" i="1"/>
  <c r="P182" i="1"/>
  <c r="K182" i="1"/>
  <c r="Z181" i="1"/>
  <c r="W181" i="1"/>
  <c r="V181" i="1"/>
  <c r="U181" i="1"/>
  <c r="R181" i="1"/>
  <c r="P181" i="1"/>
  <c r="K181" i="1"/>
  <c r="Z180" i="1"/>
  <c r="W180" i="1"/>
  <c r="V180" i="1"/>
  <c r="U180" i="1"/>
  <c r="R180" i="1"/>
  <c r="P180" i="1"/>
  <c r="K180" i="1"/>
  <c r="Z179" i="1"/>
  <c r="W179" i="1"/>
  <c r="V179" i="1"/>
  <c r="U179" i="1"/>
  <c r="R179" i="1"/>
  <c r="P179" i="1"/>
  <c r="K179" i="1"/>
  <c r="Z178" i="1"/>
  <c r="W178" i="1"/>
  <c r="V178" i="1"/>
  <c r="U178" i="1"/>
  <c r="R178" i="1"/>
  <c r="P178" i="1"/>
  <c r="K178" i="1"/>
  <c r="Z177" i="1"/>
  <c r="W177" i="1"/>
  <c r="V177" i="1"/>
  <c r="U177" i="1"/>
  <c r="R177" i="1"/>
  <c r="P177" i="1"/>
  <c r="K177" i="1"/>
  <c r="Z176" i="1"/>
  <c r="W176" i="1"/>
  <c r="V176" i="1"/>
  <c r="U176" i="1"/>
  <c r="R176" i="1"/>
  <c r="P176" i="1"/>
  <c r="K176" i="1"/>
  <c r="Z175" i="1"/>
  <c r="W175" i="1"/>
  <c r="V175" i="1"/>
  <c r="U175" i="1"/>
  <c r="R175" i="1"/>
  <c r="P175" i="1"/>
  <c r="K175" i="1"/>
  <c r="Z174" i="1"/>
  <c r="W174" i="1"/>
  <c r="V174" i="1"/>
  <c r="U174" i="1"/>
  <c r="R174" i="1"/>
  <c r="P174" i="1"/>
  <c r="K174" i="1"/>
  <c r="Z173" i="1"/>
  <c r="W173" i="1"/>
  <c r="V173" i="1"/>
  <c r="U173" i="1"/>
  <c r="R173" i="1"/>
  <c r="P173" i="1"/>
  <c r="K173" i="1"/>
  <c r="Z172" i="1"/>
  <c r="W172" i="1"/>
  <c r="V172" i="1"/>
  <c r="U172" i="1"/>
  <c r="R172" i="1"/>
  <c r="P172" i="1"/>
  <c r="K172" i="1"/>
  <c r="Z171" i="1"/>
  <c r="W171" i="1"/>
  <c r="V171" i="1"/>
  <c r="U171" i="1"/>
  <c r="R171" i="1"/>
  <c r="P171" i="1"/>
  <c r="K171" i="1"/>
  <c r="Z170" i="1"/>
  <c r="W170" i="1"/>
  <c r="V170" i="1"/>
  <c r="U170" i="1"/>
  <c r="R170" i="1"/>
  <c r="P170" i="1"/>
  <c r="K170" i="1"/>
  <c r="Z169" i="1"/>
  <c r="W169" i="1"/>
  <c r="V169" i="1"/>
  <c r="U169" i="1"/>
  <c r="R169" i="1"/>
  <c r="P169" i="1"/>
  <c r="K169" i="1"/>
  <c r="Z168" i="1"/>
  <c r="W168" i="1"/>
  <c r="V168" i="1"/>
  <c r="U168" i="1"/>
  <c r="R168" i="1"/>
  <c r="P168" i="1"/>
  <c r="K168" i="1"/>
  <c r="Z167" i="1"/>
  <c r="W167" i="1"/>
  <c r="V167" i="1"/>
  <c r="U167" i="1"/>
  <c r="R167" i="1"/>
  <c r="P167" i="1"/>
  <c r="K167" i="1"/>
  <c r="Z166" i="1"/>
  <c r="W166" i="1"/>
  <c r="V166" i="1"/>
  <c r="U166" i="1"/>
  <c r="R166" i="1"/>
  <c r="P166" i="1"/>
  <c r="K166" i="1"/>
  <c r="Z165" i="1"/>
  <c r="W165" i="1"/>
  <c r="V165" i="1"/>
  <c r="U165" i="1"/>
  <c r="R165" i="1"/>
  <c r="P165" i="1"/>
  <c r="K165" i="1"/>
  <c r="Z164" i="1"/>
  <c r="W164" i="1"/>
  <c r="V164" i="1"/>
  <c r="U164" i="1"/>
  <c r="R164" i="1"/>
  <c r="P164" i="1"/>
  <c r="K164" i="1"/>
  <c r="Z163" i="1"/>
  <c r="W163" i="1"/>
  <c r="V163" i="1"/>
  <c r="U163" i="1"/>
  <c r="R163" i="1"/>
  <c r="P163" i="1"/>
  <c r="K163" i="1"/>
  <c r="Z162" i="1"/>
  <c r="W162" i="1"/>
  <c r="V162" i="1"/>
  <c r="U162" i="1"/>
  <c r="R162" i="1"/>
  <c r="P162" i="1"/>
  <c r="K162" i="1"/>
  <c r="Z161" i="1"/>
  <c r="W161" i="1"/>
  <c r="V161" i="1"/>
  <c r="U161" i="1"/>
  <c r="R161" i="1"/>
  <c r="P161" i="1"/>
  <c r="K161" i="1"/>
  <c r="Z160" i="1"/>
  <c r="W160" i="1"/>
  <c r="V160" i="1"/>
  <c r="U160" i="1"/>
  <c r="R160" i="1"/>
  <c r="P160" i="1"/>
  <c r="K160" i="1"/>
  <c r="Z159" i="1"/>
  <c r="W159" i="1"/>
  <c r="V159" i="1"/>
  <c r="U159" i="1"/>
  <c r="R159" i="1"/>
  <c r="P159" i="1"/>
  <c r="K159" i="1"/>
  <c r="Z158" i="1"/>
  <c r="W158" i="1"/>
  <c r="V158" i="1"/>
  <c r="U158" i="1"/>
  <c r="R158" i="1"/>
  <c r="P158" i="1"/>
  <c r="K158" i="1"/>
  <c r="Z157" i="1"/>
  <c r="W157" i="1"/>
  <c r="V157" i="1"/>
  <c r="U157" i="1"/>
  <c r="R157" i="1"/>
  <c r="P157" i="1"/>
  <c r="K157" i="1"/>
  <c r="Z156" i="1"/>
  <c r="W156" i="1"/>
  <c r="V156" i="1"/>
  <c r="U156" i="1"/>
  <c r="R156" i="1"/>
  <c r="P156" i="1"/>
  <c r="K156" i="1"/>
  <c r="Z155" i="1"/>
  <c r="W155" i="1"/>
  <c r="V155" i="1"/>
  <c r="U155" i="1"/>
  <c r="R155" i="1"/>
  <c r="P155" i="1"/>
  <c r="K155" i="1"/>
  <c r="Z154" i="1"/>
  <c r="W154" i="1"/>
  <c r="V154" i="1"/>
  <c r="U154" i="1"/>
  <c r="R154" i="1"/>
  <c r="P154" i="1"/>
  <c r="K154" i="1"/>
  <c r="Z153" i="1"/>
  <c r="W153" i="1"/>
  <c r="V153" i="1"/>
  <c r="U153" i="1"/>
  <c r="R153" i="1"/>
  <c r="P153" i="1"/>
  <c r="K153" i="1"/>
  <c r="Z152" i="1"/>
  <c r="W152" i="1"/>
  <c r="V152" i="1"/>
  <c r="U152" i="1"/>
  <c r="R152" i="1"/>
  <c r="P152" i="1"/>
  <c r="K152" i="1"/>
  <c r="Z151" i="1"/>
  <c r="W151" i="1"/>
  <c r="V151" i="1"/>
  <c r="U151" i="1"/>
  <c r="R151" i="1"/>
  <c r="P151" i="1"/>
  <c r="K151" i="1"/>
  <c r="Z150" i="1"/>
  <c r="W150" i="1"/>
  <c r="V150" i="1"/>
  <c r="U150" i="1"/>
  <c r="R150" i="1"/>
  <c r="P150" i="1"/>
  <c r="K150" i="1"/>
  <c r="Z149" i="1"/>
  <c r="W149" i="1"/>
  <c r="V149" i="1"/>
  <c r="U149" i="1"/>
  <c r="R149" i="1"/>
  <c r="P149" i="1"/>
  <c r="K149" i="1"/>
  <c r="Z148" i="1"/>
  <c r="W148" i="1"/>
  <c r="V148" i="1"/>
  <c r="U148" i="1"/>
  <c r="R148" i="1"/>
  <c r="P148" i="1"/>
  <c r="K148" i="1"/>
  <c r="Z147" i="1"/>
  <c r="W147" i="1"/>
  <c r="V147" i="1"/>
  <c r="U147" i="1"/>
  <c r="R147" i="1"/>
  <c r="P147" i="1"/>
  <c r="K147" i="1"/>
  <c r="Z146" i="1"/>
  <c r="W146" i="1"/>
  <c r="V146" i="1"/>
  <c r="U146" i="1"/>
  <c r="R146" i="1"/>
  <c r="P146" i="1"/>
  <c r="K146" i="1"/>
  <c r="Z145" i="1"/>
  <c r="W145" i="1"/>
  <c r="V145" i="1"/>
  <c r="U145" i="1"/>
  <c r="R145" i="1"/>
  <c r="P145" i="1"/>
  <c r="K145" i="1"/>
  <c r="Z144" i="1"/>
  <c r="W144" i="1"/>
  <c r="V144" i="1"/>
  <c r="U144" i="1"/>
  <c r="R144" i="1"/>
  <c r="P144" i="1"/>
  <c r="K144" i="1"/>
  <c r="Z143" i="1"/>
  <c r="W143" i="1"/>
  <c r="V143" i="1"/>
  <c r="U143" i="1"/>
  <c r="R143" i="1"/>
  <c r="P143" i="1"/>
  <c r="K143" i="1"/>
  <c r="Z142" i="1"/>
  <c r="W142" i="1"/>
  <c r="V142" i="1"/>
  <c r="U142" i="1"/>
  <c r="R142" i="1"/>
  <c r="P142" i="1"/>
  <c r="K142" i="1"/>
  <c r="Z141" i="1"/>
  <c r="W141" i="1"/>
  <c r="V141" i="1"/>
  <c r="U141" i="1"/>
  <c r="R141" i="1"/>
  <c r="P141" i="1"/>
  <c r="K141" i="1"/>
  <c r="Z140" i="1"/>
  <c r="W140" i="1"/>
  <c r="V140" i="1"/>
  <c r="U140" i="1"/>
  <c r="R140" i="1"/>
  <c r="P140" i="1"/>
  <c r="K140" i="1"/>
  <c r="Z139" i="1"/>
  <c r="W139" i="1"/>
  <c r="V139" i="1"/>
  <c r="U139" i="1"/>
  <c r="R139" i="1"/>
  <c r="P139" i="1"/>
  <c r="K139" i="1"/>
  <c r="Z138" i="1"/>
  <c r="W138" i="1"/>
  <c r="V138" i="1"/>
  <c r="U138" i="1"/>
  <c r="R138" i="1"/>
  <c r="P138" i="1"/>
  <c r="K138" i="1"/>
  <c r="Z137" i="1"/>
  <c r="W137" i="1"/>
  <c r="V137" i="1"/>
  <c r="U137" i="1"/>
  <c r="R137" i="1"/>
  <c r="P137" i="1"/>
  <c r="K137" i="1"/>
  <c r="Z136" i="1"/>
  <c r="W136" i="1"/>
  <c r="V136" i="1"/>
  <c r="U136" i="1"/>
  <c r="R136" i="1"/>
  <c r="P136" i="1"/>
  <c r="K136" i="1"/>
  <c r="Z135" i="1"/>
  <c r="W135" i="1"/>
  <c r="V135" i="1"/>
  <c r="U135" i="1"/>
  <c r="R135" i="1"/>
  <c r="P135" i="1"/>
  <c r="K135" i="1"/>
  <c r="Z134" i="1"/>
  <c r="W134" i="1"/>
  <c r="V134" i="1"/>
  <c r="U134" i="1"/>
  <c r="R134" i="1"/>
  <c r="P134" i="1"/>
  <c r="K134" i="1"/>
  <c r="Z133" i="1"/>
  <c r="W133" i="1"/>
  <c r="V133" i="1"/>
  <c r="U133" i="1"/>
  <c r="R133" i="1"/>
  <c r="P133" i="1"/>
  <c r="K133" i="1"/>
  <c r="Z132" i="1"/>
  <c r="W132" i="1"/>
  <c r="V132" i="1"/>
  <c r="U132" i="1"/>
  <c r="R132" i="1"/>
  <c r="P132" i="1"/>
  <c r="K132" i="1"/>
  <c r="Z131" i="1"/>
  <c r="W131" i="1"/>
  <c r="V131" i="1"/>
  <c r="U131" i="1"/>
  <c r="R131" i="1"/>
  <c r="P131" i="1"/>
  <c r="K131" i="1"/>
  <c r="Z130" i="1"/>
  <c r="W130" i="1"/>
  <c r="V130" i="1"/>
  <c r="U130" i="1"/>
  <c r="R130" i="1"/>
  <c r="P130" i="1"/>
  <c r="K130" i="1"/>
  <c r="Z129" i="1"/>
  <c r="W129" i="1"/>
  <c r="V129" i="1"/>
  <c r="U129" i="1"/>
  <c r="R129" i="1"/>
  <c r="P129" i="1"/>
  <c r="K129" i="1"/>
  <c r="Z128" i="1"/>
  <c r="W128" i="1"/>
  <c r="V128" i="1"/>
  <c r="U128" i="1"/>
  <c r="R128" i="1"/>
  <c r="P128" i="1"/>
  <c r="K128" i="1"/>
  <c r="Z127" i="1"/>
  <c r="W127" i="1"/>
  <c r="V127" i="1"/>
  <c r="U127" i="1"/>
  <c r="R127" i="1"/>
  <c r="P127" i="1"/>
  <c r="K127" i="1"/>
  <c r="Z126" i="1"/>
  <c r="W126" i="1"/>
  <c r="V126" i="1"/>
  <c r="U126" i="1"/>
  <c r="R126" i="1"/>
  <c r="P126" i="1"/>
  <c r="K126" i="1"/>
  <c r="Z125" i="1"/>
  <c r="W125" i="1"/>
  <c r="V125" i="1"/>
  <c r="U125" i="1"/>
  <c r="R125" i="1"/>
  <c r="P125" i="1"/>
  <c r="K125" i="1"/>
  <c r="Z124" i="1"/>
  <c r="W124" i="1"/>
  <c r="V124" i="1"/>
  <c r="U124" i="1"/>
  <c r="R124" i="1"/>
  <c r="P124" i="1"/>
  <c r="K124" i="1"/>
  <c r="Z123" i="1"/>
  <c r="W123" i="1"/>
  <c r="V123" i="1"/>
  <c r="U123" i="1"/>
  <c r="R123" i="1"/>
  <c r="P123" i="1"/>
  <c r="K123" i="1"/>
  <c r="Z122" i="1"/>
  <c r="W122" i="1"/>
  <c r="V122" i="1"/>
  <c r="U122" i="1"/>
  <c r="R122" i="1"/>
  <c r="P122" i="1"/>
  <c r="K122" i="1"/>
  <c r="Z121" i="1"/>
  <c r="W121" i="1"/>
  <c r="V121" i="1"/>
  <c r="U121" i="1"/>
  <c r="R121" i="1"/>
  <c r="P121" i="1"/>
  <c r="K121" i="1"/>
  <c r="Z120" i="1"/>
  <c r="W120" i="1"/>
  <c r="V120" i="1"/>
  <c r="U120" i="1"/>
  <c r="R120" i="1"/>
  <c r="P120" i="1"/>
  <c r="K120" i="1"/>
  <c r="Z119" i="1"/>
  <c r="W119" i="1"/>
  <c r="V119" i="1"/>
  <c r="U119" i="1"/>
  <c r="R119" i="1"/>
  <c r="P119" i="1"/>
  <c r="K119" i="1"/>
  <c r="Z118" i="1"/>
  <c r="W118" i="1"/>
  <c r="V118" i="1"/>
  <c r="U118" i="1"/>
  <c r="R118" i="1"/>
  <c r="P118" i="1"/>
  <c r="K118" i="1"/>
  <c r="Z117" i="1"/>
  <c r="W117" i="1"/>
  <c r="V117" i="1"/>
  <c r="U117" i="1"/>
  <c r="R117" i="1"/>
  <c r="P117" i="1"/>
  <c r="K117" i="1"/>
  <c r="Z116" i="1"/>
  <c r="W116" i="1"/>
  <c r="V116" i="1"/>
  <c r="U116" i="1"/>
  <c r="R116" i="1"/>
  <c r="P116" i="1"/>
  <c r="K116" i="1"/>
  <c r="Z115" i="1"/>
  <c r="W115" i="1"/>
  <c r="V115" i="1"/>
  <c r="U115" i="1"/>
  <c r="R115" i="1"/>
  <c r="P115" i="1"/>
  <c r="K115" i="1"/>
  <c r="Z114" i="1"/>
  <c r="W114" i="1"/>
  <c r="V114" i="1"/>
  <c r="U114" i="1"/>
  <c r="R114" i="1"/>
  <c r="P114" i="1"/>
  <c r="K114" i="1"/>
  <c r="Z113" i="1"/>
  <c r="W113" i="1"/>
  <c r="V113" i="1"/>
  <c r="U113" i="1"/>
  <c r="R113" i="1"/>
  <c r="P113" i="1"/>
  <c r="K113" i="1"/>
  <c r="Z112" i="1"/>
  <c r="W112" i="1"/>
  <c r="V112" i="1"/>
  <c r="U112" i="1"/>
  <c r="R112" i="1"/>
  <c r="P112" i="1"/>
  <c r="K112" i="1"/>
  <c r="Z111" i="1"/>
  <c r="W111" i="1"/>
  <c r="V111" i="1"/>
  <c r="U111" i="1"/>
  <c r="R111" i="1"/>
  <c r="P111" i="1"/>
  <c r="K111" i="1"/>
  <c r="Z110" i="1"/>
  <c r="W110" i="1"/>
  <c r="V110" i="1"/>
  <c r="U110" i="1"/>
  <c r="R110" i="1"/>
  <c r="P110" i="1"/>
  <c r="K110" i="1"/>
  <c r="Z109" i="1"/>
  <c r="W109" i="1"/>
  <c r="V109" i="1"/>
  <c r="U109" i="1"/>
  <c r="R109" i="1"/>
  <c r="P109" i="1"/>
  <c r="K109" i="1"/>
  <c r="Z108" i="1"/>
  <c r="W108" i="1"/>
  <c r="V108" i="1"/>
  <c r="U108" i="1"/>
  <c r="R108" i="1"/>
  <c r="P108" i="1"/>
  <c r="K108" i="1"/>
  <c r="Z107" i="1"/>
  <c r="W107" i="1"/>
  <c r="V107" i="1"/>
  <c r="U107" i="1"/>
  <c r="R107" i="1"/>
  <c r="P107" i="1"/>
  <c r="K107" i="1"/>
  <c r="Z106" i="1"/>
  <c r="W106" i="1"/>
  <c r="V106" i="1"/>
  <c r="U106" i="1"/>
  <c r="R106" i="1"/>
  <c r="P106" i="1"/>
  <c r="K106" i="1"/>
  <c r="Z105" i="1"/>
  <c r="W105" i="1"/>
  <c r="V105" i="1"/>
  <c r="U105" i="1"/>
  <c r="R105" i="1"/>
  <c r="P105" i="1"/>
  <c r="K105" i="1"/>
  <c r="Z104" i="1"/>
  <c r="W104" i="1"/>
  <c r="V104" i="1"/>
  <c r="U104" i="1"/>
  <c r="R104" i="1"/>
  <c r="P104" i="1"/>
  <c r="K104" i="1"/>
  <c r="Z103" i="1"/>
  <c r="W103" i="1"/>
  <c r="V103" i="1"/>
  <c r="U103" i="1"/>
  <c r="R103" i="1"/>
  <c r="P103" i="1"/>
  <c r="K103" i="1"/>
  <c r="Z102" i="1"/>
  <c r="W102" i="1"/>
  <c r="V102" i="1"/>
  <c r="U102" i="1"/>
  <c r="R102" i="1"/>
  <c r="P102" i="1"/>
  <c r="K102" i="1"/>
  <c r="Z101" i="1"/>
  <c r="W101" i="1"/>
  <c r="V101" i="1"/>
  <c r="U101" i="1"/>
  <c r="R101" i="1"/>
  <c r="P101" i="1"/>
  <c r="K101" i="1"/>
  <c r="Z100" i="1"/>
  <c r="W100" i="1"/>
  <c r="V100" i="1"/>
  <c r="U100" i="1"/>
  <c r="R100" i="1"/>
  <c r="P100" i="1"/>
  <c r="K100" i="1"/>
  <c r="Z99" i="1"/>
  <c r="W99" i="1"/>
  <c r="V99" i="1"/>
  <c r="U99" i="1"/>
  <c r="R99" i="1"/>
  <c r="P99" i="1"/>
  <c r="K99" i="1"/>
  <c r="Z98" i="1"/>
  <c r="W98" i="1"/>
  <c r="V98" i="1"/>
  <c r="U98" i="1"/>
  <c r="R98" i="1"/>
  <c r="P98" i="1"/>
  <c r="K98" i="1"/>
  <c r="Z97" i="1"/>
  <c r="W97" i="1"/>
  <c r="V97" i="1"/>
  <c r="U97" i="1"/>
  <c r="R97" i="1"/>
  <c r="P97" i="1"/>
  <c r="K97" i="1"/>
  <c r="Z96" i="1"/>
  <c r="W96" i="1"/>
  <c r="V96" i="1"/>
  <c r="U96" i="1"/>
  <c r="R96" i="1"/>
  <c r="P96" i="1"/>
  <c r="K96" i="1"/>
  <c r="Z95" i="1"/>
  <c r="W95" i="1"/>
  <c r="V95" i="1"/>
  <c r="U95" i="1"/>
  <c r="R95" i="1"/>
  <c r="P95" i="1"/>
  <c r="K95" i="1"/>
  <c r="Z94" i="1"/>
  <c r="W94" i="1"/>
  <c r="V94" i="1"/>
  <c r="U94" i="1"/>
  <c r="R94" i="1"/>
  <c r="P94" i="1"/>
  <c r="K94" i="1"/>
  <c r="Z93" i="1"/>
  <c r="W93" i="1"/>
  <c r="V93" i="1"/>
  <c r="U93" i="1"/>
  <c r="R93" i="1"/>
  <c r="P93" i="1"/>
  <c r="K93" i="1"/>
  <c r="Z92" i="1"/>
  <c r="W92" i="1"/>
  <c r="V92" i="1"/>
  <c r="U92" i="1"/>
  <c r="R92" i="1"/>
  <c r="P92" i="1"/>
  <c r="K92" i="1"/>
  <c r="Z91" i="1"/>
  <c r="W91" i="1"/>
  <c r="V91" i="1"/>
  <c r="U91" i="1"/>
  <c r="R91" i="1"/>
  <c r="P91" i="1"/>
  <c r="K91" i="1"/>
  <c r="Z90" i="1"/>
  <c r="W90" i="1"/>
  <c r="V90" i="1"/>
  <c r="U90" i="1"/>
  <c r="R90" i="1"/>
  <c r="P90" i="1"/>
  <c r="K90" i="1"/>
  <c r="Z89" i="1"/>
  <c r="W89" i="1"/>
  <c r="V89" i="1"/>
  <c r="U89" i="1"/>
  <c r="R89" i="1"/>
  <c r="P89" i="1"/>
  <c r="K89" i="1"/>
  <c r="Z88" i="1"/>
  <c r="W88" i="1"/>
  <c r="V88" i="1"/>
  <c r="U88" i="1"/>
  <c r="R88" i="1"/>
  <c r="P88" i="1"/>
  <c r="K88" i="1"/>
  <c r="Z87" i="1"/>
  <c r="W87" i="1"/>
  <c r="V87" i="1"/>
  <c r="U87" i="1"/>
  <c r="R87" i="1"/>
  <c r="P87" i="1"/>
  <c r="K87" i="1"/>
  <c r="Z86" i="1"/>
  <c r="W86" i="1"/>
  <c r="V86" i="1"/>
  <c r="U86" i="1"/>
  <c r="R86" i="1"/>
  <c r="P86" i="1"/>
  <c r="K86" i="1"/>
  <c r="Z85" i="1"/>
  <c r="W85" i="1"/>
  <c r="V85" i="1"/>
  <c r="U85" i="1"/>
  <c r="R85" i="1"/>
  <c r="P85" i="1"/>
  <c r="K85" i="1"/>
  <c r="Z84" i="1"/>
  <c r="W84" i="1"/>
  <c r="V84" i="1"/>
  <c r="U84" i="1"/>
  <c r="R84" i="1"/>
  <c r="P84" i="1"/>
  <c r="K84" i="1"/>
  <c r="Z83" i="1"/>
  <c r="W83" i="1"/>
  <c r="V83" i="1"/>
  <c r="U83" i="1"/>
  <c r="R83" i="1"/>
  <c r="P83" i="1"/>
  <c r="K83" i="1"/>
  <c r="Z82" i="1"/>
  <c r="W82" i="1"/>
  <c r="V82" i="1"/>
  <c r="U82" i="1"/>
  <c r="R82" i="1"/>
  <c r="P82" i="1"/>
  <c r="K82" i="1"/>
  <c r="Z81" i="1"/>
  <c r="W81" i="1"/>
  <c r="V81" i="1"/>
  <c r="U81" i="1"/>
  <c r="R81" i="1"/>
  <c r="P81" i="1"/>
  <c r="K81" i="1"/>
  <c r="Z80" i="1"/>
  <c r="W80" i="1"/>
  <c r="V80" i="1"/>
  <c r="U80" i="1"/>
  <c r="R80" i="1"/>
  <c r="P80" i="1"/>
  <c r="K80" i="1"/>
  <c r="Z79" i="1"/>
  <c r="W79" i="1"/>
  <c r="V79" i="1"/>
  <c r="U79" i="1"/>
  <c r="R79" i="1"/>
  <c r="P79" i="1"/>
  <c r="K79" i="1"/>
  <c r="Z78" i="1"/>
  <c r="W78" i="1"/>
  <c r="V78" i="1"/>
  <c r="U78" i="1"/>
  <c r="R78" i="1"/>
  <c r="P78" i="1"/>
  <c r="K78" i="1"/>
  <c r="Z77" i="1"/>
  <c r="W77" i="1"/>
  <c r="V77" i="1"/>
  <c r="U77" i="1"/>
  <c r="R77" i="1"/>
  <c r="P77" i="1"/>
  <c r="K77" i="1"/>
  <c r="Z76" i="1"/>
  <c r="W76" i="1"/>
  <c r="V76" i="1"/>
  <c r="U76" i="1"/>
  <c r="R76" i="1"/>
  <c r="P76" i="1"/>
  <c r="K76" i="1"/>
  <c r="Z75" i="1"/>
  <c r="W75" i="1"/>
  <c r="V75" i="1"/>
  <c r="U75" i="1"/>
  <c r="R75" i="1"/>
  <c r="P75" i="1"/>
  <c r="K75" i="1"/>
  <c r="Z74" i="1"/>
  <c r="W74" i="1"/>
  <c r="V74" i="1"/>
  <c r="U74" i="1"/>
  <c r="R74" i="1"/>
  <c r="P74" i="1"/>
  <c r="K74" i="1"/>
  <c r="Z73" i="1"/>
  <c r="W73" i="1"/>
  <c r="V73" i="1"/>
  <c r="U73" i="1"/>
  <c r="R73" i="1"/>
  <c r="P73" i="1"/>
  <c r="K73" i="1"/>
  <c r="Z72" i="1"/>
  <c r="W72" i="1"/>
  <c r="V72" i="1"/>
  <c r="U72" i="1"/>
  <c r="R72" i="1"/>
  <c r="P72" i="1"/>
  <c r="K72" i="1"/>
  <c r="Z71" i="1"/>
  <c r="W71" i="1"/>
  <c r="V71" i="1"/>
  <c r="U71" i="1"/>
  <c r="R71" i="1"/>
  <c r="P71" i="1"/>
  <c r="K71" i="1"/>
  <c r="Z70" i="1"/>
  <c r="W70" i="1"/>
  <c r="V70" i="1"/>
  <c r="U70" i="1"/>
  <c r="R70" i="1"/>
  <c r="P70" i="1"/>
  <c r="K70" i="1"/>
  <c r="Z69" i="1"/>
  <c r="W69" i="1"/>
  <c r="V69" i="1"/>
  <c r="U69" i="1"/>
  <c r="R69" i="1"/>
  <c r="P69" i="1"/>
  <c r="K69" i="1"/>
  <c r="Z68" i="1"/>
  <c r="W68" i="1"/>
  <c r="V68" i="1"/>
  <c r="U68" i="1"/>
  <c r="R68" i="1"/>
  <c r="P68" i="1"/>
  <c r="K68" i="1"/>
  <c r="Z67" i="1"/>
  <c r="W67" i="1"/>
  <c r="V67" i="1"/>
  <c r="U67" i="1"/>
  <c r="R67" i="1"/>
  <c r="P67" i="1"/>
  <c r="K67" i="1"/>
  <c r="Z66" i="1"/>
  <c r="W66" i="1"/>
  <c r="V66" i="1"/>
  <c r="U66" i="1"/>
  <c r="R66" i="1"/>
  <c r="P66" i="1"/>
  <c r="K66" i="1"/>
  <c r="Z65" i="1"/>
  <c r="W65" i="1"/>
  <c r="V65" i="1"/>
  <c r="U65" i="1"/>
  <c r="R65" i="1"/>
  <c r="P65" i="1"/>
  <c r="K65" i="1"/>
  <c r="Z64" i="1"/>
  <c r="W64" i="1"/>
  <c r="V64" i="1"/>
  <c r="U64" i="1"/>
  <c r="R64" i="1"/>
  <c r="P64" i="1"/>
  <c r="K64" i="1"/>
  <c r="Z63" i="1"/>
  <c r="W63" i="1"/>
  <c r="V63" i="1"/>
  <c r="U63" i="1"/>
  <c r="R63" i="1"/>
  <c r="P63" i="1"/>
  <c r="K63" i="1"/>
  <c r="Z62" i="1"/>
  <c r="W62" i="1"/>
  <c r="V62" i="1"/>
  <c r="U62" i="1"/>
  <c r="R62" i="1"/>
  <c r="P62" i="1"/>
  <c r="K62" i="1"/>
  <c r="Z61" i="1"/>
  <c r="W61" i="1"/>
  <c r="V61" i="1"/>
  <c r="U61" i="1"/>
  <c r="R61" i="1"/>
  <c r="P61" i="1"/>
  <c r="K61" i="1"/>
  <c r="Z60" i="1"/>
  <c r="W60" i="1"/>
  <c r="V60" i="1"/>
  <c r="U60" i="1"/>
  <c r="R60" i="1"/>
  <c r="P60" i="1"/>
  <c r="K60" i="1"/>
  <c r="Z59" i="1"/>
  <c r="W59" i="1"/>
  <c r="V59" i="1"/>
  <c r="U59" i="1"/>
  <c r="R59" i="1"/>
  <c r="P59" i="1"/>
  <c r="K59" i="1"/>
  <c r="Z58" i="1"/>
  <c r="W58" i="1"/>
  <c r="V58" i="1"/>
  <c r="U58" i="1"/>
  <c r="R58" i="1"/>
  <c r="P58" i="1"/>
  <c r="K58" i="1"/>
  <c r="Z57" i="1"/>
  <c r="W57" i="1"/>
  <c r="V57" i="1"/>
  <c r="U57" i="1"/>
  <c r="R57" i="1"/>
  <c r="P57" i="1"/>
  <c r="K57" i="1"/>
  <c r="Z56" i="1"/>
  <c r="W56" i="1"/>
  <c r="V56" i="1"/>
  <c r="U56" i="1"/>
  <c r="R56" i="1"/>
  <c r="P56" i="1"/>
  <c r="K56" i="1"/>
  <c r="Z55" i="1"/>
  <c r="W55" i="1"/>
  <c r="V55" i="1"/>
  <c r="U55" i="1"/>
  <c r="R55" i="1"/>
  <c r="P55" i="1"/>
  <c r="K55" i="1"/>
  <c r="Z54" i="1"/>
  <c r="W54" i="1"/>
  <c r="V54" i="1"/>
  <c r="U54" i="1"/>
  <c r="R54" i="1"/>
  <c r="P54" i="1"/>
  <c r="K54" i="1"/>
  <c r="Z53" i="1"/>
  <c r="W53" i="1"/>
  <c r="V53" i="1"/>
  <c r="U53" i="1"/>
  <c r="R53" i="1"/>
  <c r="P53" i="1"/>
  <c r="K53" i="1"/>
  <c r="Z52" i="1"/>
  <c r="W52" i="1"/>
  <c r="V52" i="1"/>
  <c r="U52" i="1"/>
  <c r="R52" i="1"/>
  <c r="P52" i="1"/>
  <c r="K52" i="1"/>
  <c r="Z51" i="1"/>
  <c r="W51" i="1"/>
  <c r="V51" i="1"/>
  <c r="U51" i="1"/>
  <c r="R51" i="1"/>
  <c r="P51" i="1"/>
  <c r="K51" i="1"/>
  <c r="Z50" i="1"/>
  <c r="W50" i="1"/>
  <c r="V50" i="1"/>
  <c r="U50" i="1"/>
  <c r="R50" i="1"/>
  <c r="P50" i="1"/>
  <c r="K50" i="1"/>
  <c r="Z49" i="1"/>
  <c r="W49" i="1"/>
  <c r="V49" i="1"/>
  <c r="U49" i="1"/>
  <c r="R49" i="1"/>
  <c r="P49" i="1"/>
  <c r="K49" i="1"/>
  <c r="Z48" i="1"/>
  <c r="W48" i="1"/>
  <c r="V48" i="1"/>
  <c r="U48" i="1"/>
  <c r="R48" i="1"/>
  <c r="P48" i="1"/>
  <c r="K48" i="1"/>
  <c r="Z47" i="1"/>
  <c r="W47" i="1"/>
  <c r="V47" i="1"/>
  <c r="U47" i="1"/>
  <c r="R47" i="1"/>
  <c r="P47" i="1"/>
  <c r="K47" i="1"/>
  <c r="Z46" i="1"/>
  <c r="W46" i="1"/>
  <c r="V46" i="1"/>
  <c r="U46" i="1"/>
  <c r="R46" i="1"/>
  <c r="P46" i="1"/>
  <c r="K46" i="1"/>
  <c r="Z45" i="1"/>
  <c r="W45" i="1"/>
  <c r="V45" i="1"/>
  <c r="U45" i="1"/>
  <c r="R45" i="1"/>
  <c r="P45" i="1"/>
  <c r="K45" i="1"/>
  <c r="Z44" i="1"/>
  <c r="W44" i="1"/>
  <c r="V44" i="1"/>
  <c r="U44" i="1"/>
  <c r="R44" i="1"/>
  <c r="P44" i="1"/>
  <c r="K44" i="1"/>
  <c r="Z43" i="1"/>
  <c r="W43" i="1"/>
  <c r="V43" i="1"/>
  <c r="U43" i="1"/>
  <c r="R43" i="1"/>
  <c r="P43" i="1"/>
  <c r="K43" i="1"/>
  <c r="Z42" i="1"/>
  <c r="W42" i="1"/>
  <c r="V42" i="1"/>
  <c r="U42" i="1"/>
  <c r="R42" i="1"/>
  <c r="P42" i="1"/>
  <c r="K42" i="1"/>
  <c r="Z41" i="1"/>
  <c r="W41" i="1"/>
  <c r="V41" i="1"/>
  <c r="U41" i="1"/>
  <c r="R41" i="1"/>
  <c r="P41" i="1"/>
  <c r="K41" i="1"/>
  <c r="Z40" i="1"/>
  <c r="W40" i="1"/>
  <c r="V40" i="1"/>
  <c r="U40" i="1"/>
  <c r="R40" i="1"/>
  <c r="P40" i="1"/>
  <c r="K40" i="1"/>
  <c r="Z39" i="1"/>
  <c r="W39" i="1"/>
  <c r="V39" i="1"/>
  <c r="U39" i="1"/>
  <c r="R39" i="1"/>
  <c r="P39" i="1"/>
  <c r="K39" i="1"/>
  <c r="Z38" i="1"/>
  <c r="W38" i="1"/>
  <c r="V38" i="1"/>
  <c r="U38" i="1"/>
  <c r="R38" i="1"/>
  <c r="P38" i="1"/>
  <c r="K38" i="1"/>
  <c r="Z37" i="1"/>
  <c r="W37" i="1"/>
  <c r="V37" i="1"/>
  <c r="U37" i="1"/>
  <c r="R37" i="1"/>
  <c r="P37" i="1"/>
  <c r="K37" i="1"/>
  <c r="Z36" i="1"/>
  <c r="W36" i="1"/>
  <c r="V36" i="1"/>
  <c r="U36" i="1"/>
  <c r="R36" i="1"/>
  <c r="P36" i="1"/>
  <c r="K36" i="1"/>
  <c r="Z35" i="1"/>
  <c r="W35" i="1"/>
  <c r="V35" i="1"/>
  <c r="U35" i="1"/>
  <c r="R35" i="1"/>
  <c r="P35" i="1"/>
  <c r="K35" i="1"/>
  <c r="Z34" i="1"/>
  <c r="W34" i="1"/>
  <c r="V34" i="1"/>
  <c r="U34" i="1"/>
  <c r="R34" i="1"/>
  <c r="P34" i="1"/>
  <c r="K34" i="1"/>
  <c r="Z33" i="1"/>
  <c r="W33" i="1"/>
  <c r="V33" i="1"/>
  <c r="U33" i="1"/>
  <c r="R33" i="1"/>
  <c r="P33" i="1"/>
  <c r="K33" i="1"/>
  <c r="Z32" i="1"/>
  <c r="W32" i="1"/>
  <c r="V32" i="1"/>
  <c r="U32" i="1"/>
  <c r="R32" i="1"/>
  <c r="P32" i="1"/>
  <c r="K32" i="1"/>
  <c r="Z31" i="1"/>
  <c r="W31" i="1"/>
  <c r="V31" i="1"/>
  <c r="U31" i="1"/>
  <c r="R31" i="1"/>
  <c r="P31" i="1"/>
  <c r="K31" i="1"/>
  <c r="Z30" i="1"/>
  <c r="W30" i="1"/>
  <c r="V30" i="1"/>
  <c r="U30" i="1"/>
  <c r="R30" i="1"/>
  <c r="P30" i="1"/>
  <c r="K30" i="1"/>
  <c r="Z29" i="1"/>
  <c r="W29" i="1"/>
  <c r="V29" i="1"/>
  <c r="U29" i="1"/>
  <c r="R29" i="1"/>
  <c r="P29" i="1"/>
  <c r="K29" i="1"/>
  <c r="Z28" i="1"/>
  <c r="W28" i="1"/>
  <c r="V28" i="1"/>
  <c r="U28" i="1"/>
  <c r="R28" i="1"/>
  <c r="P28" i="1"/>
  <c r="K28" i="1"/>
  <c r="Z27" i="1"/>
  <c r="W27" i="1"/>
  <c r="V27" i="1"/>
  <c r="U27" i="1"/>
  <c r="R27" i="1"/>
  <c r="P27" i="1"/>
  <c r="K27" i="1"/>
  <c r="Z26" i="1"/>
  <c r="W26" i="1"/>
  <c r="V26" i="1"/>
  <c r="U26" i="1"/>
  <c r="R26" i="1"/>
  <c r="P26" i="1"/>
  <c r="K26" i="1"/>
  <c r="Z25" i="1"/>
  <c r="W25" i="1"/>
  <c r="V25" i="1"/>
  <c r="U25" i="1"/>
  <c r="R25" i="1"/>
  <c r="P25" i="1"/>
  <c r="K25" i="1"/>
  <c r="Z24" i="1"/>
  <c r="W24" i="1"/>
  <c r="V24" i="1"/>
  <c r="U24" i="1"/>
  <c r="R24" i="1"/>
  <c r="P24" i="1"/>
  <c r="K24" i="1"/>
  <c r="Z23" i="1"/>
  <c r="W23" i="1"/>
  <c r="V23" i="1"/>
  <c r="U23" i="1"/>
  <c r="R23" i="1"/>
  <c r="P23" i="1"/>
  <c r="K23" i="1"/>
  <c r="Z22" i="1"/>
  <c r="W22" i="1"/>
  <c r="V22" i="1"/>
  <c r="U22" i="1"/>
  <c r="R22" i="1"/>
  <c r="P22" i="1"/>
  <c r="K22" i="1"/>
  <c r="Z21" i="1"/>
  <c r="W21" i="1"/>
  <c r="V21" i="1"/>
  <c r="U21" i="1"/>
  <c r="R21" i="1"/>
  <c r="P21" i="1"/>
  <c r="K21" i="1"/>
  <c r="Z20" i="1"/>
  <c r="W20" i="1"/>
  <c r="V20" i="1"/>
  <c r="U20" i="1"/>
  <c r="R20" i="1"/>
  <c r="P20" i="1"/>
  <c r="K20" i="1"/>
  <c r="Z19" i="1"/>
  <c r="W19" i="1"/>
  <c r="V19" i="1"/>
  <c r="U19" i="1"/>
  <c r="R19" i="1"/>
  <c r="P19" i="1"/>
  <c r="K19" i="1"/>
  <c r="Z18" i="1"/>
  <c r="W18" i="1"/>
  <c r="V18" i="1"/>
  <c r="U18" i="1"/>
  <c r="R18" i="1"/>
  <c r="P18" i="1"/>
  <c r="K18" i="1"/>
  <c r="Z17" i="1"/>
  <c r="W17" i="1"/>
  <c r="V17" i="1"/>
  <c r="U17" i="1"/>
  <c r="R17" i="1"/>
  <c r="P17" i="1"/>
  <c r="K17" i="1"/>
  <c r="Z16" i="1"/>
  <c r="W16" i="1"/>
  <c r="V16" i="1"/>
  <c r="U16" i="1"/>
  <c r="R16" i="1"/>
  <c r="P16" i="1"/>
  <c r="K16" i="1"/>
  <c r="Z15" i="1"/>
  <c r="W15" i="1"/>
  <c r="V15" i="1"/>
  <c r="U15" i="1"/>
  <c r="R15" i="1"/>
  <c r="P15" i="1"/>
  <c r="K15" i="1"/>
  <c r="Z14" i="1"/>
  <c r="W14" i="1"/>
  <c r="V14" i="1"/>
  <c r="U14" i="1"/>
  <c r="R14" i="1"/>
  <c r="P14" i="1"/>
  <c r="K14" i="1"/>
  <c r="Z13" i="1"/>
  <c r="W13" i="1"/>
  <c r="V13" i="1"/>
  <c r="U13" i="1"/>
  <c r="R13" i="1"/>
  <c r="P13" i="1"/>
  <c r="K13" i="1"/>
  <c r="Z12" i="1"/>
  <c r="W12" i="1"/>
  <c r="V12" i="1"/>
  <c r="U12" i="1"/>
  <c r="R12" i="1"/>
  <c r="P12" i="1"/>
  <c r="K12" i="1"/>
  <c r="Z11" i="1"/>
  <c r="W11" i="1"/>
  <c r="V11" i="1"/>
  <c r="U11" i="1"/>
  <c r="R11" i="1"/>
  <c r="P11" i="1"/>
  <c r="K11" i="1"/>
  <c r="Z10" i="1"/>
  <c r="W10" i="1"/>
  <c r="V10" i="1"/>
  <c r="U10" i="1"/>
  <c r="R10" i="1"/>
  <c r="P10" i="1"/>
  <c r="K10" i="1"/>
  <c r="Z9" i="1"/>
  <c r="W9" i="1"/>
  <c r="V9" i="1"/>
  <c r="U9" i="1"/>
  <c r="R9" i="1"/>
  <c r="P9" i="1"/>
  <c r="K9" i="1"/>
  <c r="Z8" i="1"/>
  <c r="W8" i="1"/>
  <c r="V8" i="1"/>
  <c r="U8" i="1"/>
  <c r="R8" i="1"/>
  <c r="P8" i="1"/>
  <c r="K8" i="1"/>
  <c r="Z7" i="1"/>
  <c r="W7" i="1"/>
  <c r="V7" i="1"/>
  <c r="U7" i="1"/>
  <c r="R7" i="1"/>
  <c r="P7" i="1"/>
  <c r="K7" i="1"/>
  <c r="Z6" i="1"/>
  <c r="W6" i="1"/>
  <c r="V6" i="1"/>
  <c r="U6" i="1"/>
  <c r="R6" i="1"/>
  <c r="P6" i="1"/>
  <c r="K6" i="1"/>
  <c r="W5" i="1"/>
  <c r="V5" i="1"/>
  <c r="U5" i="1"/>
  <c r="R5" i="1"/>
  <c r="P5" i="1"/>
  <c r="K5" i="1"/>
  <c r="Z4" i="1"/>
  <c r="W4" i="1"/>
  <c r="V4" i="1"/>
  <c r="U4" i="1"/>
  <c r="R4" i="1"/>
  <c r="P4" i="1"/>
  <c r="K4" i="1"/>
  <c r="Z3" i="1"/>
  <c r="W3" i="1"/>
  <c r="V3" i="1"/>
  <c r="U3" i="1"/>
  <c r="R3" i="1"/>
  <c r="P3" i="1"/>
  <c r="K3" i="1"/>
  <c r="Z2" i="1"/>
  <c r="W2" i="1"/>
  <c r="V2" i="1"/>
  <c r="U2" i="1"/>
  <c r="R2" i="1"/>
  <c r="P2" i="1"/>
  <c r="K2" i="1"/>
</calcChain>
</file>

<file path=xl/sharedStrings.xml><?xml version="1.0" encoding="utf-8"?>
<sst xmlns="http://schemas.openxmlformats.org/spreadsheetml/2006/main" count="28672" uniqueCount="3667">
  <si>
    <t>RIFERIMENTO PLC</t>
  </si>
  <si>
    <t>NOME CABINA</t>
  </si>
  <si>
    <t>QUADRO</t>
  </si>
  <si>
    <t>DISPOSITIVO</t>
  </si>
  <si>
    <t>NOME SPECIFICO /NUMERAZIONE</t>
  </si>
  <si>
    <t>TIPO REGISTRO</t>
  </si>
  <si>
    <t>TIPO TAG</t>
  </si>
  <si>
    <t>TIPO VALORE</t>
  </si>
  <si>
    <t>INDIRIZZO MODBUS</t>
  </si>
  <si>
    <t>DESCRIZIONE</t>
  </si>
  <si>
    <t>10.220.80.16</t>
  </si>
  <si>
    <t>CABINA PRINCIPALE</t>
  </si>
  <si>
    <t>PLC</t>
  </si>
  <si>
    <t>WATCHDOG</t>
  </si>
  <si>
    <t>HOLDING REGISTER</t>
  </si>
  <si>
    <t>Misura</t>
  </si>
  <si>
    <t>INT</t>
  </si>
  <si>
    <t>WATCHDOG PLC (1s MAX 10000)</t>
  </si>
  <si>
    <t>QRIF</t>
  </si>
  <si>
    <t>RIFASAMENTO AUTOMATICO</t>
  </si>
  <si>
    <t>QUADRO RIFASAMENTO</t>
  </si>
  <si>
    <t>Stato</t>
  </si>
  <si>
    <t>BOOL</t>
  </si>
  <si>
    <t>1000.0</t>
  </si>
  <si>
    <t>Rifasamento AUTOMATICOmatico -Sezionatore Chiuso</t>
  </si>
  <si>
    <t>CENTRALINA</t>
  </si>
  <si>
    <t>RILIEVO INCENDI CABINA</t>
  </si>
  <si>
    <t>CENTRALINA RILIEVO INCENDI CABINA</t>
  </si>
  <si>
    <t>Allarme</t>
  </si>
  <si>
    <t>1000.1</t>
  </si>
  <si>
    <t>Centralina Rilievo Incendi Cabina -In Guasto</t>
  </si>
  <si>
    <t>1000.2</t>
  </si>
  <si>
    <t>Centralina Rilievo Incendi Cabina -Allarme Incendio</t>
  </si>
  <si>
    <t>GRUPPO ELETTROGENO</t>
  </si>
  <si>
    <t>VANO G.E.</t>
  </si>
  <si>
    <t>1000.3</t>
  </si>
  <si>
    <t>Gruppo Elettrogeno -Allarme Generale</t>
  </si>
  <si>
    <t>1000.4</t>
  </si>
  <si>
    <t>Gruppo Elettrogeno -In Moto</t>
  </si>
  <si>
    <t>SERBATOIO</t>
  </si>
  <si>
    <t>SERBATOIO GASOLIO INTERRATO</t>
  </si>
  <si>
    <t>1000.5</t>
  </si>
  <si>
    <t>Serbatoio Gasolio Interrato -Perdite Serbatoio</t>
  </si>
  <si>
    <t>GRUPPO PRESSURIZZAZIONE</t>
  </si>
  <si>
    <t>1000.6</t>
  </si>
  <si>
    <t>Gruppo Pressurizzazione -Allarme A</t>
  </si>
  <si>
    <t>1000.7</t>
  </si>
  <si>
    <t>Gruppo Pressurizzazione -Allarme B</t>
  </si>
  <si>
    <t>QMT</t>
  </si>
  <si>
    <t>INTERRUTTORE</t>
  </si>
  <si>
    <t>1000.8</t>
  </si>
  <si>
    <t>QMT -Interruttore Generale Chiuso</t>
  </si>
  <si>
    <t>1000.9</t>
  </si>
  <si>
    <t>QMT -Interruttore Generale Aperto</t>
  </si>
  <si>
    <t>SEZIONATORE LINEA</t>
  </si>
  <si>
    <t>1000.10</t>
  </si>
  <si>
    <t>QMT -Sezionatore Generale Di Linea Chiuso</t>
  </si>
  <si>
    <t>SEZIONATORE TERRA</t>
  </si>
  <si>
    <t>1000.11</t>
  </si>
  <si>
    <t>QMT -Sezionatore Generale Di Terra Aperto</t>
  </si>
  <si>
    <t>1000.12</t>
  </si>
  <si>
    <t>QMT -Interruttore TR1 Chiuso</t>
  </si>
  <si>
    <t>1000.13</t>
  </si>
  <si>
    <t>QMT -Interruttore TR1 Aperto</t>
  </si>
  <si>
    <t>1000.14</t>
  </si>
  <si>
    <t>QMT -Sezionatore Di Linea TR1 Chiuso</t>
  </si>
  <si>
    <t>1000.15</t>
  </si>
  <si>
    <t>QMT -Sezionatore Di Terra TR1 Aperto</t>
  </si>
  <si>
    <t>1001.0</t>
  </si>
  <si>
    <t>QMT -Interruttore TR2 Chiuso</t>
  </si>
  <si>
    <t>1001.1</t>
  </si>
  <si>
    <t>QMT -Interruttore TR2 Aperto</t>
  </si>
  <si>
    <t>1001.2</t>
  </si>
  <si>
    <t>QMT -Sezionatore Di Linea TR2 Chiuso</t>
  </si>
  <si>
    <t>1001.3</t>
  </si>
  <si>
    <t>QMT -Sezionatore Di Terra TR2 Aperto</t>
  </si>
  <si>
    <t>TRAFO 1</t>
  </si>
  <si>
    <t>CENTRALINA CONTROLLO TEMPERATURA</t>
  </si>
  <si>
    <t>TR1</t>
  </si>
  <si>
    <t>1001.4</t>
  </si>
  <si>
    <t>QMT -Guasto Centralina Temperatura TR1</t>
  </si>
  <si>
    <t>1001.5</t>
  </si>
  <si>
    <t>QMT -Allarme Temperatura TR1</t>
  </si>
  <si>
    <t>TRAFO 2</t>
  </si>
  <si>
    <t>TR2</t>
  </si>
  <si>
    <t>1001.6</t>
  </si>
  <si>
    <t>QMT -Guasto Centralina Temperatura TR2</t>
  </si>
  <si>
    <t>1001.7</t>
  </si>
  <si>
    <t>QMT -Allarme Temperatura TR2</t>
  </si>
  <si>
    <t>QGBT1</t>
  </si>
  <si>
    <t>1001.8</t>
  </si>
  <si>
    <t>QGBT1 -INTERRUTTORE RIFASAMENTO FISSO TRAFO 1 400Vac CHIUSO</t>
  </si>
  <si>
    <t>1001.9</t>
  </si>
  <si>
    <t>QGBT1 -INTERRUTTORE RIFASAMENTO FISSO TRAFO 1 400Vac SCATTATO</t>
  </si>
  <si>
    <t>SCARICATORE SOVRATENSIONI</t>
  </si>
  <si>
    <t>SPD1</t>
  </si>
  <si>
    <t>1001.10</t>
  </si>
  <si>
    <t>QGBT1 -LIMITATORE DI SOVRATENSIONE INTERVENUTO TRAFO 1 400Vac</t>
  </si>
  <si>
    <t>1001.11</t>
  </si>
  <si>
    <t>QGBT1 -INTERRUTTORE GENERALE TRAFO 1 400Vac CHIUSO</t>
  </si>
  <si>
    <t>1001.12</t>
  </si>
  <si>
    <t>QGBT1 -INTERRUTTORE GENERALE TRAFO 1 400Vac SCATTATO</t>
  </si>
  <si>
    <t>1001.13</t>
  </si>
  <si>
    <t>QGBT1 -INTERRUTTORE RIFASAMENTO FISSO TRAFO 2 400Vac CHIUSO</t>
  </si>
  <si>
    <t>1001.14</t>
  </si>
  <si>
    <t>QGBT1 -INTERRUTTORE RIFASAMENTO FISSO TRAFO 2 400Vac SCATTATO</t>
  </si>
  <si>
    <t>SPD2</t>
  </si>
  <si>
    <t>1001.15</t>
  </si>
  <si>
    <t>QGBT1 -LIMITATORE DI SOVRATENSIONE INTERVENUTO TRAFO 2 400Vac</t>
  </si>
  <si>
    <t>1002.0</t>
  </si>
  <si>
    <t>QGBT1 -INTERRUTTORE GENERALE TRAFO 2 400Vac CHIUSO</t>
  </si>
  <si>
    <t>1002.1</t>
  </si>
  <si>
    <t>QGBT1 -INTERRUTTORE GENERALE TRAFO 2 400Vac SCATTATO</t>
  </si>
  <si>
    <t>1002.2</t>
  </si>
  <si>
    <t>QGBT1 -INTERRUTTORE ELETTROPOMPA ANTINCENDIO CHIUSO</t>
  </si>
  <si>
    <t>1002.3</t>
  </si>
  <si>
    <t>QGBT1 -INTERRUTTORE ELETTROPOMPA ANTINCENDIO SCATTATO</t>
  </si>
  <si>
    <t>1002.4</t>
  </si>
  <si>
    <t>QGBT1 -INTERRUTTORE QILL1 SEZIONE QIRG1-S CHIUSO</t>
  </si>
  <si>
    <t>1002.5</t>
  </si>
  <si>
    <t>QGBT1 -INTERRUTTORE QILL1 SEZIONE QIRG1-S SCATTATO</t>
  </si>
  <si>
    <t>1002.6</t>
  </si>
  <si>
    <t>QGBT1 -INTERRUTTORE QILL1 SEZIONE QIRG1-N CHIUSO</t>
  </si>
  <si>
    <t>1002.7</t>
  </si>
  <si>
    <t>QGBT1 -INTERRUTTORE QILL1 SEZIONE QIRG1-N SCATTATO</t>
  </si>
  <si>
    <t>1002.8</t>
  </si>
  <si>
    <t>QGBT1 -INTERRUTTORE QILL2 SEZIONE QIRG2-S CHIUSO</t>
  </si>
  <si>
    <t>1002.9</t>
  </si>
  <si>
    <t>QGBT1 -INTERRUTTORE QILL2 SEZIONE QIRG2-S SCATTATO</t>
  </si>
  <si>
    <t>1002.10</t>
  </si>
  <si>
    <t>QGBT1 -INTERRUTTORE QILL2 SEZIONE QIRG2-N CHIUSO</t>
  </si>
  <si>
    <t>1002.11</t>
  </si>
  <si>
    <t>QGBT1 -INTERRUTTORE QILL2 SEZIONE QIRG2-N SCATTATO</t>
  </si>
  <si>
    <t>1002.12</t>
  </si>
  <si>
    <t>QGBT1 -SEZIONATORE ALIMENTAZIONE DA G.E. CHIUSO</t>
  </si>
  <si>
    <t>1002.13</t>
  </si>
  <si>
    <t>QGBT1 -SEZIONATORE ALIMENTAZIONE DA RETE CHIUSO</t>
  </si>
  <si>
    <t>CENTRALINA COMMUTAZIONE RETE/GE</t>
  </si>
  <si>
    <t>10BA1</t>
  </si>
  <si>
    <t>1002.14</t>
  </si>
  <si>
    <t>QGBT1 -CENTRALINA SCAMBIO RETE/G.E. IN AUTOMATICOMATICO</t>
  </si>
  <si>
    <t>1002.15</t>
  </si>
  <si>
    <t>QGBT1 -INTERRUTTORE RIFASAMENTO AUTOMATICOMATICO CHIUSO</t>
  </si>
  <si>
    <t>1003.0</t>
  </si>
  <si>
    <t>QGBT1 -INTERRUTTORE RIFASAMENTO AUTOMATICOMATICO SCATTATO</t>
  </si>
  <si>
    <t>1003.1</t>
  </si>
  <si>
    <t>QGBT1 -INTERRUTTORE QGBT2 CASOLA CHIUSO</t>
  </si>
  <si>
    <t>1003.2</t>
  </si>
  <si>
    <t>QGBT1 -INTERRUTTORE QGBT2 CASOLA SCATTATO</t>
  </si>
  <si>
    <t>1003.3</t>
  </si>
  <si>
    <t>QGBT1 -INTERRUTTORE GENERALE TRAFO 1 690Vac CHIUSO</t>
  </si>
  <si>
    <t>1003.4</t>
  </si>
  <si>
    <t>QGBT1 -INTERRUTTORE GENERALE TRAFO 1 690Vac SCATTATO</t>
  </si>
  <si>
    <t>1003.5</t>
  </si>
  <si>
    <t>QGBT1 -INTERRUTTORE GENERALE TRAFO 2 690Vac CHIUSO</t>
  </si>
  <si>
    <t>1003.6</t>
  </si>
  <si>
    <t>QGBT1 -INTERRUTTORE GENERALE TRAFO 2 690Vac SCATTATO</t>
  </si>
  <si>
    <t>1003.7</t>
  </si>
  <si>
    <t>QGBT1 -INTERRUTTORE QSC SEZIONE PRIVILEGIATA CHIUSO</t>
  </si>
  <si>
    <t>1003.8</t>
  </si>
  <si>
    <t>QGBT1 -INTERRUTTORE QSC SEZIONE PRIVILEGIATA SCATTATO</t>
  </si>
  <si>
    <t>1003.9</t>
  </si>
  <si>
    <t>QGBT1 -INTERRUTTORE Q_VES SEZIONE PRIVILEGIATA CHIUSO</t>
  </si>
  <si>
    <t>1003.10</t>
  </si>
  <si>
    <t>QGBT1 -INTERRUTTORE Q_VES SEZIONE PRIVILEGIATA SCATTATO</t>
  </si>
  <si>
    <t>1003.11</t>
  </si>
  <si>
    <t>QGBT1 -INTERRUTTORE Q_PIAZZOLA SEZIONE PRIVILEGIATA CHIUSO</t>
  </si>
  <si>
    <t>1003.12</t>
  </si>
  <si>
    <t>QGBT1 -INTERRUTTORE Q_PIAZZOLA SEZIONE PRIVILEGIATA SCATTATO</t>
  </si>
  <si>
    <t>1003.13</t>
  </si>
  <si>
    <t>QGBT1 -INTERRUTTORE Q_ACCESSI1 SEZIONE PRIVILEGIATA CHIUSO</t>
  </si>
  <si>
    <t>1003.14</t>
  </si>
  <si>
    <t>QGBT1 -INTERRUTTORE Q_ACCESSI1 SEZIONE PRIVILEGIATA SCATTATO</t>
  </si>
  <si>
    <t>1003.15</t>
  </si>
  <si>
    <t>QGBT1 -INTERRUTTORE Q_ACCESSI2 SEZIONE PRIVILEGIATA CHIUSO</t>
  </si>
  <si>
    <t>1004.0</t>
  </si>
  <si>
    <t>QGBT1 -INTERRUTTORE Q_ACCESSI2 SEZIONE PRIVILEGIATA SCATTATO</t>
  </si>
  <si>
    <t>1004.1</t>
  </si>
  <si>
    <t>QGBT1 -INTERRUTTORE Q_ACCESSI3 SEZIONE PRIVILEGIATA CHIUSO</t>
  </si>
  <si>
    <t>1004.2</t>
  </si>
  <si>
    <t>QGBT1 -INTERRUTTORE Q_ACCESSI3 SEZIONE PRIVILEGIATA SCATTATO</t>
  </si>
  <si>
    <t>1004.3</t>
  </si>
  <si>
    <t>QGBT1 -INTERRUTTORE UPS CHIUSO</t>
  </si>
  <si>
    <t>1004.4</t>
  </si>
  <si>
    <t>QGBT1 -INTERRUTTORE UPS SCATTATO</t>
  </si>
  <si>
    <t>1004.5</t>
  </si>
  <si>
    <t>QGBT1 -INTERRUTTORE AUX QVENT1 CHIUSO</t>
  </si>
  <si>
    <t>1004.6</t>
  </si>
  <si>
    <t>QGBT1 -INTERRUTTORE AUX QVENT1 SCATTATO</t>
  </si>
  <si>
    <t>1004.7</t>
  </si>
  <si>
    <t>QGBT1 -INTERRUTTORE RISERVA CHIUSO</t>
  </si>
  <si>
    <t>1004.8</t>
  </si>
  <si>
    <t>QGBT1 -INTERRUTTORE RISERVA SCATTATO</t>
  </si>
  <si>
    <t>1004.9</t>
  </si>
  <si>
    <t>1004.10</t>
  </si>
  <si>
    <t>TR3</t>
  </si>
  <si>
    <t>1004.11</t>
  </si>
  <si>
    <t>QGBT1 -Guasto Centralina Temperatura TR3</t>
  </si>
  <si>
    <t>1004.12</t>
  </si>
  <si>
    <t>QGBT1 -Allarme Temperatura TR3</t>
  </si>
  <si>
    <t>TR4</t>
  </si>
  <si>
    <t>1004.13</t>
  </si>
  <si>
    <t>QGBT1 -Guasto Centralina Temperatura TR4</t>
  </si>
  <si>
    <t>1004.14</t>
  </si>
  <si>
    <t>QGBT1 -Allarme Temperatura TR4</t>
  </si>
  <si>
    <t>REMOTE I/O</t>
  </si>
  <si>
    <t>RIO</t>
  </si>
  <si>
    <t>1004.15</t>
  </si>
  <si>
    <t>QGBT1 -ERRORE DI COMUNICAZIONE CON RIO</t>
  </si>
  <si>
    <t>QGBT2</t>
  </si>
  <si>
    <t>1005.0</t>
  </si>
  <si>
    <t>QGBT2 -SEZIONATORE GENERALE QUADRO CHIUSO</t>
  </si>
  <si>
    <t>1005.1</t>
  </si>
  <si>
    <t>QGBT2 -LIMITATORE DI SOVRATENSIONE INTERVENUTO</t>
  </si>
  <si>
    <t>1005.2</t>
  </si>
  <si>
    <t>QGBT2 -INTERRUTTORE GENERALE TRAFO 1 690Vac CHIUSO</t>
  </si>
  <si>
    <t>1005.3</t>
  </si>
  <si>
    <t>QGBT2 -INTERRUTTORE GENERALE TRAFO 1 690Vac SCATTATO</t>
  </si>
  <si>
    <t>1005.4</t>
  </si>
  <si>
    <t>QGBT2 -INTERRUTTORE GENERALE TRAFO 2 690Vac CHIUSO</t>
  </si>
  <si>
    <t>1005.5</t>
  </si>
  <si>
    <t>QGBT2 -INTERRUTTORE GENERALE TRAFO 2 690Vac SCATTATO</t>
  </si>
  <si>
    <t>1005.6</t>
  </si>
  <si>
    <t>QGBT2 -INTERRUTTORE AUX QVENT2 CHIUSO</t>
  </si>
  <si>
    <t>1005.7</t>
  </si>
  <si>
    <t>QGBT2 -INTERRUTTORE AUX QVENT2 SCATTATO</t>
  </si>
  <si>
    <t>1005.8</t>
  </si>
  <si>
    <t>QGBT2 -INTERRUTTORE Q_VES SEZIONE PRIVILEGIATA CHIUSO</t>
  </si>
  <si>
    <t>1005.9</t>
  </si>
  <si>
    <t>QGBT2 -INTERRUTTORE Q_VES SEZIONE PRIVILEGIATA SCATTATO</t>
  </si>
  <si>
    <t>1005.10</t>
  </si>
  <si>
    <t>QGBT2 -INTERRUTTORE Q_PIAZZOLA SEZIONE PRIVILEGIATA CHIUSO</t>
  </si>
  <si>
    <t>1005.11</t>
  </si>
  <si>
    <t>QGBT2 -INTERRUTTORE Q_PIAZZOLA SEZIONE PRIVILEGIATA SCATTATO</t>
  </si>
  <si>
    <t>1005.12</t>
  </si>
  <si>
    <t>QGBT2 -INTERRUTTORE Q_ACCESSI1 SEZIONE PRIVILEGIATA CHIUSO</t>
  </si>
  <si>
    <t>1005.13</t>
  </si>
  <si>
    <t>QGBT2 -INTERRUTTORE Q_ACCESSI1 SEZIONE PRIVILEGIATA SCATTATO</t>
  </si>
  <si>
    <t>1005.14</t>
  </si>
  <si>
    <t>QGBT2 -INTERRUTTORE Q_ACCESSI2 SEZIONE PRIVILEGIATA CHIUSO</t>
  </si>
  <si>
    <t>1005.15</t>
  </si>
  <si>
    <t>QGBT2 -INTERRUTTORE Q_ACCESSI2 SEZIONE PRIVILEGIATA SCATTATO</t>
  </si>
  <si>
    <t>1006.0</t>
  </si>
  <si>
    <t>QGBT2 -INTERRUTTORE UPS CHIUSO</t>
  </si>
  <si>
    <t>1006.1</t>
  </si>
  <si>
    <t>QGBT2 -INTERRUTTORE UPS SCATTATO</t>
  </si>
  <si>
    <t>1006.2</t>
  </si>
  <si>
    <t>QGBT2 -INTERRUTTORE RISERVA CHIUSO</t>
  </si>
  <si>
    <t>1006.3</t>
  </si>
  <si>
    <t>QGBT2 -INTERRUTTORE RISERVA SCATTATO</t>
  </si>
  <si>
    <t>1006.4</t>
  </si>
  <si>
    <t>1006.5</t>
  </si>
  <si>
    <t>TR5_ALL</t>
  </si>
  <si>
    <t>1006.6</t>
  </si>
  <si>
    <t>QGBT2 -Allarme Temperatura TR5</t>
  </si>
  <si>
    <t>TR5_FAULT</t>
  </si>
  <si>
    <t>1006.7</t>
  </si>
  <si>
    <t>QGBT2 -Guasto Centralina Temperatura TR5</t>
  </si>
  <si>
    <t>TR6_ALL</t>
  </si>
  <si>
    <t>1006.8</t>
  </si>
  <si>
    <t>QGBT2 -Allarme Temperatura TR6</t>
  </si>
  <si>
    <t>TR6_FAULT</t>
  </si>
  <si>
    <t>1006.9</t>
  </si>
  <si>
    <t>QGBT2 -Guasto Centralina Temperatura TR6</t>
  </si>
  <si>
    <t>1006.10</t>
  </si>
  <si>
    <t>QGBT2 -ERRORE DI COMUNICAZIONE CON RIO</t>
  </si>
  <si>
    <t>QSC</t>
  </si>
  <si>
    <t>1006.11</t>
  </si>
  <si>
    <t>QSC -SEZIONATORE GENERALE QUADRO CHIUSO</t>
  </si>
  <si>
    <t>1006.12</t>
  </si>
  <si>
    <t>QSC -LIMITATORE DI SOVRATENSIONE INTERVENUTO SEZ. NORMALE</t>
  </si>
  <si>
    <t>1006.13</t>
  </si>
  <si>
    <t>QSC -INTERRUTTORE QSBT CHIUSO</t>
  </si>
  <si>
    <t>1006.14</t>
  </si>
  <si>
    <t>QSC -INTERRUTTORE QSBT SCATTATO</t>
  </si>
  <si>
    <t>1006.15</t>
  </si>
  <si>
    <t>QSC -INTERRUTTORE QSMT CHIUSO</t>
  </si>
  <si>
    <t>1007.0</t>
  </si>
  <si>
    <t>QSC -INTERRUTTORE QSMT SCATTATO</t>
  </si>
  <si>
    <t>1007.1</t>
  </si>
  <si>
    <t>QSC -INTERRUTTORE QSGE CHIUSO</t>
  </si>
  <si>
    <t>1007.2</t>
  </si>
  <si>
    <t>QSC -INTERRUTTORE QSGE SCATTATO</t>
  </si>
  <si>
    <t>1007.3</t>
  </si>
  <si>
    <t>QSC -INTERRUTTORE QESP CHIUSO</t>
  </si>
  <si>
    <t>1007.4</t>
  </si>
  <si>
    <t>QSC -INTERRUTTORE QESP SCATTATO</t>
  </si>
  <si>
    <t>1007.5</t>
  </si>
  <si>
    <t>QSC -INTERRUTTORE QSCO CHIUSO</t>
  </si>
  <si>
    <t>1007.6</t>
  </si>
  <si>
    <t>QSC -INTERRUTTORE QSCO SCATTATO</t>
  </si>
  <si>
    <t>1007.7</t>
  </si>
  <si>
    <t>QSC -INTERRUTTORE ILLUMINAZIONE PIAZZALE CHIUSO</t>
  </si>
  <si>
    <t>1007.8</t>
  </si>
  <si>
    <t>QSC -INTERRUTTORE ILLUMINAZIONE PIAZZALE SCATTATO</t>
  </si>
  <si>
    <t>2K1</t>
  </si>
  <si>
    <t>1007.9</t>
  </si>
  <si>
    <t>QSC -Contattore ILLUMINAZIONE PIAZZALE Attivo</t>
  </si>
  <si>
    <t>1007.10</t>
  </si>
  <si>
    <t>QSC -LIMITATORE DI SOVRATENSIONE INTERVENUTO SEZ. UPS</t>
  </si>
  <si>
    <t>1007.11</t>
  </si>
  <si>
    <t>QSC -INTERRUTTORE CENTR.RIL. INCENDI GALL. S.GIULIANO CHIUSO</t>
  </si>
  <si>
    <t>1007.12</t>
  </si>
  <si>
    <t>QSC -INTERRUTTORE CENTR.RIL. INCENDI GALL. S.GIULIANO SCATTATO</t>
  </si>
  <si>
    <t>1007.13</t>
  </si>
  <si>
    <t>QSC -INTERRUTTORE CENTR.RIL. INCENDI GALL. CASOLA CHIUSO</t>
  </si>
  <si>
    <t>1007.14</t>
  </si>
  <si>
    <t>QSC -INTERRUTTORE CENTR.RIL. INCENDI GALL. CASOLA SCATTATO</t>
  </si>
  <si>
    <t>1007.15</t>
  </si>
  <si>
    <t>QSC -INTERRUTTORE Q.RACK TVCC CHIUSO</t>
  </si>
  <si>
    <t>1008.0</t>
  </si>
  <si>
    <t>QSC -INTERRUTTORE Q.RACK TVCC SCATTATO</t>
  </si>
  <si>
    <t>1008.1</t>
  </si>
  <si>
    <t>QSC -INTERRUTTORE Q.RACK RETE DATI CHIUSO</t>
  </si>
  <si>
    <t>1008.2</t>
  </si>
  <si>
    <t>QSC -INTERRUTTORE Q.RACK RETE DATI SCATTATO</t>
  </si>
  <si>
    <t>1008.3</t>
  </si>
  <si>
    <t>QSC -INTERRUTTORE Q.RACK RADIO CHIUSO</t>
  </si>
  <si>
    <t>1008.4</t>
  </si>
  <si>
    <t>QSC -INTERRUTTORE Q.RACK RADIO SCATTATO</t>
  </si>
  <si>
    <t>1008.5</t>
  </si>
  <si>
    <t>QSC -INTERRUTTORE RISERVA CHIUSO</t>
  </si>
  <si>
    <t>1008.6</t>
  </si>
  <si>
    <t>QSC -INTERRUTTORE RISERVA SCATTATO</t>
  </si>
  <si>
    <t>1008.7</t>
  </si>
  <si>
    <t>1008.8</t>
  </si>
  <si>
    <t>1008.9</t>
  </si>
  <si>
    <t>QSC -INTERRUTTORE Q_MOTOPOMPA GR.PRESS.NE CHIUSO</t>
  </si>
  <si>
    <t>1008.10</t>
  </si>
  <si>
    <t>QSC -INTERRUTTORE Q_MOTOPOMPA GR.PRESS.NE SCATTATO</t>
  </si>
  <si>
    <t>1008.11</t>
  </si>
  <si>
    <t>QSC -INTERRUTTORE Q_POMPA PILOTA GR.PRESS.NE CHIUSO</t>
  </si>
  <si>
    <t>1008.12</t>
  </si>
  <si>
    <t>QSC -INTERRUTTORE Q_POMPA PILOTA GR.PRESS.NE SCATTATO</t>
  </si>
  <si>
    <t>1008.13</t>
  </si>
  <si>
    <t>QSC -INTERRUTTORE Q_SERVIZI GR.PRESS.NE CHIUSO</t>
  </si>
  <si>
    <t>1008.14</t>
  </si>
  <si>
    <t>QSC -INTERRUTTORE Q_SERVIZI GR.PRESS.NE SCATTATO</t>
  </si>
  <si>
    <t>1008.15</t>
  </si>
  <si>
    <t>QSC -INTERRUTTORE AUX QGBT1 CHIUSO</t>
  </si>
  <si>
    <t>1009.0</t>
  </si>
  <si>
    <t>QSC -INTERRUTTORE AUX QGBT1 SCATTATO</t>
  </si>
  <si>
    <t>1009.1</t>
  </si>
  <si>
    <t>QSC -INTERRUTTORE AUX QGBT2 CHIUSO</t>
  </si>
  <si>
    <t>1009.2</t>
  </si>
  <si>
    <t>QSC -INTERRUTTORE AUX QGBT2 SCATTATO</t>
  </si>
  <si>
    <t>1009.3</t>
  </si>
  <si>
    <t>QSC -INTERRUTTORE AUX QVENT1 CHIUSO</t>
  </si>
  <si>
    <t>1009.4</t>
  </si>
  <si>
    <t>QSC -INTERRUTTORE AUX QVENT1 SCATTATO</t>
  </si>
  <si>
    <t>1009.5</t>
  </si>
  <si>
    <t>QSC -INTERRUTTORE AUX QVENT2 CHIUSO</t>
  </si>
  <si>
    <t>1009.6</t>
  </si>
  <si>
    <t>QSC -INTERRUTTORE AUX QVENT2 SCATTATO</t>
  </si>
  <si>
    <t>1009.7</t>
  </si>
  <si>
    <t>QSC -INTERRUTTORE AUX G.E. CHIUSO</t>
  </si>
  <si>
    <t>1009.8</t>
  </si>
  <si>
    <t>QSC -INTERRUTTORE AUX G.E. SCATTATO</t>
  </si>
  <si>
    <t>1009.9</t>
  </si>
  <si>
    <t>QSC -ERRORE DI COMUNICAZIONE CON RIO</t>
  </si>
  <si>
    <t>QIS1</t>
  </si>
  <si>
    <t>SEZIONATORE</t>
  </si>
  <si>
    <t>---</t>
  </si>
  <si>
    <t>GENERALE QUADRO SENZA DIAGNOSTICA</t>
  </si>
  <si>
    <t>1009.10</t>
  </si>
  <si>
    <t>QIS1 -LIMITATORE DI SOVRATENSIONE INTERVENUTO</t>
  </si>
  <si>
    <t>1009.11</t>
  </si>
  <si>
    <t>QIS1 -INTERRUTTORE QILL1 SEZIONE UPS CHIUSO</t>
  </si>
  <si>
    <t>1009.12</t>
  </si>
  <si>
    <t>QIS1 -INTERRUTTORE QILL1 SEZIONE UPS SCATTATO</t>
  </si>
  <si>
    <t>1009.13</t>
  </si>
  <si>
    <t>QIS1 -INTERRUTTORE QSC SEZIONE UPS CHIUSO</t>
  </si>
  <si>
    <t>1009.14</t>
  </si>
  <si>
    <t>QIS1 -INTERRUTTORE QSC SEZIONE UPS SCATTATO</t>
  </si>
  <si>
    <t>1009.15</t>
  </si>
  <si>
    <t>QIS1 -INTERRUTTORE QPIAZZOLA SEZIONE UPS CHIUSO</t>
  </si>
  <si>
    <t>1010.0</t>
  </si>
  <si>
    <t>QIS1 -INTERRUTTORE QPIAZZOLA SEZIONE UPS SCATTATO</t>
  </si>
  <si>
    <t>1010.1</t>
  </si>
  <si>
    <t>QIS1 -INTERRUTTORE Q_ACCESSI1 SEZIONE UPS CHIUSO</t>
  </si>
  <si>
    <t>1010.2</t>
  </si>
  <si>
    <t>QIS1 -INTERRUTTORE Q_ACCESSI1 SEZIONE UPS SCATTATO</t>
  </si>
  <si>
    <t>1010.3</t>
  </si>
  <si>
    <t>QIS1 -INTERRUTTORE Q_ACCESSI2 SEZIONE UPS CHIUSO</t>
  </si>
  <si>
    <t>1010.4</t>
  </si>
  <si>
    <t>QIS1 -INTERRUTTORE Q_ACCESSI2 SEZIONE UPS SCATTATO</t>
  </si>
  <si>
    <t>1010.5</t>
  </si>
  <si>
    <t>QIS1 -INTERRUTTORE Q_ACCESSI3 SEZIONE UPS CHIUSO</t>
  </si>
  <si>
    <t>1010.6</t>
  </si>
  <si>
    <t>QIS1 -INTERRUTTORE Q_ACCESSI3 SEZIONE UPS SCATTATO</t>
  </si>
  <si>
    <t>1010.7</t>
  </si>
  <si>
    <t>QIS1 -INTERRUTTORE DORSALE DIR. NORD SOS CHIUSO</t>
  </si>
  <si>
    <t>1010.8</t>
  </si>
  <si>
    <t>QIS1 -INTERRUTTORE DORSALE DIR. NORD SOS SCATTATO</t>
  </si>
  <si>
    <t>1010.9</t>
  </si>
  <si>
    <t>QIS1 -INTERRUTTORE DORSALE DIR. SUD SOS CHIUSO</t>
  </si>
  <si>
    <t>1010.10</t>
  </si>
  <si>
    <t>QIS1 -INTERRUTTORE DORSALE DIR. SUD SOS SCATTATO</t>
  </si>
  <si>
    <t>1010.11</t>
  </si>
  <si>
    <t>QIS1 -INTERRUTTORE DORSALE DIR. NORD CARTELLI VIE ESODO CHIUSO</t>
  </si>
  <si>
    <t>1010.12</t>
  </si>
  <si>
    <t>QIS1 -INTERRUTTORE DORSALE DIR. NORD CARTELLI VIE ESODO SCATTATO</t>
  </si>
  <si>
    <t>1010.13</t>
  </si>
  <si>
    <t>QIS1 -INTERRUTTORE DORSALE DIR. SUD CARTELLI VIE ESODO CHIUSO</t>
  </si>
  <si>
    <t>1010.14</t>
  </si>
  <si>
    <t>QIS1 -INTERRUTTORE DORSALE DIR. SUD CARTELLI VIE ESODO SCATTATO</t>
  </si>
  <si>
    <t>1010.15</t>
  </si>
  <si>
    <t>QIS1 -INTERRUTTORE DORSALE DIR. NORD SEGNAL. LUMINOSA CHIUSO</t>
  </si>
  <si>
    <t>1011.0</t>
  </si>
  <si>
    <t>QIS1 -INTERRUTTORE DORSALE DIR. NORD SEGNAL. LUMINOSA SCATTATO</t>
  </si>
  <si>
    <t>1011.1</t>
  </si>
  <si>
    <t>QIS1 -INTERRUTTORE DORSALE DIR. SUD SEGNAL. LUMINOSA CHIUSO</t>
  </si>
  <si>
    <t>1011.2</t>
  </si>
  <si>
    <t>QIS1 -INTERRUTTORE DORSALE DIR. SUD SEGNAL. LUMINOSA SCATTATO</t>
  </si>
  <si>
    <t>1011.3</t>
  </si>
  <si>
    <t>QIS1 -INTERRUTTORE ILLUMINAZIONE NORMALE VIA ESODO SOSPESA CHIUSO</t>
  </si>
  <si>
    <t>1011.4</t>
  </si>
  <si>
    <t>QIS1 -INTERRUTTORE ILLUMINAZIONE NORMALE VIA ESODO SOSPESA SCATTATO</t>
  </si>
  <si>
    <t>1011.5</t>
  </si>
  <si>
    <t>QIS1 -INTERRUTTORE ILLUMINAZIONE EMERGENZA VIA ESODO SOSPESA CHIUSO</t>
  </si>
  <si>
    <t>1011.6</t>
  </si>
  <si>
    <t>QIS1 -INTERRUTTORE ILLUMINAZIONE EMERGENZA VIA ESODO SOSPESA SCATTATO</t>
  </si>
  <si>
    <t>1011.7</t>
  </si>
  <si>
    <t>QIS1 -INTERRUTTORE QVES SEZIONE UPS CHIUSO</t>
  </si>
  <si>
    <t>1011.8</t>
  </si>
  <si>
    <t>QIS1 -INTERRUTTORE QVES SEZIONE UPS SCATTATO</t>
  </si>
  <si>
    <t>1011.9</t>
  </si>
  <si>
    <t>QIS1 -INTERRUTTORE DORSALE DIR. NORD PMV / FC CHIUSO</t>
  </si>
  <si>
    <t>1011.10</t>
  </si>
  <si>
    <t>QIS1 -INTERRUTTORE DORSALE DIR. NORD PMV / FC SCATTATO</t>
  </si>
  <si>
    <t>1011.11</t>
  </si>
  <si>
    <t>QIS1 -INTERRUTTORE DORSALE DIR. SUD PMV / FC CHIUSO</t>
  </si>
  <si>
    <t>1011.12</t>
  </si>
  <si>
    <t>QIS1 -INTERRUTTORE DORSALE DIR. SUD PMV / FC SCATTATO</t>
  </si>
  <si>
    <t>1011.13</t>
  </si>
  <si>
    <t>QIS1 -INTERRUTTORE TRAVERSA PMV DIR. NORD CHIUSO</t>
  </si>
  <si>
    <t>1011.14</t>
  </si>
  <si>
    <t>QIS1 -INTERRUTTORE TRAVERSA PMV DIR. NORD SCATTATO</t>
  </si>
  <si>
    <t>1011.15</t>
  </si>
  <si>
    <t>QIS1 -INTERRUTTORE TRAVERSA PMV DIR. SUD CHIUSO</t>
  </si>
  <si>
    <t>1012.0</t>
  </si>
  <si>
    <t>QIS1 -INTERRUTTORE TRAVERSA PMV DIR. SUD SCATTATO</t>
  </si>
  <si>
    <t>1012.1</t>
  </si>
  <si>
    <t>QIS1 -INTERRUTTORE CONTROLLO TRAFFICO CHIUSO</t>
  </si>
  <si>
    <t>1012.2</t>
  </si>
  <si>
    <t>QIS1 -INTERRUTTORE CONTROLLO TRAFFICO SCATTATO</t>
  </si>
  <si>
    <t>1012.3</t>
  </si>
  <si>
    <t>QIS1 -INTERRUTTORE RISERVA CHIUSO</t>
  </si>
  <si>
    <t>1012.4</t>
  </si>
  <si>
    <t>QIS1 -INTERRUTTORE RISERVA SCATTATO</t>
  </si>
  <si>
    <t>1012.5</t>
  </si>
  <si>
    <t>1012.6</t>
  </si>
  <si>
    <t>1012.7</t>
  </si>
  <si>
    <t>1012.8</t>
  </si>
  <si>
    <t>1012.9</t>
  </si>
  <si>
    <t>1012.10</t>
  </si>
  <si>
    <t>1012.11</t>
  </si>
  <si>
    <t>1012.12</t>
  </si>
  <si>
    <t>1012.13</t>
  </si>
  <si>
    <t>QIS1 -ERRORE DI COMUNICAZIONE CON RIO</t>
  </si>
  <si>
    <t>QIS2</t>
  </si>
  <si>
    <t>1012.14</t>
  </si>
  <si>
    <t>QIS2 -LIMITATORE DI SOVRATENSIONE INTERVENUTO</t>
  </si>
  <si>
    <t>1012.15</t>
  </si>
  <si>
    <t>QIS2 -INTERRUTTORE QILL2 SEZIONE UPS CHIUSO</t>
  </si>
  <si>
    <t>1013.0</t>
  </si>
  <si>
    <t>QIS2 -INTERRUTTORE QILL2 SEZIONE UPS SCATTATO</t>
  </si>
  <si>
    <t>1013.1</t>
  </si>
  <si>
    <t>QIS2 -INTERRUTTORE QPIAZZOLA SEZIONE UPS CHIUSO</t>
  </si>
  <si>
    <t>1013.2</t>
  </si>
  <si>
    <t>QIS2 -INTERRUTTORE QPIAZZOLA SEZIONE UPS SCATTATO</t>
  </si>
  <si>
    <t>1013.3</t>
  </si>
  <si>
    <t>QIS2 -INTERRUTTORE Q_ACCESSI1 SEZIONE UPS CHIUSO</t>
  </si>
  <si>
    <t>1013.4</t>
  </si>
  <si>
    <t>QIS2 -INTERRUTTORE Q_ACCESSI1 SEZIONE UPS SCATTATO</t>
  </si>
  <si>
    <t>1013.5</t>
  </si>
  <si>
    <t>QIS2 -INTERRUTTORE Q_ACCESSI2 SEZIONE UPS CHIUSO</t>
  </si>
  <si>
    <t>1013.6</t>
  </si>
  <si>
    <t>QIS2 -INTERRUTTORE Q_ACCESSI2 SEZIONE UPS SCATTATO</t>
  </si>
  <si>
    <t>1013.7</t>
  </si>
  <si>
    <t>QIS2 -INTERRUTTORE DORSALE DIR. NORD SOS CHIUSO</t>
  </si>
  <si>
    <t>1013.8</t>
  </si>
  <si>
    <t>QIS2 -INTERRUTTORE DORSALE DIR. NORD SOS SCATTATO</t>
  </si>
  <si>
    <t>1013.9</t>
  </si>
  <si>
    <t>QIS2 -INTERRUTTORE DORSALE DIR. SUD SOS CHIUSO</t>
  </si>
  <si>
    <t>1013.10</t>
  </si>
  <si>
    <t>QIS2 -INTERRUTTORE DORSALE DIR. SUD SOS SCATTATO</t>
  </si>
  <si>
    <t>1013.11</t>
  </si>
  <si>
    <t>QIS2 -INTERRUTTORE DORSALE DIR. NORD CARTELLI VIE ESODO CHIUSO</t>
  </si>
  <si>
    <t>1013.12</t>
  </si>
  <si>
    <t>QIS2 -INTERRUTTORE DORSALE DIR. NORD CARTELLI VIE ESODO SCATTATO</t>
  </si>
  <si>
    <t>1013.13</t>
  </si>
  <si>
    <t>QIS2 -INTERRUTTORE DORSALE DIR. SUD CARTELLI VIE ESODO CHIUSO</t>
  </si>
  <si>
    <t>1013.14</t>
  </si>
  <si>
    <t>QIS2 -INTERRUTTORE DORSALE DIR. SUD CARTELLI VIE ESODO SCATTATO</t>
  </si>
  <si>
    <t>1013.15</t>
  </si>
  <si>
    <t>QIS2 -INTERRUTTORE DORSALE DIR. NORD SEGNAL. LUMINOSA CHIUSO</t>
  </si>
  <si>
    <t>1014.0</t>
  </si>
  <si>
    <t>QIS2 -INTERRUTTORE DORSALE DIR. NORD SEGNAL. LUMINOSA SCATTATO</t>
  </si>
  <si>
    <t>1014.1</t>
  </si>
  <si>
    <t>QIS2 -INTERRUTTORE DORSALE DIR. SUD SEGNAL. LUMINOSA CHIUSO</t>
  </si>
  <si>
    <t>1014.2</t>
  </si>
  <si>
    <t>QIS2 -INTERRUTTORE DORSALE DIR. SUD SEGNAL. LUMINOSA SCATTATO</t>
  </si>
  <si>
    <t>1014.3</t>
  </si>
  <si>
    <t>QIS2 -INTERRUTTORE ILLUMINAZIONE NORMALE VIA ESODO SOSPESA CHIUSO</t>
  </si>
  <si>
    <t>1014.4</t>
  </si>
  <si>
    <t>QIS2 -INTERRUTTORE ILLUMINAZIONE NORMALE VIA ESODO SOSPESA SCATTATO</t>
  </si>
  <si>
    <t>1014.5</t>
  </si>
  <si>
    <t>QIS2 -INTERRUTTORE ILLUMINAZIONE EMERGENZA VIA ESODO SOSPESA CHIUSO</t>
  </si>
  <si>
    <t>1014.6</t>
  </si>
  <si>
    <t>QIS2 -INTERRUTTORE ILLUMINAZIONE EMERGENZA VIA ESODO SOSPESA SCATTATO</t>
  </si>
  <si>
    <t>1014.7</t>
  </si>
  <si>
    <t>QIS2 -INTERRUTTORE QVES SEZIONE UPS CHIUSO</t>
  </si>
  <si>
    <t>1014.8</t>
  </si>
  <si>
    <t>QIS2 -INTERRUTTORE QVES SEZIONE UPS SCATTATO</t>
  </si>
  <si>
    <t>1014.9</t>
  </si>
  <si>
    <t>QIS2 -INTERRUTTORE DORSALE DIR. NORD PMV / FC CHIUSO</t>
  </si>
  <si>
    <t>1014.10</t>
  </si>
  <si>
    <t>QIS2 -INTERRUTTORE DORSALE DIR. NORD PMV / FC SCATTATO</t>
  </si>
  <si>
    <t>1014.11</t>
  </si>
  <si>
    <t>QIS2 -INTERRUTTORE DORSALE DIR. SUD PMV / FC CHIUSO</t>
  </si>
  <si>
    <t>1014.12</t>
  </si>
  <si>
    <t>QIS2 -INTERRUTTORE DORSALE DIR. SUD PMV / FC SCATTATO</t>
  </si>
  <si>
    <t>1014.13</t>
  </si>
  <si>
    <t>QIS2 -INTERRUTTORE TRAVERSA PMV DIR. NORD CHIUSO</t>
  </si>
  <si>
    <t>1014.14</t>
  </si>
  <si>
    <t>QIS2 -INTERRUTTORE TRAVERSA PMV DIR. NORD SCATTATO</t>
  </si>
  <si>
    <t>1014.15</t>
  </si>
  <si>
    <t>QIS2 -INTERRUTTORE TRAVERSA PMV DIR. SUD CHIUSO</t>
  </si>
  <si>
    <t>1015.0</t>
  </si>
  <si>
    <t>QIS2 -INTERRUTTORE TRAVERSA PMV DIR. SUD SCATTATO</t>
  </si>
  <si>
    <t>1015.1</t>
  </si>
  <si>
    <t>QIS2 -INTERRUTTORE CONTROLLO TRAFFICO CHIUSO</t>
  </si>
  <si>
    <t>1015.2</t>
  </si>
  <si>
    <t>QIS2 -INTERRUTTORE CONTROLLO TRAFFICO SCATTATO</t>
  </si>
  <si>
    <t>1015.3</t>
  </si>
  <si>
    <t>QIS2 -INTERRUTTORE RISERVA CHIUSO</t>
  </si>
  <si>
    <t>1015.4</t>
  </si>
  <si>
    <t>QIS2 -INTERRUTTORE RISERVA SCATTATO</t>
  </si>
  <si>
    <t>1015.5</t>
  </si>
  <si>
    <t>1015.6</t>
  </si>
  <si>
    <t>1015.7</t>
  </si>
  <si>
    <t>1015.8</t>
  </si>
  <si>
    <t>1015.9</t>
  </si>
  <si>
    <t>1015.10</t>
  </si>
  <si>
    <t>1015.11</t>
  </si>
  <si>
    <t>1015.12</t>
  </si>
  <si>
    <t>1015.13</t>
  </si>
  <si>
    <t>QIS2 -ERRORE DI COMUNICAZIONE CON RIO</t>
  </si>
  <si>
    <t>QILL1</t>
  </si>
  <si>
    <t>1015.14</t>
  </si>
  <si>
    <t>QILL1 -SEZIONATORE GENERALE ILLUMINAZIONE RINFORZO NORD CHIUSO</t>
  </si>
  <si>
    <t>CONTATTORE</t>
  </si>
  <si>
    <t>1015.15</t>
  </si>
  <si>
    <t>QILL1 -CONTATTORE ILLUMINAZIONE RINFORZI NORD CHIUSO</t>
  </si>
  <si>
    <t>SELETTORE</t>
  </si>
  <si>
    <t>2S1</t>
  </si>
  <si>
    <t>1016.0</t>
  </si>
  <si>
    <t>QILL1 -SELETTORE ILLUMINAZIONE RINFORZI NORD IN AUTOMATICO</t>
  </si>
  <si>
    <t>1016.1</t>
  </si>
  <si>
    <t>QILL1 -INTERRUTTORE ILLUMINAZIONE RINFORZO R4-NORD CHIUSO</t>
  </si>
  <si>
    <t>1016.2</t>
  </si>
  <si>
    <t>QILL1 -INTERRUTTORE ILLUMINAZIONE RINFORZO R5-NORD CHIUSO</t>
  </si>
  <si>
    <t>1016.3</t>
  </si>
  <si>
    <t>QILL1 -INTERRUTTORE ILLUMINAZIONE RINFORZO R6-NORD CHIUSO</t>
  </si>
  <si>
    <t>1016.4</t>
  </si>
  <si>
    <t>3K1</t>
  </si>
  <si>
    <t>1016.5</t>
  </si>
  <si>
    <t>QILL1 -CONTATTORE ILLUMINAZIONE RINFORZI SUD CHIUSO</t>
  </si>
  <si>
    <t>3S1</t>
  </si>
  <si>
    <t>1016.6</t>
  </si>
  <si>
    <t>QILL1 -SELETTORE ILLUMINAZIONE RINFORZI SUD IN AUTOMATICO</t>
  </si>
  <si>
    <t>1016.7</t>
  </si>
  <si>
    <t>QILL1 -INTERRUTTORE ILLUMINAZIONE RINFORZO R1-SUD CHIUSO</t>
  </si>
  <si>
    <t>1016.8</t>
  </si>
  <si>
    <t>QILL1 -INTERRUTTORE ILLUMINAZIONE RINFORZO R2-SUD CHIUSO</t>
  </si>
  <si>
    <t>1016.9</t>
  </si>
  <si>
    <t>QILL1 -INTERRUTTORE ILLUMINAZIONE RINFORZO R3-SUD CHIUSO</t>
  </si>
  <si>
    <t>1016.10</t>
  </si>
  <si>
    <t>QILL1 -INTERRUTTORE ILLUMINAZIONE PERMANENTI P1 CHIUSO</t>
  </si>
  <si>
    <t>1016.11</t>
  </si>
  <si>
    <t>QILL1 -INTERRUTTORE ILLUMINAZIONE PERMANENTI P1 SCATTATO</t>
  </si>
  <si>
    <t>1016.12</t>
  </si>
  <si>
    <t>QILL1 -INTERRUTTORE ILLUMINAZIONE PERMANENTI P2 CHIUSO</t>
  </si>
  <si>
    <t>1016.13</t>
  </si>
  <si>
    <t>QILL1 -INTERRUTTORE ILLUMINAZIONE PERMANENTI P2 SCATTATO</t>
  </si>
  <si>
    <t>1016.14</t>
  </si>
  <si>
    <t>QILL1 -INTERRUTTORE ILLUMINAZIONE PERMANENTI P3 CHIUSO</t>
  </si>
  <si>
    <t>1016.15</t>
  </si>
  <si>
    <t>QILL1 -INTERRUTTORE ILLUMINAZIONE PERMANENTI P3 SCATTATO</t>
  </si>
  <si>
    <t>1017.0</t>
  </si>
  <si>
    <t>QILL1 -INTERRUTTORE ILLUMINAZIONE PERMANENTI P4 CHIUSO</t>
  </si>
  <si>
    <t>1017.1</t>
  </si>
  <si>
    <t>QILL1 -INTERRUTTORE ILLUMINAZIONE PERMANENTI P4 SCATTATO</t>
  </si>
  <si>
    <t>1017.2</t>
  </si>
  <si>
    <t>QILL1 -INTERRUTTORE ILLUMINAZIONE PERMANENTI P5 CHIUSO</t>
  </si>
  <si>
    <t>1017.3</t>
  </si>
  <si>
    <t>QILL1 -INTERRUTTORE ILLUMINAZIONE PERMANENTI P5 SCATTATO</t>
  </si>
  <si>
    <t>1017.4</t>
  </si>
  <si>
    <t>QILL1 -INTERRUTTORE ILLUMINAZIONE PERMANENTI P6 CHIUSO</t>
  </si>
  <si>
    <t>1017.5</t>
  </si>
  <si>
    <t>QILL1 -INTERRUTTORE ILLUMINAZIONE PERMANENTI P6 SCATTATO</t>
  </si>
  <si>
    <t>1017.6</t>
  </si>
  <si>
    <t>QILL1 -INTERRUTTORE ILLUMINAZIONE PERMANENTI P7 CHIUSO</t>
  </si>
  <si>
    <t>1017.7</t>
  </si>
  <si>
    <t>QILL1 -INTERRUTTORE ILLUMINAZIONE PERMANENTI P7 SCATTATO</t>
  </si>
  <si>
    <t>1017.8</t>
  </si>
  <si>
    <t>QILL1 -INTERRUTTORE ILLUMINAZIONE PERMANENTI P8 CHIUSO</t>
  </si>
  <si>
    <t>1017.9</t>
  </si>
  <si>
    <t>QILL1 -INTERRUTTORE ILLUMINAZIONE PERMANENTI P8 SCATTATO</t>
  </si>
  <si>
    <t>1017.10</t>
  </si>
  <si>
    <t>QILL1 -INTERRUTTORE ILLUMINAZIONE PERMANENTI P9 CHIUSO</t>
  </si>
  <si>
    <t>1017.11</t>
  </si>
  <si>
    <t>QILL1 -INTERRUTTORE ILLUMINAZIONE PERMANENTI P9 SCATTATO</t>
  </si>
  <si>
    <t>1017.12</t>
  </si>
  <si>
    <t>QILL1 -INTERRUTTORE ILLUMINAZIONE PERMANENTI P10 CHIUSO</t>
  </si>
  <si>
    <t>1017.13</t>
  </si>
  <si>
    <t>QILL1 -INTERRUTTORE ILLUMINAZIONE PERMANENTI P10 SCATTATO</t>
  </si>
  <si>
    <t>1017.14</t>
  </si>
  <si>
    <t>QILL1 -INTERRUTTORE ILLUMINAZIONE PERMANENTI P11 CHIUSO</t>
  </si>
  <si>
    <t>1017.15</t>
  </si>
  <si>
    <t>QILL1 -INTERRUTTORE ILLUMINAZIONE PERMANENTI P11 SCATTATO</t>
  </si>
  <si>
    <t>1018.0</t>
  </si>
  <si>
    <t>QILL1 -INTERRUTTORE ILLUMINAZIONE PERMANENTI P12 CHIUSO</t>
  </si>
  <si>
    <t>1018.1</t>
  </si>
  <si>
    <t>QILL1 -INTERRUTTORE ILLUMINAZIONE PERMANENTI P12 SCATTATO</t>
  </si>
  <si>
    <t>1018.2</t>
  </si>
  <si>
    <t>QILL1 -INTERRUTTORE ILLUMINAZIONE PERMANENTI P13 CHIUSO</t>
  </si>
  <si>
    <t>1018.3</t>
  </si>
  <si>
    <t>QILL1 -INTERRUTTORE ILLUMINAZIONE PERMANENTI P13 SCATTATO</t>
  </si>
  <si>
    <t>1018.4</t>
  </si>
  <si>
    <t>QILL1 -INTERRUTTORE ILLUMINAZIONE PERMANENTI P14 CHIUSO</t>
  </si>
  <si>
    <t>1018.5</t>
  </si>
  <si>
    <t>QILL1 -INTERRUTTORE ILLUMINAZIONE PERMANENTI P14 SCATTATO</t>
  </si>
  <si>
    <t>1018.6</t>
  </si>
  <si>
    <t>QILL1 -ERRORE DI COMUNICAZIONE CON RIO</t>
  </si>
  <si>
    <t>QILL2</t>
  </si>
  <si>
    <t>1018.7</t>
  </si>
  <si>
    <t>QILL2 -SEZIONATORE GENERALE ILLUMINAZIONE RINFORZO NORD CHIUSO</t>
  </si>
  <si>
    <t>1018.8</t>
  </si>
  <si>
    <t>QILL2 -CONTATTORE ILLUMINAZIONE RINFORZI NORD CHIUSO</t>
  </si>
  <si>
    <t>1018.9</t>
  </si>
  <si>
    <t>QILL2 -SELETTORE ILLUMINAZIONE RINFORZI NORD IN AUTOMATICO</t>
  </si>
  <si>
    <t>1018.10</t>
  </si>
  <si>
    <t>QILL2 -INTERRUTTORE ILLUMINAZIONE RINFORZO R4-NORD CHIUSO</t>
  </si>
  <si>
    <t>1018.11</t>
  </si>
  <si>
    <t>QILL2 -INTERRUTTORE ILLUMINAZIONE RINFORZO R5-NORD CHIUSO</t>
  </si>
  <si>
    <t>1018.12</t>
  </si>
  <si>
    <t>QILL2 -INTERRUTTORE ILLUMINAZIONE RINFORZO R6-NORD CHIUSO</t>
  </si>
  <si>
    <t>1018.13</t>
  </si>
  <si>
    <t>1018.14</t>
  </si>
  <si>
    <t>QILL2 -CONTATTORE ILLUMINAZIONE RINFORZI SUD CHIUSO</t>
  </si>
  <si>
    <t>1018.15</t>
  </si>
  <si>
    <t>QILL2 -SELETTORE ILLUMINAZIONE RINFORZI SUD IN AUTOMATICO</t>
  </si>
  <si>
    <t>1019.0</t>
  </si>
  <si>
    <t>QILL2 -INTERRUTTORE ILLUMINAZIONE RINFORZO R1-SUD CHIUSO</t>
  </si>
  <si>
    <t>1019.1</t>
  </si>
  <si>
    <t>QILL2 -INTERRUTTORE ILLUMINAZIONE RINFORZO R2-SUD CHIUSO</t>
  </si>
  <si>
    <t>1019.2</t>
  </si>
  <si>
    <t>QILL2 -INTERRUTTORE ILLUMINAZIONE RINFORZO R3-SUD CHIUSO</t>
  </si>
  <si>
    <t>1019.3</t>
  </si>
  <si>
    <t>QILL2 -INTERRUTTORE ILLUMINAZIONE PERMANENTI P1 CHIUSO</t>
  </si>
  <si>
    <t>1019.4</t>
  </si>
  <si>
    <t>QILL2 -INTERRUTTORE ILLUMINAZIONE PERMANENTI P1 SCATTATO</t>
  </si>
  <si>
    <t>1019.5</t>
  </si>
  <si>
    <t>QILL2 -INTERRUTTORE ILLUMINAZIONE PERMANENTI P2 CHIUSO</t>
  </si>
  <si>
    <t>1019.6</t>
  </si>
  <si>
    <t>QILL2 -INTERRUTTORE ILLUMINAZIONE PERMANENTI P2 SCATTATO</t>
  </si>
  <si>
    <t>1019.7</t>
  </si>
  <si>
    <t>QILL2 -INTERRUTTORE ILLUMINAZIONE PERMANENTI P3 CHIUSO</t>
  </si>
  <si>
    <t>1019.8</t>
  </si>
  <si>
    <t>QILL2 -INTERRUTTORE ILLUMINAZIONE PERMANENTI P3 SCATTATO</t>
  </si>
  <si>
    <t>1019.9</t>
  </si>
  <si>
    <t>QILL2 -INTERRUTTORE ILLUMINAZIONE PERMANENTI P4 CHIUSO</t>
  </si>
  <si>
    <t>1019.10</t>
  </si>
  <si>
    <t>QILL2 -INTERRUTTORE ILLUMINAZIONE PERMANENTI P4 SCATTATO</t>
  </si>
  <si>
    <t>1019.11</t>
  </si>
  <si>
    <t>QILL2 -INTERRUTTORE ILLUMINAZIONE PERMANENTI P5 CHIUSO</t>
  </si>
  <si>
    <t>1019.12</t>
  </si>
  <si>
    <t>QILL2 -INTERRUTTORE ILLUMINAZIONE PERMANENTI P5 SCATTATO</t>
  </si>
  <si>
    <t>1019.13</t>
  </si>
  <si>
    <t>QILL2 -INTERRUTTORE ILLUMINAZIONE PERMANENTI P6 CHIUSO</t>
  </si>
  <si>
    <t>1019.14</t>
  </si>
  <si>
    <t>QILL2 -INTERRUTTORE ILLUMINAZIONE PERMANENTI P6 SCATTATO</t>
  </si>
  <si>
    <t>1019.15</t>
  </si>
  <si>
    <t>QILL2 -INTERRUTTORE ILLUMINAZIONE PERMANENTI P7 CHIUSO</t>
  </si>
  <si>
    <t>1020.0</t>
  </si>
  <si>
    <t>QILL2 -INTERRUTTORE ILLUMINAZIONE PERMANENTI P7 SCATTATO</t>
  </si>
  <si>
    <t>1020.1</t>
  </si>
  <si>
    <t>QILL2 -INTERRUTTORE ILLUMINAZIONE PERMANENTI P8 CHIUSO</t>
  </si>
  <si>
    <t>1020.2</t>
  </si>
  <si>
    <t>QILL2 -INTERRUTTORE ILLUMINAZIONE PERMANENTI P8 SCATTATO</t>
  </si>
  <si>
    <t>1020.3</t>
  </si>
  <si>
    <t>QILL2 -INTERRUTTORE ILLUMINAZIONE PERMANENTI P9 CHIUSO</t>
  </si>
  <si>
    <t>1020.4</t>
  </si>
  <si>
    <t>QILL2 -INTERRUTTORE ILLUMINAZIONE PERMANENTI P9 SCATTATO</t>
  </si>
  <si>
    <t>1020.5</t>
  </si>
  <si>
    <t>QILL2 -INTERRUTTORE ILLUMINAZIONE PERMANENTI P10 CHIUSO</t>
  </si>
  <si>
    <t>1020.6</t>
  </si>
  <si>
    <t>QILL2 -INTERRUTTORE ILLUMINAZIONE PERMANENTI P10 SCATTATO</t>
  </si>
  <si>
    <t>1020.7</t>
  </si>
  <si>
    <t>QILL2 -INTERRUTTORE ILLUMINAZIONE PERMANENTI P11 CHIUSO</t>
  </si>
  <si>
    <t>1020.8</t>
  </si>
  <si>
    <t>QILL2 -INTERRUTTORE ILLUMINAZIONE PERMANENTI P11 SCATTATO</t>
  </si>
  <si>
    <t>1020.9</t>
  </si>
  <si>
    <t>QILL2 -ERRORE DI COMUNICAZIONE CON RIO</t>
  </si>
  <si>
    <t>1A</t>
  </si>
  <si>
    <t>1020.10</t>
  </si>
  <si>
    <t>QVE1 -INTERRUTTORE GENERALE TRAFO 1 690Vac CHIUSO</t>
  </si>
  <si>
    <t>1020.11</t>
  </si>
  <si>
    <t>QVE1 -INTERRUTTORE GENERALE TRAFO 1 690Vac SCATTATO</t>
  </si>
  <si>
    <t>1B</t>
  </si>
  <si>
    <t>1020.12</t>
  </si>
  <si>
    <t>QVE1 -INTERRUTTORE GENERALE TRAFO 2 690Vac CHIUSO</t>
  </si>
  <si>
    <t>1020.13</t>
  </si>
  <si>
    <t>QVE1 -INTERRUTTORE GENERALE TRAFO 2 690Vac SCATTATO</t>
  </si>
  <si>
    <t>1020.14</t>
  </si>
  <si>
    <t>QVE1 -INTERRUTTORE AUX QUADRO SEZIONE PRIVILEGIATA CHIUSO</t>
  </si>
  <si>
    <t>1020.15</t>
  </si>
  <si>
    <t>QVE1 -INTERRUTTORE V1 DX CHIUSO</t>
  </si>
  <si>
    <t>1021.0</t>
  </si>
  <si>
    <t>QVE1 -INTERRUTTORE V1 SX CHIUSO</t>
  </si>
  <si>
    <t>1021.1</t>
  </si>
  <si>
    <t>QVE1 -INTERRUTTORE V2 DX CHIUSO</t>
  </si>
  <si>
    <t>1021.2</t>
  </si>
  <si>
    <t>QVE1 -INTERRUTTORE V2 SX CHIUSO</t>
  </si>
  <si>
    <t>1021.3</t>
  </si>
  <si>
    <t>QVE1 -INTERRUTTORE V3 DX CHIUSO</t>
  </si>
  <si>
    <t>1021.4</t>
  </si>
  <si>
    <t>QVE1 -INTERRUTTORE V3 SX CHIUSO</t>
  </si>
  <si>
    <t>1021.5</t>
  </si>
  <si>
    <t>QVE1 -INTERRUTTORE V4 DX CHIUSO</t>
  </si>
  <si>
    <t>1021.6</t>
  </si>
  <si>
    <t>QVE1 -INTERRUTTORE V4 SX CHIUSO</t>
  </si>
  <si>
    <t>DIFFERENZIALE/SOFTSTART</t>
  </si>
  <si>
    <t>32RD1/17AVV1</t>
  </si>
  <si>
    <t>1021.7</t>
  </si>
  <si>
    <t>QVE1 -INTERRUTTORE V1 DXALLARME SOFTSTART/DIFFERENZIALE</t>
  </si>
  <si>
    <t>1021.8</t>
  </si>
  <si>
    <t>QVE1 -V1 DX IN MARCIA DIR. NORD</t>
  </si>
  <si>
    <t>1021.9</t>
  </si>
  <si>
    <t>QVE1 -SELETTORE V1 DX IN AUTOMATICOMATICO DA QUADRO</t>
  </si>
  <si>
    <t>3K2</t>
  </si>
  <si>
    <t>1021.10</t>
  </si>
  <si>
    <t>QVE1 -V1 DX IN MARCIA DIR. SUD</t>
  </si>
  <si>
    <t>17K3</t>
  </si>
  <si>
    <t>1021.11</t>
  </si>
  <si>
    <t>QVE1 -V1 DX CONTATTORE BY-PASS AVVIATORE</t>
  </si>
  <si>
    <t>33RD1/18AVV1</t>
  </si>
  <si>
    <t>1021.12</t>
  </si>
  <si>
    <t>QVE1 -INTERRUTTORE V1 SXALLARME SOFTSTART/DIFFERENZIALE</t>
  </si>
  <si>
    <t>4K1</t>
  </si>
  <si>
    <t>1021.13</t>
  </si>
  <si>
    <t>QVE1 -V1 SX IN MARCIA DIR. NORD</t>
  </si>
  <si>
    <t>4S1</t>
  </si>
  <si>
    <t>1021.14</t>
  </si>
  <si>
    <t>QVE1 -SELETTORE V1 SX IN AUTOMATICOMATICO DA QUADRO</t>
  </si>
  <si>
    <t>4K2</t>
  </si>
  <si>
    <t>1021.15</t>
  </si>
  <si>
    <t>QVE1 -V1 SX IN MARCIA DIR. SUD</t>
  </si>
  <si>
    <t>18K3</t>
  </si>
  <si>
    <t>1022.0</t>
  </si>
  <si>
    <t>QVE1 -V1 SX CONTATTORE BY-PASS AVVIATORE</t>
  </si>
  <si>
    <t>34RD1/19AVV1</t>
  </si>
  <si>
    <t>1022.1</t>
  </si>
  <si>
    <t>QVE1 -INTERRUTTORE V2 DXALLARME SOFTSTART/DIFFERENZIALE</t>
  </si>
  <si>
    <t>5K1</t>
  </si>
  <si>
    <t>1022.2</t>
  </si>
  <si>
    <t>QVE1 -V2 DX IN MARCIA DIR. NORD</t>
  </si>
  <si>
    <t>5S1</t>
  </si>
  <si>
    <t>1022.3</t>
  </si>
  <si>
    <t>QVE1 -SELETTORE V2 DX IN AUTOMATICOMATICO DA QUADRO</t>
  </si>
  <si>
    <t>5K2</t>
  </si>
  <si>
    <t>1022.4</t>
  </si>
  <si>
    <t>QVE1 -V2 DX IN MARCIA DIR. SUD</t>
  </si>
  <si>
    <t>19K3</t>
  </si>
  <si>
    <t>1022.5</t>
  </si>
  <si>
    <t>QVE1 -V2 DX CONTATTORE BY-PASS AVVIATORE</t>
  </si>
  <si>
    <t>35RD1/20AVV1</t>
  </si>
  <si>
    <t>1022.6</t>
  </si>
  <si>
    <t>QVE1 -INTERRUTTORE V2 SXALLARME SOFTSTART/DIFFERENZIALE</t>
  </si>
  <si>
    <t>6K1</t>
  </si>
  <si>
    <t>1022.7</t>
  </si>
  <si>
    <t>QVE1 -V2 SX IN MARCIA DIR. NORD</t>
  </si>
  <si>
    <t>6S1</t>
  </si>
  <si>
    <t>1022.8</t>
  </si>
  <si>
    <t>QVE1 -SELETTORE V2 SX IN AUTOMATICOMATICO DA QUADRO</t>
  </si>
  <si>
    <t>6K2</t>
  </si>
  <si>
    <t>1022.9</t>
  </si>
  <si>
    <t>QVE1 -V2 SX IN MARCIA DIR. SUD</t>
  </si>
  <si>
    <t>20K3</t>
  </si>
  <si>
    <t>1022.10</t>
  </si>
  <si>
    <t>QVE1 -V2 SX CONTATTORE BY-PASS AVVIATORE</t>
  </si>
  <si>
    <t>36RD1/21AVV1</t>
  </si>
  <si>
    <t>1022.11</t>
  </si>
  <si>
    <t>QVE1 -INTERRUTTORE V3 DXALLARME SOFTSTART/DIFFERENZIALE</t>
  </si>
  <si>
    <t>7K1</t>
  </si>
  <si>
    <t>1022.12</t>
  </si>
  <si>
    <t>QVE1 -V3 DX IN MARCIA DIR. NORD</t>
  </si>
  <si>
    <t>7S1</t>
  </si>
  <si>
    <t>1022.13</t>
  </si>
  <si>
    <t>QVE1 -SELETTORE V3 DX IN AUTOMATICOMATICO DA QUADRO</t>
  </si>
  <si>
    <t>7K2</t>
  </si>
  <si>
    <t>1022.14</t>
  </si>
  <si>
    <t>QVE1 -V3 DX IN MARCIA DIR. SUD</t>
  </si>
  <si>
    <t>21K3</t>
  </si>
  <si>
    <t>1022.15</t>
  </si>
  <si>
    <t>QVE1 -V3 DX CONTATTORE BY-PASS AVVIATORE</t>
  </si>
  <si>
    <t>37RD1/22AVV1</t>
  </si>
  <si>
    <t>1023.0</t>
  </si>
  <si>
    <t>QVE1 -INTERRUTTORE V3 SXALLARME SOFTSTART/DIFFERENZIALE</t>
  </si>
  <si>
    <t>8K1</t>
  </si>
  <si>
    <t>1023.1</t>
  </si>
  <si>
    <t>QVE1 -V3 SX IN MARCIA DIR. NORD</t>
  </si>
  <si>
    <t>8S1</t>
  </si>
  <si>
    <t>1023.2</t>
  </si>
  <si>
    <t>QVE1 -SELETTORE V3 SX IN AUTOMATICOMATICO DA QUADRO</t>
  </si>
  <si>
    <t>8K2</t>
  </si>
  <si>
    <t>1023.3</t>
  </si>
  <si>
    <t>QVE1 -V3 SX IN MARCIA DIR. SUD</t>
  </si>
  <si>
    <t>22K3</t>
  </si>
  <si>
    <t>1023.4</t>
  </si>
  <si>
    <t>QVE1 -V3 SX CONTATTORE BY-PASS AVVIATORE</t>
  </si>
  <si>
    <t>38RD1/23AVV1</t>
  </si>
  <si>
    <t>1023.5</t>
  </si>
  <si>
    <t>QVE1 -INTERRUTTORE V4 DXALLARME SOFTSTART/DIFFERENZIALE</t>
  </si>
  <si>
    <t>9K1</t>
  </si>
  <si>
    <t>1023.6</t>
  </si>
  <si>
    <t>QVE1 -V4 DX IN MARCIA DIR. NORD</t>
  </si>
  <si>
    <t>9S1</t>
  </si>
  <si>
    <t>1023.7</t>
  </si>
  <si>
    <t>QVE1 -SELETTORE V4 DX IN AUTOMATICOMATICO DA QUADRO</t>
  </si>
  <si>
    <t>9K2</t>
  </si>
  <si>
    <t>1023.8</t>
  </si>
  <si>
    <t>QVE1 -V4 DX IN MARCIA DIR. SUD</t>
  </si>
  <si>
    <t>23K3</t>
  </si>
  <si>
    <t>1023.9</t>
  </si>
  <si>
    <t>QVE1 -V4 DX CONTATTORE BY-PASS AVVIATORE</t>
  </si>
  <si>
    <t>39RD1/24AVV1</t>
  </si>
  <si>
    <t>1023.10</t>
  </si>
  <si>
    <t>QVE1 -INTERRUTTORE V4 SXALLARME SOFTSTART/DIFFERENZIALE</t>
  </si>
  <si>
    <t>10K1</t>
  </si>
  <si>
    <t>1023.11</t>
  </si>
  <si>
    <t>QVE1 -V4 SX IN MARCIA DIR. NORD</t>
  </si>
  <si>
    <t>10S1</t>
  </si>
  <si>
    <t>1023.12</t>
  </si>
  <si>
    <t>QVE1 -SELETTORE V4 SX IN AUTOMATICOMATICO DA QUADRO</t>
  </si>
  <si>
    <t>10K2</t>
  </si>
  <si>
    <t>1023.13</t>
  </si>
  <si>
    <t>QVE1_SG -V4 SX IN MARCIA DIR. SUD</t>
  </si>
  <si>
    <t>24K3</t>
  </si>
  <si>
    <t>1023.14</t>
  </si>
  <si>
    <t>QVE1 -V4 SX CONTATTORE BY-PASS AVVIATORE</t>
  </si>
  <si>
    <t>1023.15</t>
  </si>
  <si>
    <t>QVE1 -ERRORE DI COMUNICAZIONE CON RIO</t>
  </si>
  <si>
    <t>1024.0</t>
  </si>
  <si>
    <t>QVE2 -INTERRUTTORE GENERALE TRAFO 1 690Vac CHIUSO</t>
  </si>
  <si>
    <t>1024.1</t>
  </si>
  <si>
    <t>QVE2 -INTERRUTTORE GENERALE TRAFO 1 690Vac SCATTATO</t>
  </si>
  <si>
    <t>1024.2</t>
  </si>
  <si>
    <t>QVE2 -INTERRUTTORE GENERALE TRAFO 2 690Vac CHIUSO</t>
  </si>
  <si>
    <t>1024.3</t>
  </si>
  <si>
    <t>QVE2 -INTERRUTTORE GENERALE TRAFO 2 690Vac SCATTATO</t>
  </si>
  <si>
    <t>1024.4</t>
  </si>
  <si>
    <t>QVE2 -INTERRUTTORE AUX QUADRO SEZIONE PRIVILEGIATA CHIUSO</t>
  </si>
  <si>
    <t>1024.5</t>
  </si>
  <si>
    <t>QVE2 -INTERRUTTORE V1 DX CHIUSO</t>
  </si>
  <si>
    <t>1024.6</t>
  </si>
  <si>
    <t>QVE2 -INTERRUTTORE V1 SX CHIUSO</t>
  </si>
  <si>
    <t>1024.7</t>
  </si>
  <si>
    <t>QVE2 -INTERRUTTORE V2 DX CHIUSO</t>
  </si>
  <si>
    <t>1024.8</t>
  </si>
  <si>
    <t>QVE2 -INTERRUTTORE V2 SX CHIUSO</t>
  </si>
  <si>
    <t>1024.9</t>
  </si>
  <si>
    <t>QVE2 -INTERRUTTORE V3 DX CHIUSO</t>
  </si>
  <si>
    <t>1024.10</t>
  </si>
  <si>
    <t>QVE2 -INTERRUTTORE V3 SX CHIUSO</t>
  </si>
  <si>
    <t>1024.11</t>
  </si>
  <si>
    <t>QVE2 -INTERRUTTORE V1 DXALLARME SOFTSTART/DIFFERENZIALE</t>
  </si>
  <si>
    <t>1024.12</t>
  </si>
  <si>
    <t>QVE2 -V1 DX IN MARCIA DIR. NORD</t>
  </si>
  <si>
    <t>1024.13</t>
  </si>
  <si>
    <t>QVE2 -SELETTORE V1 DX IN AUTOMATICOMATICO DA QUADRO</t>
  </si>
  <si>
    <t>1024.14</t>
  </si>
  <si>
    <t>QVE2 -V1 DX IN MARCIA DIR. SUD</t>
  </si>
  <si>
    <t>1024.15</t>
  </si>
  <si>
    <t>QVE2 -V1 DX CONTATTORE BY-PASS AVVIATORE</t>
  </si>
  <si>
    <t>1025.0</t>
  </si>
  <si>
    <t>QVE2 -INTERRUTTORE V1 SXALLARME SOFTSTART/DIFFERENZIALE</t>
  </si>
  <si>
    <t>1025.1</t>
  </si>
  <si>
    <t>QVE2 -V1 SX IN MARCIA DIR. NORD</t>
  </si>
  <si>
    <t>1025.2</t>
  </si>
  <si>
    <t>QVE2 -SELETTORE V1 SX IN AUTOMATICOMATICO DA QUADRO</t>
  </si>
  <si>
    <t>1025.3</t>
  </si>
  <si>
    <t>QVE2 -V1 SX IN MARCIA DIR. SUD</t>
  </si>
  <si>
    <t>1025.4</t>
  </si>
  <si>
    <t>QVE2 -V1 SX CONTATTORE BY-PASS AVVIATORE</t>
  </si>
  <si>
    <t>1025.5</t>
  </si>
  <si>
    <t>QVE2 -INTERRUTTORE V2 DXALLARME SOFTSTART/DIFFERENZIALE</t>
  </si>
  <si>
    <t>1025.6</t>
  </si>
  <si>
    <t>QVE2 -V2 DX IN MARCIA DIR. NORD</t>
  </si>
  <si>
    <t>1025.7</t>
  </si>
  <si>
    <t>QVE2 -SELETTORE V2 DX IN AUTOMATICOMATICO DA QUADRO</t>
  </si>
  <si>
    <t>1025.8</t>
  </si>
  <si>
    <t>QVE2 -V2 DX IN MARCIA DIR. SUD</t>
  </si>
  <si>
    <t>1025.9</t>
  </si>
  <si>
    <t>QVE2 -V2 DX CONTATTORE BY-PASS AVVIATORE</t>
  </si>
  <si>
    <t>1025.10</t>
  </si>
  <si>
    <t>QVE2 -INTERRUTTORE V2 SXALLARME SOFTSTART/DIFFERENZIALE</t>
  </si>
  <si>
    <t>1025.11</t>
  </si>
  <si>
    <t>QVE2 -V2 SX IN MARCIA DIR. NORD</t>
  </si>
  <si>
    <t>1025.12</t>
  </si>
  <si>
    <t>QVE2 -SELETTORE V2 SX IN AUTOMATICOMATICO DA QUADRO</t>
  </si>
  <si>
    <t>1025.13</t>
  </si>
  <si>
    <t>QVE2 -V2 SX IN MARCIA DIR. SUD</t>
  </si>
  <si>
    <t>1025.14</t>
  </si>
  <si>
    <t>QVE2 -V2 SX CONTATTORE BY-PASS AVVIATORE</t>
  </si>
  <si>
    <t>1025.15</t>
  </si>
  <si>
    <t>QVE2 -INTERRUTTORE V3 DXALLARME SOFTSTART/DIFFERENZIALE</t>
  </si>
  <si>
    <t>1026.0</t>
  </si>
  <si>
    <t>QVE2 -V3 DX IN MARCIA DIR. NORD</t>
  </si>
  <si>
    <t>1026.1</t>
  </si>
  <si>
    <t>QVE2 -SELETTORE V3 DX IN AUTOMATICOMATICO DA QUADRO</t>
  </si>
  <si>
    <t>1026.2</t>
  </si>
  <si>
    <t>QVE2 -V3 DX IN MARCIA DIR. SUD</t>
  </si>
  <si>
    <t>1026.3</t>
  </si>
  <si>
    <t>QVE2 -V3 DX CONTATTORE BY-PASS AVVIATORE</t>
  </si>
  <si>
    <t>1026.4</t>
  </si>
  <si>
    <t>QVE2 -INTERRUTTORE V3 SXALLARME SOFTSTART/DIFFERENZIALE</t>
  </si>
  <si>
    <t>1026.5</t>
  </si>
  <si>
    <t>QVE2 -V3 SX IN MARCIA DIR. NORD</t>
  </si>
  <si>
    <t>1026.6</t>
  </si>
  <si>
    <t>QVE2 -SELETTORE V3 SX IN AUTOMATICOMATICO DA QUADRO</t>
  </si>
  <si>
    <t>1026.7</t>
  </si>
  <si>
    <t>QVE2 -V3 SX IN MARCIA DIR. SUD</t>
  </si>
  <si>
    <t>1026.8</t>
  </si>
  <si>
    <t>QVE2 -V3 SX CONTATTORE BY-PASS AVVIATORE</t>
  </si>
  <si>
    <t>1026.9</t>
  </si>
  <si>
    <t>QVE2 -ERRORE DI COMUNICAZIONE CON RIO</t>
  </si>
  <si>
    <t>UPS</t>
  </si>
  <si>
    <t>UPS 80kVA</t>
  </si>
  <si>
    <t>1026.10</t>
  </si>
  <si>
    <t>UPS80 -MANCA RETE</t>
  </si>
  <si>
    <t>1026.11</t>
  </si>
  <si>
    <t>UPS80 -BATTERIA SCARICA</t>
  </si>
  <si>
    <t>1026.12</t>
  </si>
  <si>
    <t>UPS80 -ALLARME</t>
  </si>
  <si>
    <t>UPS1 40kVA</t>
  </si>
  <si>
    <t>1026.13</t>
  </si>
  <si>
    <t>UPS120_1 -MANCA RETE</t>
  </si>
  <si>
    <t>1026.14</t>
  </si>
  <si>
    <t>UPS120_1 -BATTERIA SCARICA</t>
  </si>
  <si>
    <t>1026.15</t>
  </si>
  <si>
    <t>UPS120_1 -ALLARME</t>
  </si>
  <si>
    <t>UPS2 40kVA</t>
  </si>
  <si>
    <t>1027.0</t>
  </si>
  <si>
    <t>UPS120_2 -MANCA RETE</t>
  </si>
  <si>
    <t>1027.1</t>
  </si>
  <si>
    <t>UPS120_2 -BATTERIA SCARICA</t>
  </si>
  <si>
    <t>1027.2</t>
  </si>
  <si>
    <t>UPS120_2 -ALLARME</t>
  </si>
  <si>
    <t>UPS3 40kVA</t>
  </si>
  <si>
    <t>1027.3</t>
  </si>
  <si>
    <t>UPS120_3 -MANCA RETE</t>
  </si>
  <si>
    <t>1027.4</t>
  </si>
  <si>
    <t>UPS120_3 -BATTERIA SCARICA</t>
  </si>
  <si>
    <t>1027.5</t>
  </si>
  <si>
    <t>UPS120_3 -ALLARME</t>
  </si>
  <si>
    <t>CABINA MURGE</t>
  </si>
  <si>
    <t>QILL_MURGE</t>
  </si>
  <si>
    <t>1027.6</t>
  </si>
  <si>
    <t>QILL_MURGE -INTERRUTTORE GENERALE QUADRO CHIUSO</t>
  </si>
  <si>
    <t>1027.7</t>
  </si>
  <si>
    <t>QILL_MURGE -INTERRUTTORE GENERALE QUADRO SCATTATO</t>
  </si>
  <si>
    <t>1027.8</t>
  </si>
  <si>
    <t>QILL_MURGE -LIMITATORE DI SOVRATENSIONE INTERVENUTO SEZ. NORMALE</t>
  </si>
  <si>
    <t>1027.9</t>
  </si>
  <si>
    <t>QILL_MURGE -INTERRUTTORE UPS CHIUSO</t>
  </si>
  <si>
    <t>1027.10</t>
  </si>
  <si>
    <t>QILL_MURGE -INTERRUTTORE UPS SCATTATO</t>
  </si>
  <si>
    <t>1027.11</t>
  </si>
  <si>
    <t>QILL_MURGE -INTERRUTTORE ILLUMINAZIONE RINFORZO R1-DX CHIUSO</t>
  </si>
  <si>
    <t>1027.12</t>
  </si>
  <si>
    <t>QILL_MURGE -INTERRUTTORE ILLUMINAZIONE RINFORZO R1-DX SCATTATO</t>
  </si>
  <si>
    <t>1027.13</t>
  </si>
  <si>
    <t>QILL_MURGE -INTERRUTTORE ILLUMINAZIONE RINFORZO R2-DX CHIUSO</t>
  </si>
  <si>
    <t>1027.14</t>
  </si>
  <si>
    <t>QILL_MURGE -INTERRUTTORE ILLUMINAZIONE RINFORZO R2-DX SCATTATO</t>
  </si>
  <si>
    <t>1027.15</t>
  </si>
  <si>
    <t>QILL_MURGE -INTERRUTTORE ILLUMINAZIONE RINFORZO R1-SX CHIUSO</t>
  </si>
  <si>
    <t>1028.0</t>
  </si>
  <si>
    <t>QILL_MURGE -INTERRUTTORE ILLUMINAZIONE RINFORZO R1-SX SCATTATO</t>
  </si>
  <si>
    <t>1028.1</t>
  </si>
  <si>
    <t>QILL_MURGE -INTERRUTTORE ILLUMINAZIONE RINFORZO R2-SX CHIUSO</t>
  </si>
  <si>
    <t>1028.2</t>
  </si>
  <si>
    <t>QILL_MURGE -INTERRUTTORE ILLUMINAZIONE RINFORZO R2-SX SCATTATO</t>
  </si>
  <si>
    <t>1028.3</t>
  </si>
  <si>
    <t>QILL_MURGE -INTERRUTTORE PMV DIR. SUD CHIUSO</t>
  </si>
  <si>
    <t>1028.4</t>
  </si>
  <si>
    <t>QILL_MURGE -INTERRUTTORE PMV DIR. SUD SCATTATO</t>
  </si>
  <si>
    <t>1028.5</t>
  </si>
  <si>
    <t>QILL_MURGE -INTERRUTTORE CCL PMV ITINERE CHIUSO</t>
  </si>
  <si>
    <t>1028.6</t>
  </si>
  <si>
    <t>QILL_MURGE -INTERRUTTORE CCL PMV ITINERE SCATTATO</t>
  </si>
  <si>
    <t>1028.7</t>
  </si>
  <si>
    <t>QILL_MURGE -INTERRUTTORE ILLUMINAZIONE EMERGENZA E1 CHIUSO</t>
  </si>
  <si>
    <t>1028.8</t>
  </si>
  <si>
    <t>QILL_MURGE -INTERRUTTORE ILLUMINAZIONE EMERGENZA E1 SCATTATO</t>
  </si>
  <si>
    <t>1028.9</t>
  </si>
  <si>
    <t>QILL_MURGE -INTERRUTTORE ILLUMINAZIONE EMERGENZA E2 CHIUSO</t>
  </si>
  <si>
    <t>1028.10</t>
  </si>
  <si>
    <t>QILL_MURGE -INTERRUTTORE ILLUMINAZIONE EMERGENZA E2 SCATTATO</t>
  </si>
  <si>
    <t>1028.11</t>
  </si>
  <si>
    <t>QILL_MURGE -CONTATTORE ILLUMINAZIONE R1-DX CHIUSO</t>
  </si>
  <si>
    <t>2K2</t>
  </si>
  <si>
    <t>1028.12</t>
  </si>
  <si>
    <t>QILL_MURGE -CONTATTORE ILLUMINAZIONE R2-DX CHIUSO</t>
  </si>
  <si>
    <t>1028.13</t>
  </si>
  <si>
    <t>QILL_MURGE -SELETTORE ILLUMINAZIONE R1-DX IN AUTOMATICO</t>
  </si>
  <si>
    <t>2S2</t>
  </si>
  <si>
    <t>1028.14</t>
  </si>
  <si>
    <t>QILL_MURGE -SELETTORE ILLUMINAZIONE R2-DX IN AUTOMATICO</t>
  </si>
  <si>
    <t>1028.15</t>
  </si>
  <si>
    <t>QILL_MURGE -CONTATTORE ILLUMINAZIONE R1-SX CHIUSO</t>
  </si>
  <si>
    <t>1029.0</t>
  </si>
  <si>
    <t>QILL_MURGE -CONTATTORE ILLUMINAZIONE R2-SX CHIUSO</t>
  </si>
  <si>
    <t>1029.1</t>
  </si>
  <si>
    <t>QILL_MURGE -SELETTORE ILLUMINAZIONE R1-SX IN AUTOMATICO</t>
  </si>
  <si>
    <t>3S2</t>
  </si>
  <si>
    <t>1029.2</t>
  </si>
  <si>
    <t>QILL_MURGE -SELETTORE ILLUMINAZIONE R2-SX IN AUTOMATICO</t>
  </si>
  <si>
    <t>1029.3</t>
  </si>
  <si>
    <t>Qill MURGE -ERRORE DI COMUNICAZIONE CON RIO</t>
  </si>
  <si>
    <t>QUADRO ESTERNO SVINCOLO SUD</t>
  </si>
  <si>
    <t>QILL_SV_SUD</t>
  </si>
  <si>
    <t>1029.4</t>
  </si>
  <si>
    <t>QILL_SV_SUD -SEZIONATORE GENERALE QUADRO CHIUSO</t>
  </si>
  <si>
    <t>1029.5</t>
  </si>
  <si>
    <t>QILL_SV_SUD -INTERRUTTORE AUX QUADRO CHIUSO</t>
  </si>
  <si>
    <t>1029.6</t>
  </si>
  <si>
    <t>QILL_SV_SUD -INTERRUTTORE AUX QUADRO SCATTATO</t>
  </si>
  <si>
    <t>1029.7</t>
  </si>
  <si>
    <t>QILL_SV_SUD -INTERRUTTORE PMV CHIUSO</t>
  </si>
  <si>
    <t>1029.8</t>
  </si>
  <si>
    <t>QILL_SV_SUD -INTERRUTTORE PMV SCATTATO</t>
  </si>
  <si>
    <t>1029.9</t>
  </si>
  <si>
    <t>QILL_SV_SUD -INTERRUTTORE ILLUMINAZIONE CIRCUITO 1 CHIUSO</t>
  </si>
  <si>
    <t>1029.10</t>
  </si>
  <si>
    <t>QILL_SV_SUD -INTERRUTTORE ILLUMINAZIONE CIRCUITO 1 SCATTATO</t>
  </si>
  <si>
    <t>1029.11</t>
  </si>
  <si>
    <t>QILL_SV_SUD -INTERRUTTORE ILLUMINAZIONE CIRCUITO 2 CHIUSO</t>
  </si>
  <si>
    <t>1029.12</t>
  </si>
  <si>
    <t>QILL_SV_SUD -INTERRUTTORE ILLUMINAZIONE CIRCUITO 2 SCATTATO</t>
  </si>
  <si>
    <t>1029.13</t>
  </si>
  <si>
    <t>QILL_SV_SUD -CONTATTORE CIRCUITO 1 CHIUSO</t>
  </si>
  <si>
    <t>1029.14</t>
  </si>
  <si>
    <t>QILL_SV_SUD -CONTATTORE CIRCUITO 2 CHIUSO</t>
  </si>
  <si>
    <t>1029.15</t>
  </si>
  <si>
    <t>QILL_SV_SUD -SELETTORE CIRCUITO 1 IN AUTOMATICO</t>
  </si>
  <si>
    <t>1030.0</t>
  </si>
  <si>
    <t>QILL_SV_SUD -SELETTORE CIRCUITO 2 IN AUTOMATICO</t>
  </si>
  <si>
    <t>1030.1</t>
  </si>
  <si>
    <t>QILL_SV_SUD -ERRORE DI COMUNICAZIONE CON RIO</t>
  </si>
  <si>
    <t>GALLERIA SAN GIULIANO</t>
  </si>
  <si>
    <t>QACC1_SG</t>
  </si>
  <si>
    <t>1030.2</t>
  </si>
  <si>
    <t>QACC1_SG -SEZIONATORE GENERALE QUADRO CHIUSO</t>
  </si>
  <si>
    <t>1RPT1</t>
  </si>
  <si>
    <t>1030.3</t>
  </si>
  <si>
    <t>QACC1_SG -PRESENZA RETE QUADRO</t>
  </si>
  <si>
    <t>1030.4</t>
  </si>
  <si>
    <t>QACC1_SG -INTERRUTTORE VENTILATORE PRESSURIZZAZIONE CHIUSO</t>
  </si>
  <si>
    <t>1030.5</t>
  </si>
  <si>
    <t>QACC1_SG -INTERRUTTORE VENTILATORE PRESSURIZZAZIONE SCATTATO</t>
  </si>
  <si>
    <t>1030.6</t>
  </si>
  <si>
    <t>QACC1_SG -INTERRUTTORE TRAFO AUX CHIUSO</t>
  </si>
  <si>
    <t>1030.7</t>
  </si>
  <si>
    <t>QACC1_SG -INTERRUTTORE TRAFO AUX SCATTATO</t>
  </si>
  <si>
    <t>1030.8</t>
  </si>
  <si>
    <t>QACC1_SG -INTERRUTTORE QUADRO ASCENSORE CHIUSO</t>
  </si>
  <si>
    <t>1030.9</t>
  </si>
  <si>
    <t>QACC1_SG -INTERRUTTORE QUADRO ASCENSORE SCATTATO</t>
  </si>
  <si>
    <t>1030.10</t>
  </si>
  <si>
    <t>QACC1_SG -INTERRUTTORE QUADRO SERVOSCALA CHIUSO</t>
  </si>
  <si>
    <t>1030.11</t>
  </si>
  <si>
    <t>QACC1_SG -INTERRUTTORE QUADRO SERVOSCALA SCATTATO</t>
  </si>
  <si>
    <t>1030.12</t>
  </si>
  <si>
    <t>QACC1_SG -INTERRUTTORE SERRANDA TAGLIAFUOCO CHIUSO</t>
  </si>
  <si>
    <t>1030.13</t>
  </si>
  <si>
    <t>QACC1_SG -INTERRUTTORE SERRANDA TAGLIAFUOCO SCATTATO</t>
  </si>
  <si>
    <t>1030.14</t>
  </si>
  <si>
    <t>QACC1_SG -INTERRUTTORE LUCE E LUCE EMG CHIUSO</t>
  </si>
  <si>
    <t>1030.15</t>
  </si>
  <si>
    <t>QACC1_SG -INTERRUTTORE LUCE E LUCE EMG SCATTATO</t>
  </si>
  <si>
    <t>1031.0</t>
  </si>
  <si>
    <t>QACC1_SG -INTERRUTTORE SEGN. LUMINOSO CHIUSO</t>
  </si>
  <si>
    <t>1031.1</t>
  </si>
  <si>
    <t>QACC1_SG -INTERRUTTORE SEGN. LUMINOSO SCATTATO</t>
  </si>
  <si>
    <t>1031.2</t>
  </si>
  <si>
    <t>QACC1_SG -ERRORE DI COMUNICAZIONE CON RIO</t>
  </si>
  <si>
    <t>QACC2_SG</t>
  </si>
  <si>
    <t>1031.3</t>
  </si>
  <si>
    <t>QACC2_SG -SEZIONATORE GENERALE QUADRO CHIUSO</t>
  </si>
  <si>
    <t>RELE' PRESENZA TENSIONE</t>
  </si>
  <si>
    <t>1031.4</t>
  </si>
  <si>
    <t>QACC2_SG -PRESENZA RETE QUADRO</t>
  </si>
  <si>
    <t>1031.5</t>
  </si>
  <si>
    <t>QACC2_SG -INTERRUTTORE VENTILATORE PRESSURIZZAZIONE CHIUSO</t>
  </si>
  <si>
    <t>1031.6</t>
  </si>
  <si>
    <t>QACC2_SG -INTERRUTTORE VENTILATORE PRESSURIZZAZIONE SCATTATO</t>
  </si>
  <si>
    <t>1031.7</t>
  </si>
  <si>
    <t>QACC2_SG -INTERRUTTORE TRAFO AUX CHIUSO</t>
  </si>
  <si>
    <t>1031.8</t>
  </si>
  <si>
    <t>QACC2_SG -INTERRUTTORE TRAFO AUX SCATTATO</t>
  </si>
  <si>
    <t>1031.9</t>
  </si>
  <si>
    <t>QACC2_SG -INTERRUTTORE QUADRO ASCENSORE CHIUSO</t>
  </si>
  <si>
    <t>1031.10</t>
  </si>
  <si>
    <t>QACC2_SG -INTERRUTTORE QUADRO ASCENSORE SCATTATO</t>
  </si>
  <si>
    <t>1031.11</t>
  </si>
  <si>
    <t>QACC2_SG -INTERRUTTORE QUADRO SERVOSCALA CHIUSO</t>
  </si>
  <si>
    <t>1031.12</t>
  </si>
  <si>
    <t>QACC2_SG -INTERRUTTORE QUADRO SERVOSCALA SCATTATO</t>
  </si>
  <si>
    <t>1031.13</t>
  </si>
  <si>
    <t>QACC2_SG -INTERRUTTORE ARMADIO SOS CHIUSO</t>
  </si>
  <si>
    <t>1031.14</t>
  </si>
  <si>
    <t>QACC2_SG -INTERRUTTORE ARMADIO SOS SCATTATO</t>
  </si>
  <si>
    <t>1031.15</t>
  </si>
  <si>
    <t>QACC2_SG -INTERRUTTORE SERRANDA TAGLIAFUOCO CHIUSO</t>
  </si>
  <si>
    <t>1032.0</t>
  </si>
  <si>
    <t>QACC2_SG -INTERRUTTORE SERRANDA TAGLIAFUOCO SCATTATO</t>
  </si>
  <si>
    <t>1032.1</t>
  </si>
  <si>
    <t>QACC2_SG -INTERRUTTORE LUCE E LUCE EMG CHIUSO</t>
  </si>
  <si>
    <t>1032.2</t>
  </si>
  <si>
    <t>QACC2_SG -INTERRUTTORE LUCE E LUCE EMG SCATTATO</t>
  </si>
  <si>
    <t>1032.3</t>
  </si>
  <si>
    <t>QACC2_SG -INTERRUTTORE SEGN. LUMINOSO CHIUSO</t>
  </si>
  <si>
    <t>1032.4</t>
  </si>
  <si>
    <t>QACC2_SG -INTERRUTTORE SEGN. LUMINOSO SCATTATO</t>
  </si>
  <si>
    <t>1032.5</t>
  </si>
  <si>
    <t>QACC2_SG -ERRORE DI COMUNICAZIONE CON RIO</t>
  </si>
  <si>
    <t>QACC3_SG</t>
  </si>
  <si>
    <t>1032.6</t>
  </si>
  <si>
    <t>QACC3_SG -SEZIONATORE GENERALE QUADRO CHIUSO</t>
  </si>
  <si>
    <t>1032.7</t>
  </si>
  <si>
    <t>QACC3_SG -PRESENZA RETE QUADRO</t>
  </si>
  <si>
    <t>1032.8</t>
  </si>
  <si>
    <t>QACC3_SG -INTERRUTTORE TRAFO AUX CHIUSO</t>
  </si>
  <si>
    <t>1032.9</t>
  </si>
  <si>
    <t>QACC3_SG -INTERRUTTORE TRAFO AUX SCATTATO</t>
  </si>
  <si>
    <t>1032.10</t>
  </si>
  <si>
    <t>QACC3_SG -INTERRUTTORE LUCE E LUCE EMG CHIUSO</t>
  </si>
  <si>
    <t>1032.11</t>
  </si>
  <si>
    <t>QACC3_SG -INTERRUTTORE LUCE E LUCE EMG SCATTATO</t>
  </si>
  <si>
    <t>1032.12</t>
  </si>
  <si>
    <t>QACC3_SG -INTERRUTTORE SEGN. LUMINOSO CHIUSO</t>
  </si>
  <si>
    <t>1032.13</t>
  </si>
  <si>
    <t>QACC3_SG -INTERRUTTORE SEGN. LUMINOSO SCATTATO</t>
  </si>
  <si>
    <t>1032.14</t>
  </si>
  <si>
    <t>QACC3_SG -ERRORE DI COMUNICAZIONE CON RIO</t>
  </si>
  <si>
    <t>QPIAZZ_SG</t>
  </si>
  <si>
    <t>1032.15</t>
  </si>
  <si>
    <t>QPIAZZ_SG -SEZIONATORE GENERALE QUADRO CHIUSO</t>
  </si>
  <si>
    <t>1033.0</t>
  </si>
  <si>
    <t>QPIAZZ_SG -PRESENZA RETE QUADRO</t>
  </si>
  <si>
    <t>1033.1</t>
  </si>
  <si>
    <t>QPIAZZ_SG -INTERRUTTORE VENTILATORE PRESSURIZZAZIONE CHIUSO</t>
  </si>
  <si>
    <t>1033.2</t>
  </si>
  <si>
    <t>QPIAZZ_SG -INTERRUTTORE VENTILATORE PRESSURIZZAZIONE SCATTATO</t>
  </si>
  <si>
    <t>1033.3</t>
  </si>
  <si>
    <t>QPIAZZ_SG -INTERRUTTORE TR1 400Vac/230Vac CHIUSO</t>
  </si>
  <si>
    <t>1033.4</t>
  </si>
  <si>
    <t>QPIAZZ_SG -INTERRUTTORE TR1 400Vac/230Vac SCATTATO</t>
  </si>
  <si>
    <t>1033.5</t>
  </si>
  <si>
    <t>QPIAZZ_SG -INTERRUTTORE QUADRO ELEVATORE CHIUSO</t>
  </si>
  <si>
    <t>1033.6</t>
  </si>
  <si>
    <t>QPIAZZ_SG -INTERRUTTORE QUADRO ELEVATORE SCATTATO</t>
  </si>
  <si>
    <t>1033.7</t>
  </si>
  <si>
    <t>QPIAZZ_SG -INTERRUTTORE QUADRO SERVOSCALA P2 CHIUSO</t>
  </si>
  <si>
    <t>1033.8</t>
  </si>
  <si>
    <t>QPIAZZ_SG -INTERRUTTORE QUADRO SERVOSCALA P2 SCATTATO</t>
  </si>
  <si>
    <t>1033.9</t>
  </si>
  <si>
    <t>QPIAZZ_SG -INTERRUTTORE CO-OP VIA ESODO SOSPESA CHIUSO</t>
  </si>
  <si>
    <t>1033.10</t>
  </si>
  <si>
    <t>QPIAZZ_SG -INTERRUTTORE CO-OP VIA ESODO SOSPESA SCATTATO</t>
  </si>
  <si>
    <t>1033.11</t>
  </si>
  <si>
    <t>QPIAZZ_SG -INTERRUTTORE ANEMOMETRO VIA ESODO SOSPESA CHIUSO</t>
  </si>
  <si>
    <t>1033.12</t>
  </si>
  <si>
    <t>QPIAZZ_SG -INTERRUTTORE ANEMOMETRO VIA ESODO SOSPESA SCATTATO</t>
  </si>
  <si>
    <t>1033.13</t>
  </si>
  <si>
    <t>QPIAZZ_SG -INTERRUTTORE SOS PIAZZOLA CHIUSO</t>
  </si>
  <si>
    <t>1033.14</t>
  </si>
  <si>
    <t>QPIAZZ_SG -INTERRUTTORE SOS PIAZZOLA SCATTATO</t>
  </si>
  <si>
    <t>1033.15</t>
  </si>
  <si>
    <t>QPIAZZ_SG -INTERRUTTORE SERRANDA TAGLIAFUOCO CHIUSO</t>
  </si>
  <si>
    <t>1034.0</t>
  </si>
  <si>
    <t>QPIAZZ_SG -INTERRUTTORE SERRANDA TAGLIAFUOCO SCATTATO</t>
  </si>
  <si>
    <t>1034.1</t>
  </si>
  <si>
    <t>QPIAZZ_SG -INTERRUTTORE LUCE E LUCE EMG CHIUSO</t>
  </si>
  <si>
    <t>1034.2</t>
  </si>
  <si>
    <t>QPIAZZ_SG -INTERRUTTORE LUCE E LUCE EMG SCATTATO</t>
  </si>
  <si>
    <t>1034.3</t>
  </si>
  <si>
    <t>QPIAZZ_SG -INTERRUTTORE SEGNALE LUMINOSO CHIUSO</t>
  </si>
  <si>
    <t>1034.4</t>
  </si>
  <si>
    <t>QPIAZZ_SG -INTERRUTTORE SEGNALE LUMINOSO SCATTATO</t>
  </si>
  <si>
    <t>1034.5</t>
  </si>
  <si>
    <t>QPIAZZ_SG -ERRORE DI COMUNICAZIONE CON RIO</t>
  </si>
  <si>
    <t>GALLERIA CASOLA</t>
  </si>
  <si>
    <t>QACC1_CA</t>
  </si>
  <si>
    <t>1034.6</t>
  </si>
  <si>
    <t>QACC1_CA -SEZIONATORE GENERALE QUADRO CHIUSO</t>
  </si>
  <si>
    <t>1034.7</t>
  </si>
  <si>
    <t>QACC1_CA -PRESENZA RETE QUADRO</t>
  </si>
  <si>
    <t>1034.8</t>
  </si>
  <si>
    <t>QACC1_CA -INTERRUTTORE VENTILATORE PRESSURIZZAZIONE CHIUSO</t>
  </si>
  <si>
    <t>1034.9</t>
  </si>
  <si>
    <t>QACC1_CA -INTERRUTTORE VENTILATORE PRESSURIZZAZIONE SCATTATO</t>
  </si>
  <si>
    <t>1034.10</t>
  </si>
  <si>
    <t>QACC1_CA -INTERRUTTORE TR1 400Vac/230Vac CHIUSO</t>
  </si>
  <si>
    <t>1034.11</t>
  </si>
  <si>
    <t>QACC1_CA -INTERRUTTORE TR1 400Vac/230Vac SCATTATO</t>
  </si>
  <si>
    <t>1034.12</t>
  </si>
  <si>
    <t>QACC1_CA -INTERRUTTORE QUADRO ELEVATORE CHIUSO</t>
  </si>
  <si>
    <t>1034.13</t>
  </si>
  <si>
    <t>QACC1_CA -INTERRUTTORE QUADRO ELEVATORE SCATTATO</t>
  </si>
  <si>
    <t>1034.14</t>
  </si>
  <si>
    <t>QACC1_CA -INTERRUTTORE QUADRO SERVOSCALA CHIUSO</t>
  </si>
  <si>
    <t>1034.15</t>
  </si>
  <si>
    <t>QACC1_CA -INTERRUTTORE QUADRO SERVOSCALA SCATTATO</t>
  </si>
  <si>
    <t>1035.0</t>
  </si>
  <si>
    <t>QACC1_CA -INTERRUTTORE SOS ACCESSO 1 CHIUSO</t>
  </si>
  <si>
    <t>1035.1</t>
  </si>
  <si>
    <t>QACC1_CA -INTERRUTTORE SOS ACCESSO 1 SCATTATO</t>
  </si>
  <si>
    <t>1035.2</t>
  </si>
  <si>
    <t>QACC1_CA -INTERRUTTORE SERRANDA TAGLIAFUOCO CHIUSO</t>
  </si>
  <si>
    <t>1035.3</t>
  </si>
  <si>
    <t>QACC1_CA -INTERRUTTORE SERRANDA TAGLIAFUOCO SCATTATO</t>
  </si>
  <si>
    <t>1035.4</t>
  </si>
  <si>
    <t>QACC1_CA -INTERRUTTORE LUCE E LUCE EMG CHIUSO</t>
  </si>
  <si>
    <t>1035.5</t>
  </si>
  <si>
    <t>QACC1_CA -INTERRUTTORE LUCE E LUCE EMG SCATTATO</t>
  </si>
  <si>
    <t>1035.6</t>
  </si>
  <si>
    <t>QACC1_CA -INTERRUTTORE SEGN. LUMINOSO CHIUSO</t>
  </si>
  <si>
    <t>1035.7</t>
  </si>
  <si>
    <t>QACC1_CA -INTERRUTTORE SEGN. LUMINOSO SCATTATO</t>
  </si>
  <si>
    <t>1035.8</t>
  </si>
  <si>
    <t>QACC1_CA -ERRORE DI COMUNICAZIONE CON RIO</t>
  </si>
  <si>
    <t>QPIAZZ_CA</t>
  </si>
  <si>
    <t>1035.9</t>
  </si>
  <si>
    <t>QPIAZZ_CA -SEZIONATORE GENERALE QUADRO CHIUSO</t>
  </si>
  <si>
    <t>1035.10</t>
  </si>
  <si>
    <t>QPIAZZ_CA -PRESENZA RETE QUADRO</t>
  </si>
  <si>
    <t>1035.11</t>
  </si>
  <si>
    <t>QPIAZZ_CA -INTERRUTTORE VENTILATORE PRESSURIZZAZIONE CHIUSO</t>
  </si>
  <si>
    <t>1035.12</t>
  </si>
  <si>
    <t>QPIAZZ_CA -INTERRUTTORE VENTILATORE PRESSURIZZAZIONE SCATTATO</t>
  </si>
  <si>
    <t>1035.13</t>
  </si>
  <si>
    <t>QPIAZZ_CA -INTERRUTTORE TR1 400Vac/230Vac CHIUSO</t>
  </si>
  <si>
    <t>1035.14</t>
  </si>
  <si>
    <t>QPIAZZ_CA -INTERRUTTORE TR1 400Vac/230Vac SCATTATO</t>
  </si>
  <si>
    <t>1035.15</t>
  </si>
  <si>
    <t>QPIAZZ_CA -INTERRUTTORE QUADRO ELEVATORE CHIUSO</t>
  </si>
  <si>
    <t>1036.0</t>
  </si>
  <si>
    <t>QPIAZZ_CA -INTERRUTTORE QUADRO ELEVATORE SCATTATO</t>
  </si>
  <si>
    <t>1036.1</t>
  </si>
  <si>
    <t>QPIAZZ_CA -INTERRUTTORE QUADRO SERVOSCALA P2 CHIUSO</t>
  </si>
  <si>
    <t>1036.2</t>
  </si>
  <si>
    <t>QPIAZZ_CA -INTERRUTTORE QUADRO SERVOSCALA P2 SCATTATO</t>
  </si>
  <si>
    <t>1036.3</t>
  </si>
  <si>
    <t>QPIAZZ_CA -INTERRUTTORE CO-OP VIA ESODO SOSPESA CHIUSO</t>
  </si>
  <si>
    <t>1036.4</t>
  </si>
  <si>
    <t>QPIAZZ_CA -INTERRUTTORE CO-OP VIA ESODO SOSPESA SCATTATO</t>
  </si>
  <si>
    <t>1036.5</t>
  </si>
  <si>
    <t>QPIAZZ_CA -INTERRUTTORE ANEMOMETRO VIA ESODO SOSPESA CHIUSO</t>
  </si>
  <si>
    <t>1036.6</t>
  </si>
  <si>
    <t>QPIAZZ_CA -INTERRUTTORE ANEMOMETRO VIA ESODO SOSPESA SCATTATO</t>
  </si>
  <si>
    <t>1036.7</t>
  </si>
  <si>
    <t>QPIAZZ_CA -INTERRUTTORE SOS PIAZZOLA CHIUSO</t>
  </si>
  <si>
    <t>1036.8</t>
  </si>
  <si>
    <t>QPIAZZ_CA -INTERRUTTORE SOS PIAZZOLA SCATTATO</t>
  </si>
  <si>
    <t>1036.9</t>
  </si>
  <si>
    <t>QPIAZZ_CA -INTERRUTTORE SERRANDA TAGLIAFUOCO CHIUSO</t>
  </si>
  <si>
    <t>1036.10</t>
  </si>
  <si>
    <t>QPIAZZ_CA -INTERRUTTORE SERRANDA TAGLIAFUOCO SCATTATO</t>
  </si>
  <si>
    <t>1036.11</t>
  </si>
  <si>
    <t>QPIAZZ_CA -INTERRUTTORE LUCE E LUCE EMG CHIUSO</t>
  </si>
  <si>
    <t>1036.12</t>
  </si>
  <si>
    <t>QPIAZZ_CA -INTERRUTTORE LUCE E LUCE EMG SCATTATO</t>
  </si>
  <si>
    <t>1036.13</t>
  </si>
  <si>
    <t>QPIAZZ_CA -INTERRUTTORE SEGNALE LUMINOSO CHIUSO</t>
  </si>
  <si>
    <t>1036.14</t>
  </si>
  <si>
    <t>QPIAZZ_CA -INTERRUTTORE SEGNALE LUMINOSO SCATTATO</t>
  </si>
  <si>
    <t>1036.15</t>
  </si>
  <si>
    <t>QPIAZZ_CA -ERRORE DI COMUNICAZIONE CON RIO</t>
  </si>
  <si>
    <t>POWER METER</t>
  </si>
  <si>
    <t>1AN1</t>
  </si>
  <si>
    <t>REAL</t>
  </si>
  <si>
    <t>QGBT1 -CORRENTE I1</t>
  </si>
  <si>
    <t>QGBT1 -CORRENTE I2</t>
  </si>
  <si>
    <t>QGBT1 -CORRENTE I3</t>
  </si>
  <si>
    <t>QGBT1 -CORRENTE IN</t>
  </si>
  <si>
    <t>QGBT1 -TENSIONE U12</t>
  </si>
  <si>
    <t>QGBT1 -TENSIONE U23</t>
  </si>
  <si>
    <t>QGBT1 -TENSIONE U31</t>
  </si>
  <si>
    <t>QGBT1 -CORRENTE I_AVG</t>
  </si>
  <si>
    <t>QGBT1 -TENSIONE LL_AVG</t>
  </si>
  <si>
    <t>QGBT1 -TENSIONE LN_AVG</t>
  </si>
  <si>
    <t>QGBT1 -POTENZA ATTIVA P</t>
  </si>
  <si>
    <t>QGBT1 -POTENZA REATTIVA Q</t>
  </si>
  <si>
    <t>QGBT1 -POTENZA APPARENTE S</t>
  </si>
  <si>
    <t>QGBT1 -FATTORE POTENZA Cosfì</t>
  </si>
  <si>
    <t>QGBT1 -FREQUENZA F</t>
  </si>
  <si>
    <t>1037.0</t>
  </si>
  <si>
    <t>QGBT1 -ERRORE COMUNICAZIONE PM 1AN1</t>
  </si>
  <si>
    <t>2AN1</t>
  </si>
  <si>
    <t>1037.1</t>
  </si>
  <si>
    <t>QGBT1 -ERRORE COMUNICAZIONE PM 2AN1</t>
  </si>
  <si>
    <t>QGBT2 -CORRENTE I1</t>
  </si>
  <si>
    <t>QGBT2 -CORRENTE I2</t>
  </si>
  <si>
    <t>QGBT2 -CORRENTE I3</t>
  </si>
  <si>
    <t>QGBT2 -CORRENTE IN</t>
  </si>
  <si>
    <t>QGBT2 -TENSIONE U12</t>
  </si>
  <si>
    <t>QGBT2 -TENSIONE U23</t>
  </si>
  <si>
    <t>QGBT2 -TENSIONE U31</t>
  </si>
  <si>
    <t>QGBT2 -CORRENTE I_AVG</t>
  </si>
  <si>
    <t>QGBT2 -TENSIONE LL_AVG</t>
  </si>
  <si>
    <t>QGBT2 -TENSIONE LN_AVG</t>
  </si>
  <si>
    <t>QGBT2 -POTENZA ATTIVA P</t>
  </si>
  <si>
    <t>QGBT2 -POTENZA REATTIVA Q</t>
  </si>
  <si>
    <t>QGBT2 -POTENZA APPARENTE S</t>
  </si>
  <si>
    <t>QGBT2 -FATTORE POTENZA Cosfì</t>
  </si>
  <si>
    <t>QGBT2 -FREQUENZA F</t>
  </si>
  <si>
    <t>1037.2</t>
  </si>
  <si>
    <t>QGBT2 -ERRORE COMUNICAZIONE PM 1AN1</t>
  </si>
  <si>
    <t xml:space="preserve"> DA GALLERIA ACCESSO 1</t>
  </si>
  <si>
    <t>PORTE INGRESSO</t>
  </si>
  <si>
    <t>P1</t>
  </si>
  <si>
    <t>1037.3</t>
  </si>
  <si>
    <t>PORTA INGRESSO DA GALLERIA ACCESSO 1 APERTA</t>
  </si>
  <si>
    <t xml:space="preserve"> VIA FUGA ACCESSO 1</t>
  </si>
  <si>
    <t>P2</t>
  </si>
  <si>
    <t>1037.4</t>
  </si>
  <si>
    <t>PORTA INGRESSO VIA FUGA ACCESSO 1 APERTA</t>
  </si>
  <si>
    <t xml:space="preserve"> DA GALLERIA ACCESSO 2</t>
  </si>
  <si>
    <t>1037.5</t>
  </si>
  <si>
    <t>PORTA INGRESSO DA GALLERIA ACCESSO 2 APERTA</t>
  </si>
  <si>
    <t xml:space="preserve"> VIA FUGA ACCESSO 2</t>
  </si>
  <si>
    <t>1037.6</t>
  </si>
  <si>
    <t>PORTA INGRESSO VIA FUGA ACCESSO 2 APERTA</t>
  </si>
  <si>
    <t xml:space="preserve"> DA PIAZZOLA GALLERIA ACCESSO PIAZZOLA</t>
  </si>
  <si>
    <t>1037.7</t>
  </si>
  <si>
    <t>PORTA INGRESSO DA PIAZZOLA GALLERIA ACCESSO PIAZZOLA APERTA</t>
  </si>
  <si>
    <t xml:space="preserve"> VIA FUGA ACCESSO PIAZZOLA</t>
  </si>
  <si>
    <t>1037.8</t>
  </si>
  <si>
    <t>PORTA INGRESSO VIA FUGA ACCESSO PIAZZOLA APERTA</t>
  </si>
  <si>
    <t>PULSANTE CHIAMATA</t>
  </si>
  <si>
    <t>1200.0</t>
  </si>
  <si>
    <t>CHIAMATA 118 EFFETTUATA</t>
  </si>
  <si>
    <t>1200.1</t>
  </si>
  <si>
    <t>CHIAMATA 113 EFFETTUATA</t>
  </si>
  <si>
    <t>1200.2</t>
  </si>
  <si>
    <t>CHIAMATA 115 EFFETTUATA</t>
  </si>
  <si>
    <t>1200.3</t>
  </si>
  <si>
    <t>CHIAMATA SALA CONTROLLO ANAS EFFETTUATA</t>
  </si>
  <si>
    <t>ESTINTORE</t>
  </si>
  <si>
    <t>1200.4</t>
  </si>
  <si>
    <t>ESTINTORE PRELEVATO 1</t>
  </si>
  <si>
    <t>1200.5</t>
  </si>
  <si>
    <t>ESTINTORE PRELEVATO 2</t>
  </si>
  <si>
    <t>PORTA</t>
  </si>
  <si>
    <t>1200.6</t>
  </si>
  <si>
    <t>MANICHETTA PRELEVATA</t>
  </si>
  <si>
    <t>1200.7</t>
  </si>
  <si>
    <t>PORTA TELEFONO VOIP APERTA</t>
  </si>
  <si>
    <t>1200.8</t>
  </si>
  <si>
    <t>PORTA VANO TECNICO APERTA</t>
  </si>
  <si>
    <t>disponibile</t>
  </si>
  <si>
    <t>1200.9</t>
  </si>
  <si>
    <t>1200.10</t>
  </si>
  <si>
    <t>1200.11</t>
  </si>
  <si>
    <t>1200.12</t>
  </si>
  <si>
    <t>1200.13</t>
  </si>
  <si>
    <t>PLC IN STOP</t>
  </si>
  <si>
    <t>1200.14</t>
  </si>
  <si>
    <t>FAULT COMUNICAZIONE ETHERNET</t>
  </si>
  <si>
    <t xml:space="preserve"> </t>
  </si>
  <si>
    <t>1200.15</t>
  </si>
  <si>
    <t>FEEDBACK RESET DA RMT</t>
  </si>
  <si>
    <t>1201.0</t>
  </si>
  <si>
    <t>1201.1</t>
  </si>
  <si>
    <t>1201.2</t>
  </si>
  <si>
    <t>1201.3</t>
  </si>
  <si>
    <t>1201.4</t>
  </si>
  <si>
    <t>1201.5</t>
  </si>
  <si>
    <t>1201.6</t>
  </si>
  <si>
    <t>1201.7</t>
  </si>
  <si>
    <t>1201.8</t>
  </si>
  <si>
    <t>1201.9</t>
  </si>
  <si>
    <t>1201.10</t>
  </si>
  <si>
    <t>1201.11</t>
  </si>
  <si>
    <t>1201.12</t>
  </si>
  <si>
    <t>1201.13</t>
  </si>
  <si>
    <t>1201.14</t>
  </si>
  <si>
    <t>1201.15</t>
  </si>
  <si>
    <t>1202.0</t>
  </si>
  <si>
    <t>1202.1</t>
  </si>
  <si>
    <t>1202.2</t>
  </si>
  <si>
    <t>1202.3</t>
  </si>
  <si>
    <t>1202.4</t>
  </si>
  <si>
    <t>1202.5</t>
  </si>
  <si>
    <t>1202.6</t>
  </si>
  <si>
    <t>1202.7</t>
  </si>
  <si>
    <t>1202.8</t>
  </si>
  <si>
    <t>1202.9</t>
  </si>
  <si>
    <t>1202.10</t>
  </si>
  <si>
    <t>1202.11</t>
  </si>
  <si>
    <t>1202.12</t>
  </si>
  <si>
    <t>1202.13</t>
  </si>
  <si>
    <t>1202.14</t>
  </si>
  <si>
    <t>1202.15</t>
  </si>
  <si>
    <t>1203.0</t>
  </si>
  <si>
    <t>1203.1</t>
  </si>
  <si>
    <t>1203.2</t>
  </si>
  <si>
    <t>1203.3</t>
  </si>
  <si>
    <t>1203.4</t>
  </si>
  <si>
    <t>1203.5</t>
  </si>
  <si>
    <t>1203.6</t>
  </si>
  <si>
    <t>1203.7</t>
  </si>
  <si>
    <t>1203.8</t>
  </si>
  <si>
    <t>1203.9</t>
  </si>
  <si>
    <t>1203.10</t>
  </si>
  <si>
    <t>1203.11</t>
  </si>
  <si>
    <t>1203.12</t>
  </si>
  <si>
    <t>1203.13</t>
  </si>
  <si>
    <t>1203.14</t>
  </si>
  <si>
    <t>1203.15</t>
  </si>
  <si>
    <t>1204.0</t>
  </si>
  <si>
    <t>1204.1</t>
  </si>
  <si>
    <t>1204.2</t>
  </si>
  <si>
    <t>1204.3</t>
  </si>
  <si>
    <t>1204.4</t>
  </si>
  <si>
    <t>1204.5</t>
  </si>
  <si>
    <t>1204.6</t>
  </si>
  <si>
    <t>1204.7</t>
  </si>
  <si>
    <t>1204.8</t>
  </si>
  <si>
    <t>1204.9</t>
  </si>
  <si>
    <t>1204.10</t>
  </si>
  <si>
    <t>1204.11</t>
  </si>
  <si>
    <t>1204.12</t>
  </si>
  <si>
    <t>1204.13</t>
  </si>
  <si>
    <t>1204.14</t>
  </si>
  <si>
    <t>1204.15</t>
  </si>
  <si>
    <t>1205.0</t>
  </si>
  <si>
    <t>1205.1</t>
  </si>
  <si>
    <t>1205.2</t>
  </si>
  <si>
    <t>1205.3</t>
  </si>
  <si>
    <t>1205.4</t>
  </si>
  <si>
    <t>1205.5</t>
  </si>
  <si>
    <t>1205.6</t>
  </si>
  <si>
    <t>1205.7</t>
  </si>
  <si>
    <t>1205.8</t>
  </si>
  <si>
    <t>1205.9</t>
  </si>
  <si>
    <t>1205.10</t>
  </si>
  <si>
    <t>1205.11</t>
  </si>
  <si>
    <t>1205.12</t>
  </si>
  <si>
    <t>1205.13</t>
  </si>
  <si>
    <t>1205.14</t>
  </si>
  <si>
    <t>1205.15</t>
  </si>
  <si>
    <t>1206.0</t>
  </si>
  <si>
    <t>1206.1</t>
  </si>
  <si>
    <t>1206.2</t>
  </si>
  <si>
    <t>1206.3</t>
  </si>
  <si>
    <t>1206.4</t>
  </si>
  <si>
    <t>1206.5</t>
  </si>
  <si>
    <t>1206.6</t>
  </si>
  <si>
    <t>1206.7</t>
  </si>
  <si>
    <t>1206.8</t>
  </si>
  <si>
    <t>1206.9</t>
  </si>
  <si>
    <t>1206.10</t>
  </si>
  <si>
    <t>1206.11</t>
  </si>
  <si>
    <t>1206.12</t>
  </si>
  <si>
    <t>1206.13</t>
  </si>
  <si>
    <t>1206.14</t>
  </si>
  <si>
    <t>1206.15</t>
  </si>
  <si>
    <t>1207.0</t>
  </si>
  <si>
    <t>1207.1</t>
  </si>
  <si>
    <t>1207.2</t>
  </si>
  <si>
    <t>1207.3</t>
  </si>
  <si>
    <t>1207.4</t>
  </si>
  <si>
    <t>1207.5</t>
  </si>
  <si>
    <t>1207.6</t>
  </si>
  <si>
    <t>1207.7</t>
  </si>
  <si>
    <t>1207.8</t>
  </si>
  <si>
    <t>1207.9</t>
  </si>
  <si>
    <t>1207.10</t>
  </si>
  <si>
    <t>1207.11</t>
  </si>
  <si>
    <t>1207.12</t>
  </si>
  <si>
    <t>1207.13</t>
  </si>
  <si>
    <t>1207.14</t>
  </si>
  <si>
    <t>1207.15</t>
  </si>
  <si>
    <t>1208.0</t>
  </si>
  <si>
    <t>1208.1</t>
  </si>
  <si>
    <t>1208.2</t>
  </si>
  <si>
    <t>1208.3</t>
  </si>
  <si>
    <t>1208.4</t>
  </si>
  <si>
    <t>1208.5</t>
  </si>
  <si>
    <t>1208.6</t>
  </si>
  <si>
    <t>1208.7</t>
  </si>
  <si>
    <t>1208.8</t>
  </si>
  <si>
    <t>1208.9</t>
  </si>
  <si>
    <t>1208.10</t>
  </si>
  <si>
    <t>1208.11</t>
  </si>
  <si>
    <t>1208.12</t>
  </si>
  <si>
    <t>1208.13</t>
  </si>
  <si>
    <t>1208.14</t>
  </si>
  <si>
    <t>1208.15</t>
  </si>
  <si>
    <t>1209.0</t>
  </si>
  <si>
    <t>1209.1</t>
  </si>
  <si>
    <t>1209.2</t>
  </si>
  <si>
    <t>1209.3</t>
  </si>
  <si>
    <t>1209.4</t>
  </si>
  <si>
    <t>1209.5</t>
  </si>
  <si>
    <t>1209.6</t>
  </si>
  <si>
    <t>1209.7</t>
  </si>
  <si>
    <t>1209.8</t>
  </si>
  <si>
    <t>1209.9</t>
  </si>
  <si>
    <t>1209.10</t>
  </si>
  <si>
    <t>1209.11</t>
  </si>
  <si>
    <t>1209.12</t>
  </si>
  <si>
    <t>1209.13</t>
  </si>
  <si>
    <t>1209.14</t>
  </si>
  <si>
    <t>1209.15</t>
  </si>
  <si>
    <t>1210.0</t>
  </si>
  <si>
    <t>1210.1</t>
  </si>
  <si>
    <t>1210.2</t>
  </si>
  <si>
    <t>1210.3</t>
  </si>
  <si>
    <t>1210.4</t>
  </si>
  <si>
    <t>1210.5</t>
  </si>
  <si>
    <t>1210.6</t>
  </si>
  <si>
    <t>1210.7</t>
  </si>
  <si>
    <t>1210.8</t>
  </si>
  <si>
    <t>1210.9</t>
  </si>
  <si>
    <t>1210.10</t>
  </si>
  <si>
    <t>1210.11</t>
  </si>
  <si>
    <t>1210.12</t>
  </si>
  <si>
    <t>1210.13</t>
  </si>
  <si>
    <t>1210.14</t>
  </si>
  <si>
    <t>1210.15</t>
  </si>
  <si>
    <t>1211.0</t>
  </si>
  <si>
    <t>1211.1</t>
  </si>
  <si>
    <t>1211.2</t>
  </si>
  <si>
    <t>1211.3</t>
  </si>
  <si>
    <t>1211.4</t>
  </si>
  <si>
    <t>1211.5</t>
  </si>
  <si>
    <t>1211.6</t>
  </si>
  <si>
    <t>1211.7</t>
  </si>
  <si>
    <t>1211.8</t>
  </si>
  <si>
    <t>1211.9</t>
  </si>
  <si>
    <t>1211.10</t>
  </si>
  <si>
    <t>1211.11</t>
  </si>
  <si>
    <t>1211.12</t>
  </si>
  <si>
    <t>1211.13</t>
  </si>
  <si>
    <t>1211.14</t>
  </si>
  <si>
    <t>1211.15</t>
  </si>
  <si>
    <t>SOS ACC1</t>
  </si>
  <si>
    <t>1212.0</t>
  </si>
  <si>
    <t>1212.1</t>
  </si>
  <si>
    <t>1212.2</t>
  </si>
  <si>
    <t>1212.3</t>
  </si>
  <si>
    <t>1212.4</t>
  </si>
  <si>
    <t>1212.5</t>
  </si>
  <si>
    <t>1212.6</t>
  </si>
  <si>
    <t>1212.7</t>
  </si>
  <si>
    <t>1212.8</t>
  </si>
  <si>
    <t>1212.9</t>
  </si>
  <si>
    <t>1212.10</t>
  </si>
  <si>
    <t>1212.11</t>
  </si>
  <si>
    <t>1212.12</t>
  </si>
  <si>
    <t>1212.13</t>
  </si>
  <si>
    <t>1212.14</t>
  </si>
  <si>
    <t>1212.15</t>
  </si>
  <si>
    <t>SOS ACC2</t>
  </si>
  <si>
    <t>1213.0</t>
  </si>
  <si>
    <t>1213.1</t>
  </si>
  <si>
    <t>1213.2</t>
  </si>
  <si>
    <t>1213.3</t>
  </si>
  <si>
    <t>1213.4</t>
  </si>
  <si>
    <t>1213.5</t>
  </si>
  <si>
    <t>1213.6</t>
  </si>
  <si>
    <t>1213.7</t>
  </si>
  <si>
    <t>1213.8</t>
  </si>
  <si>
    <t>1213.9</t>
  </si>
  <si>
    <t>1213.10</t>
  </si>
  <si>
    <t>1213.11</t>
  </si>
  <si>
    <t>1213.12</t>
  </si>
  <si>
    <t>1213.13</t>
  </si>
  <si>
    <t>1213.14</t>
  </si>
  <si>
    <t>1213.15</t>
  </si>
  <si>
    <t>SOS PIAZZ</t>
  </si>
  <si>
    <t>1214.0</t>
  </si>
  <si>
    <t>1214.1</t>
  </si>
  <si>
    <t>1214.2</t>
  </si>
  <si>
    <t>1214.3</t>
  </si>
  <si>
    <t>1214.4</t>
  </si>
  <si>
    <t>1214.5</t>
  </si>
  <si>
    <t>1214.6</t>
  </si>
  <si>
    <t>1214.7</t>
  </si>
  <si>
    <t>1214.8</t>
  </si>
  <si>
    <t>1214.9</t>
  </si>
  <si>
    <t>1214.10</t>
  </si>
  <si>
    <t>1214.11</t>
  </si>
  <si>
    <t>1214.12</t>
  </si>
  <si>
    <t>1214.13</t>
  </si>
  <si>
    <t>1214.14</t>
  </si>
  <si>
    <t>1214.15</t>
  </si>
  <si>
    <t>QRACK</t>
  </si>
  <si>
    <t>SERVER A.I.D.</t>
  </si>
  <si>
    <t>1037.9</t>
  </si>
  <si>
    <t>ERRORE COMUNICAZIONE CON SERVER MODBUS A.I.D.</t>
  </si>
  <si>
    <t>DIREZIONE SUD</t>
  </si>
  <si>
    <t>TELECAMERA</t>
  </si>
  <si>
    <t>T01S</t>
  </si>
  <si>
    <t>1215.0</t>
  </si>
  <si>
    <t>ALLARMI TELECAMERA ESCLUSI</t>
  </si>
  <si>
    <t>1215.1</t>
  </si>
  <si>
    <t>IN MANUTENZIONE ALLARME FUMO</t>
  </si>
  <si>
    <t>1215.2</t>
  </si>
  <si>
    <t>IN MANUTENZIONE ALLARMI TRAFFICO</t>
  </si>
  <si>
    <t>1215.3</t>
  </si>
  <si>
    <t>1215.4</t>
  </si>
  <si>
    <t>1215.5</t>
  </si>
  <si>
    <t>1215.6</t>
  </si>
  <si>
    <t>1215.7</t>
  </si>
  <si>
    <t>1215.8</t>
  </si>
  <si>
    <t>1215.9</t>
  </si>
  <si>
    <t>1215.10</t>
  </si>
  <si>
    <t>1215.11</t>
  </si>
  <si>
    <t>1215.12</t>
  </si>
  <si>
    <t>1215.13</t>
  </si>
  <si>
    <t>1215.14</t>
  </si>
  <si>
    <t>1215.15</t>
  </si>
  <si>
    <t>T02S</t>
  </si>
  <si>
    <t>1216.0</t>
  </si>
  <si>
    <t>1216.1</t>
  </si>
  <si>
    <t>1216.2</t>
  </si>
  <si>
    <t>1216.3</t>
  </si>
  <si>
    <t>1216.4</t>
  </si>
  <si>
    <t>1216.5</t>
  </si>
  <si>
    <t>1216.6</t>
  </si>
  <si>
    <t>1216.7</t>
  </si>
  <si>
    <t>1216.8</t>
  </si>
  <si>
    <t>1216.9</t>
  </si>
  <si>
    <t>1216.10</t>
  </si>
  <si>
    <t>1216.11</t>
  </si>
  <si>
    <t>1216.12</t>
  </si>
  <si>
    <t>1216.13</t>
  </si>
  <si>
    <t>1216.14</t>
  </si>
  <si>
    <t>1216.15</t>
  </si>
  <si>
    <t>T05S</t>
  </si>
  <si>
    <t>1217.0</t>
  </si>
  <si>
    <t>1217.1</t>
  </si>
  <si>
    <t>1217.2</t>
  </si>
  <si>
    <t>1217.3</t>
  </si>
  <si>
    <t>1217.4</t>
  </si>
  <si>
    <t>1217.5</t>
  </si>
  <si>
    <t>1217.6</t>
  </si>
  <si>
    <t>1217.7</t>
  </si>
  <si>
    <t>1217.8</t>
  </si>
  <si>
    <t>1217.9</t>
  </si>
  <si>
    <t>1217.10</t>
  </si>
  <si>
    <t>1217.11</t>
  </si>
  <si>
    <t>1217.12</t>
  </si>
  <si>
    <t>1217.13</t>
  </si>
  <si>
    <t>1217.14</t>
  </si>
  <si>
    <t>1217.15</t>
  </si>
  <si>
    <t>T06S</t>
  </si>
  <si>
    <t>1218.0</t>
  </si>
  <si>
    <t>1218.1</t>
  </si>
  <si>
    <t>1218.2</t>
  </si>
  <si>
    <t>1218.3</t>
  </si>
  <si>
    <t>1218.4</t>
  </si>
  <si>
    <t>1218.5</t>
  </si>
  <si>
    <t>1218.6</t>
  </si>
  <si>
    <t>1218.7</t>
  </si>
  <si>
    <t>1218.8</t>
  </si>
  <si>
    <t>1218.9</t>
  </si>
  <si>
    <t>1218.10</t>
  </si>
  <si>
    <t>1218.11</t>
  </si>
  <si>
    <t>1218.12</t>
  </si>
  <si>
    <t>1218.13</t>
  </si>
  <si>
    <t>1218.14</t>
  </si>
  <si>
    <t>1218.15</t>
  </si>
  <si>
    <t>T07S</t>
  </si>
  <si>
    <t>1219.0</t>
  </si>
  <si>
    <t>1219.1</t>
  </si>
  <si>
    <t>1219.2</t>
  </si>
  <si>
    <t>1219.3</t>
  </si>
  <si>
    <t>1219.4</t>
  </si>
  <si>
    <t>1219.5</t>
  </si>
  <si>
    <t>1219.6</t>
  </si>
  <si>
    <t>1219.7</t>
  </si>
  <si>
    <t>1219.8</t>
  </si>
  <si>
    <t>1219.9</t>
  </si>
  <si>
    <t>1219.10</t>
  </si>
  <si>
    <t>1219.11</t>
  </si>
  <si>
    <t>1219.12</t>
  </si>
  <si>
    <t>1219.13</t>
  </si>
  <si>
    <t>1219.14</t>
  </si>
  <si>
    <t>1219.15</t>
  </si>
  <si>
    <t>T10S</t>
  </si>
  <si>
    <t>1220.0</t>
  </si>
  <si>
    <t>1220.1</t>
  </si>
  <si>
    <t>1220.2</t>
  </si>
  <si>
    <t>1220.3</t>
  </si>
  <si>
    <t>1220.4</t>
  </si>
  <si>
    <t>1220.5</t>
  </si>
  <si>
    <t>1220.6</t>
  </si>
  <si>
    <t>1220.7</t>
  </si>
  <si>
    <t>1220.8</t>
  </si>
  <si>
    <t>1220.9</t>
  </si>
  <si>
    <t>1220.10</t>
  </si>
  <si>
    <t>1220.11</t>
  </si>
  <si>
    <t>1220.12</t>
  </si>
  <si>
    <t>1220.13</t>
  </si>
  <si>
    <t>1220.14</t>
  </si>
  <si>
    <t>1220.15</t>
  </si>
  <si>
    <t>T11S</t>
  </si>
  <si>
    <t>1221.0</t>
  </si>
  <si>
    <t>1221.1</t>
  </si>
  <si>
    <t>1221.2</t>
  </si>
  <si>
    <t>1221.3</t>
  </si>
  <si>
    <t>1221.4</t>
  </si>
  <si>
    <t>1221.5</t>
  </si>
  <si>
    <t>1221.6</t>
  </si>
  <si>
    <t>1221.7</t>
  </si>
  <si>
    <t>1221.8</t>
  </si>
  <si>
    <t>1221.9</t>
  </si>
  <si>
    <t>1221.10</t>
  </si>
  <si>
    <t>1221.11</t>
  </si>
  <si>
    <t>1221.12</t>
  </si>
  <si>
    <t>1221.13</t>
  </si>
  <si>
    <t>1221.14</t>
  </si>
  <si>
    <t>1221.15</t>
  </si>
  <si>
    <t>T12S</t>
  </si>
  <si>
    <t>1222.0</t>
  </si>
  <si>
    <t>1222.1</t>
  </si>
  <si>
    <t>1222.2</t>
  </si>
  <si>
    <t>1222.3</t>
  </si>
  <si>
    <t>1222.4</t>
  </si>
  <si>
    <t>1222.5</t>
  </si>
  <si>
    <t>1222.6</t>
  </si>
  <si>
    <t>1222.7</t>
  </si>
  <si>
    <t>1222.8</t>
  </si>
  <si>
    <t>1222.9</t>
  </si>
  <si>
    <t>1222.10</t>
  </si>
  <si>
    <t>1222.11</t>
  </si>
  <si>
    <t>1222.12</t>
  </si>
  <si>
    <t>1222.13</t>
  </si>
  <si>
    <t>1222.14</t>
  </si>
  <si>
    <t>1222.15</t>
  </si>
  <si>
    <t>T13N</t>
  </si>
  <si>
    <t>1223.0</t>
  </si>
  <si>
    <t>DIREZIONE NORD</t>
  </si>
  <si>
    <t>1223.1</t>
  </si>
  <si>
    <t>1223.2</t>
  </si>
  <si>
    <t>1223.3</t>
  </si>
  <si>
    <t>1223.4</t>
  </si>
  <si>
    <t>1223.5</t>
  </si>
  <si>
    <t>1223.6</t>
  </si>
  <si>
    <t>1223.7</t>
  </si>
  <si>
    <t>1223.8</t>
  </si>
  <si>
    <t>1223.9</t>
  </si>
  <si>
    <t>1223.10</t>
  </si>
  <si>
    <t>1223.11</t>
  </si>
  <si>
    <t>1223.12</t>
  </si>
  <si>
    <t>1223.13</t>
  </si>
  <si>
    <t>1223.14</t>
  </si>
  <si>
    <t>1223.15</t>
  </si>
  <si>
    <t>T14N</t>
  </si>
  <si>
    <t>1224.0</t>
  </si>
  <si>
    <t>1224.1</t>
  </si>
  <si>
    <t>1224.2</t>
  </si>
  <si>
    <t>1224.3</t>
  </si>
  <si>
    <t>1224.4</t>
  </si>
  <si>
    <t>1224.5</t>
  </si>
  <si>
    <t>1224.6</t>
  </si>
  <si>
    <t>1224.7</t>
  </si>
  <si>
    <t>1224.8</t>
  </si>
  <si>
    <t>1224.9</t>
  </si>
  <si>
    <t>1224.10</t>
  </si>
  <si>
    <t>1224.11</t>
  </si>
  <si>
    <t>1224.12</t>
  </si>
  <si>
    <t>1224.13</t>
  </si>
  <si>
    <t>1224.14</t>
  </si>
  <si>
    <t>1224.15</t>
  </si>
  <si>
    <t>T15N</t>
  </si>
  <si>
    <t>1225.0</t>
  </si>
  <si>
    <t>1225.1</t>
  </si>
  <si>
    <t>1225.2</t>
  </si>
  <si>
    <t>1225.3</t>
  </si>
  <si>
    <t>1225.4</t>
  </si>
  <si>
    <t>1225.5</t>
  </si>
  <si>
    <t>1225.6</t>
  </si>
  <si>
    <t>1225.7</t>
  </si>
  <si>
    <t>1225.8</t>
  </si>
  <si>
    <t>1225.9</t>
  </si>
  <si>
    <t>1225.10</t>
  </si>
  <si>
    <t>1225.11</t>
  </si>
  <si>
    <t>1225.12</t>
  </si>
  <si>
    <t>1225.13</t>
  </si>
  <si>
    <t>1225.14</t>
  </si>
  <si>
    <t>1225.15</t>
  </si>
  <si>
    <t>T16N</t>
  </si>
  <si>
    <t>1226.0</t>
  </si>
  <si>
    <t>1226.1</t>
  </si>
  <si>
    <t>1226.2</t>
  </si>
  <si>
    <t>1226.3</t>
  </si>
  <si>
    <t>1226.4</t>
  </si>
  <si>
    <t>1226.5</t>
  </si>
  <si>
    <t>1226.6</t>
  </si>
  <si>
    <t>1226.7</t>
  </si>
  <si>
    <t>1226.8</t>
  </si>
  <si>
    <t>1226.9</t>
  </si>
  <si>
    <t>1226.10</t>
  </si>
  <si>
    <t>1226.11</t>
  </si>
  <si>
    <t>1226.12</t>
  </si>
  <si>
    <t>1226.13</t>
  </si>
  <si>
    <t>1226.14</t>
  </si>
  <si>
    <t>1226.15</t>
  </si>
  <si>
    <t>T19N</t>
  </si>
  <si>
    <t>1227.0</t>
  </si>
  <si>
    <t>1227.1</t>
  </si>
  <si>
    <t>1227.2</t>
  </si>
  <si>
    <t>1227.3</t>
  </si>
  <si>
    <t>1227.4</t>
  </si>
  <si>
    <t>1227.5</t>
  </si>
  <si>
    <t>1227.6</t>
  </si>
  <si>
    <t>1227.7</t>
  </si>
  <si>
    <t>1227.8</t>
  </si>
  <si>
    <t>1227.9</t>
  </si>
  <si>
    <t>1227.10</t>
  </si>
  <si>
    <t>1227.11</t>
  </si>
  <si>
    <t>1227.12</t>
  </si>
  <si>
    <t>1227.13</t>
  </si>
  <si>
    <t>1227.14</t>
  </si>
  <si>
    <t>1227.15</t>
  </si>
  <si>
    <t>T20N</t>
  </si>
  <si>
    <t>1228.0</t>
  </si>
  <si>
    <t>1228.1</t>
  </si>
  <si>
    <t>1228.2</t>
  </si>
  <si>
    <t>1228.3</t>
  </si>
  <si>
    <t>1228.4</t>
  </si>
  <si>
    <t>1228.5</t>
  </si>
  <si>
    <t>1228.6</t>
  </si>
  <si>
    <t>1228.7</t>
  </si>
  <si>
    <t>1228.8</t>
  </si>
  <si>
    <t>1228.9</t>
  </si>
  <si>
    <t>1228.10</t>
  </si>
  <si>
    <t>1228.11</t>
  </si>
  <si>
    <t>1228.12</t>
  </si>
  <si>
    <t>1228.13</t>
  </si>
  <si>
    <t>1228.14</t>
  </si>
  <si>
    <t>1228.15</t>
  </si>
  <si>
    <t>T21N</t>
  </si>
  <si>
    <t>1229.0</t>
  </si>
  <si>
    <t>1229.1</t>
  </si>
  <si>
    <t>1229.2</t>
  </si>
  <si>
    <t>1229.3</t>
  </si>
  <si>
    <t>1229.4</t>
  </si>
  <si>
    <t>1229.5</t>
  </si>
  <si>
    <t>1229.6</t>
  </si>
  <si>
    <t>1229.7</t>
  </si>
  <si>
    <t>1229.8</t>
  </si>
  <si>
    <t>1229.9</t>
  </si>
  <si>
    <t>1229.10</t>
  </si>
  <si>
    <t>1229.11</t>
  </si>
  <si>
    <t>1229.12</t>
  </si>
  <si>
    <t>1229.13</t>
  </si>
  <si>
    <t>1229.14</t>
  </si>
  <si>
    <t>1229.15</t>
  </si>
  <si>
    <t>T22N</t>
  </si>
  <si>
    <t>1230.0</t>
  </si>
  <si>
    <t>1230.1</t>
  </si>
  <si>
    <t>1230.2</t>
  </si>
  <si>
    <t>1230.3</t>
  </si>
  <si>
    <t>1230.4</t>
  </si>
  <si>
    <t>1230.5</t>
  </si>
  <si>
    <t>1230.6</t>
  </si>
  <si>
    <t>1230.7</t>
  </si>
  <si>
    <t>1230.8</t>
  </si>
  <si>
    <t>1230.9</t>
  </si>
  <si>
    <t>1230.10</t>
  </si>
  <si>
    <t>1230.11</t>
  </si>
  <si>
    <t>1230.12</t>
  </si>
  <si>
    <t>1230.13</t>
  </si>
  <si>
    <t>1230.14</t>
  </si>
  <si>
    <t>1230.15</t>
  </si>
  <si>
    <t>1231.0</t>
  </si>
  <si>
    <t>PERDITA SEGNALE VIDEO</t>
  </si>
  <si>
    <t>1231.1</t>
  </si>
  <si>
    <t>MANOMISSIONE</t>
  </si>
  <si>
    <t>1231.2</t>
  </si>
  <si>
    <t>1231.3</t>
  </si>
  <si>
    <t>VEICOLO FERMO</t>
  </si>
  <si>
    <t>1231.4</t>
  </si>
  <si>
    <t>CARICO DISPERSO</t>
  </si>
  <si>
    <t>1231.5</t>
  </si>
  <si>
    <t>1231.6</t>
  </si>
  <si>
    <t>PEDONE</t>
  </si>
  <si>
    <t>1231.7</t>
  </si>
  <si>
    <t>FUMO</t>
  </si>
  <si>
    <t>1231.8</t>
  </si>
  <si>
    <t>RALLENTAMENTI</t>
  </si>
  <si>
    <t>1231.9</t>
  </si>
  <si>
    <t>CODA IN GALLERIA</t>
  </si>
  <si>
    <t>1231.10</t>
  </si>
  <si>
    <t>1231.11</t>
  </si>
  <si>
    <t>1231.12</t>
  </si>
  <si>
    <t>1231.13</t>
  </si>
  <si>
    <t>1231.14</t>
  </si>
  <si>
    <t>1231.15</t>
  </si>
  <si>
    <t>1232.0</t>
  </si>
  <si>
    <t>1232.1</t>
  </si>
  <si>
    <t>1232.2</t>
  </si>
  <si>
    <t>1232.3</t>
  </si>
  <si>
    <t>1232.4</t>
  </si>
  <si>
    <t>1232.5</t>
  </si>
  <si>
    <t>1232.6</t>
  </si>
  <si>
    <t>1232.7</t>
  </si>
  <si>
    <t>1232.8</t>
  </si>
  <si>
    <t>1232.9</t>
  </si>
  <si>
    <t>1232.10</t>
  </si>
  <si>
    <t>1232.11</t>
  </si>
  <si>
    <t>1232.12</t>
  </si>
  <si>
    <t>1232.13</t>
  </si>
  <si>
    <t>1232.14</t>
  </si>
  <si>
    <t>1232.15</t>
  </si>
  <si>
    <t>1233.0</t>
  </si>
  <si>
    <t>1233.1</t>
  </si>
  <si>
    <t>1233.2</t>
  </si>
  <si>
    <t>1233.3</t>
  </si>
  <si>
    <t>1233.4</t>
  </si>
  <si>
    <t>1233.5</t>
  </si>
  <si>
    <t>1233.6</t>
  </si>
  <si>
    <t>1233.7</t>
  </si>
  <si>
    <t>1233.8</t>
  </si>
  <si>
    <t>1233.9</t>
  </si>
  <si>
    <t>1233.10</t>
  </si>
  <si>
    <t>1233.11</t>
  </si>
  <si>
    <t>1233.12</t>
  </si>
  <si>
    <t>1233.13</t>
  </si>
  <si>
    <t>1233.14</t>
  </si>
  <si>
    <t>1233.15</t>
  </si>
  <si>
    <t>1234.0</t>
  </si>
  <si>
    <t>1234.1</t>
  </si>
  <si>
    <t>1234.2</t>
  </si>
  <si>
    <t>1234.3</t>
  </si>
  <si>
    <t>1234.4</t>
  </si>
  <si>
    <t>1234.5</t>
  </si>
  <si>
    <t>1234.6</t>
  </si>
  <si>
    <t>1234.7</t>
  </si>
  <si>
    <t>1234.8</t>
  </si>
  <si>
    <t>1234.9</t>
  </si>
  <si>
    <t>1234.10</t>
  </si>
  <si>
    <t>1234.11</t>
  </si>
  <si>
    <t>1234.12</t>
  </si>
  <si>
    <t>1234.13</t>
  </si>
  <si>
    <t>1234.14</t>
  </si>
  <si>
    <t>1234.15</t>
  </si>
  <si>
    <t>1235.0</t>
  </si>
  <si>
    <t>1235.1</t>
  </si>
  <si>
    <t>1235.2</t>
  </si>
  <si>
    <t>1235.3</t>
  </si>
  <si>
    <t>1235.4</t>
  </si>
  <si>
    <t>1235.5</t>
  </si>
  <si>
    <t>1235.6</t>
  </si>
  <si>
    <t>1235.7</t>
  </si>
  <si>
    <t>1235.8</t>
  </si>
  <si>
    <t>1235.9</t>
  </si>
  <si>
    <t>1235.10</t>
  </si>
  <si>
    <t>1235.11</t>
  </si>
  <si>
    <t>1235.12</t>
  </si>
  <si>
    <t>1235.13</t>
  </si>
  <si>
    <t>1235.14</t>
  </si>
  <si>
    <t>1235.15</t>
  </si>
  <si>
    <t>1236.0</t>
  </si>
  <si>
    <t>1236.1</t>
  </si>
  <si>
    <t>1236.2</t>
  </si>
  <si>
    <t>1236.3</t>
  </si>
  <si>
    <t>1236.4</t>
  </si>
  <si>
    <t>1236.5</t>
  </si>
  <si>
    <t>1236.6</t>
  </si>
  <si>
    <t>1236.7</t>
  </si>
  <si>
    <t>1236.8</t>
  </si>
  <si>
    <t>1236.9</t>
  </si>
  <si>
    <t>1236.10</t>
  </si>
  <si>
    <t>1236.11</t>
  </si>
  <si>
    <t>1236.12</t>
  </si>
  <si>
    <t>1236.13</t>
  </si>
  <si>
    <t>1236.14</t>
  </si>
  <si>
    <t>1236.15</t>
  </si>
  <si>
    <t>1237.0</t>
  </si>
  <si>
    <t>1237.1</t>
  </si>
  <si>
    <t>1237.2</t>
  </si>
  <si>
    <t>1237.3</t>
  </si>
  <si>
    <t>1237.4</t>
  </si>
  <si>
    <t>1237.5</t>
  </si>
  <si>
    <t>1237.6</t>
  </si>
  <si>
    <t>1237.7</t>
  </si>
  <si>
    <t>1237.8</t>
  </si>
  <si>
    <t>1237.9</t>
  </si>
  <si>
    <t>1237.10</t>
  </si>
  <si>
    <t>1237.11</t>
  </si>
  <si>
    <t>1237.12</t>
  </si>
  <si>
    <t>1237.13</t>
  </si>
  <si>
    <t>1237.14</t>
  </si>
  <si>
    <t>1237.15</t>
  </si>
  <si>
    <t>1238.0</t>
  </si>
  <si>
    <t>1238.1</t>
  </si>
  <si>
    <t>1238.2</t>
  </si>
  <si>
    <t>1238.3</t>
  </si>
  <si>
    <t>1238.4</t>
  </si>
  <si>
    <t>1238.5</t>
  </si>
  <si>
    <t>1238.6</t>
  </si>
  <si>
    <t>1238.7</t>
  </si>
  <si>
    <t>1238.8</t>
  </si>
  <si>
    <t>1238.9</t>
  </si>
  <si>
    <t>1238.10</t>
  </si>
  <si>
    <t>1238.11</t>
  </si>
  <si>
    <t>1238.12</t>
  </si>
  <si>
    <t>1238.13</t>
  </si>
  <si>
    <t>1238.14</t>
  </si>
  <si>
    <t>1238.15</t>
  </si>
  <si>
    <t>1239.0</t>
  </si>
  <si>
    <t>1239.1</t>
  </si>
  <si>
    <t>1239.2</t>
  </si>
  <si>
    <t>1239.3</t>
  </si>
  <si>
    <t>1239.4</t>
  </si>
  <si>
    <t>1239.5</t>
  </si>
  <si>
    <t>1239.6</t>
  </si>
  <si>
    <t>1239.7</t>
  </si>
  <si>
    <t>1239.8</t>
  </si>
  <si>
    <t>1239.9</t>
  </si>
  <si>
    <t>1239.10</t>
  </si>
  <si>
    <t>1239.11</t>
  </si>
  <si>
    <t>1239.12</t>
  </si>
  <si>
    <t>1239.13</t>
  </si>
  <si>
    <t>1239.14</t>
  </si>
  <si>
    <t>1239.15</t>
  </si>
  <si>
    <t>1240.0</t>
  </si>
  <si>
    <t>1240.1</t>
  </si>
  <si>
    <t>1240.2</t>
  </si>
  <si>
    <t>1240.3</t>
  </si>
  <si>
    <t>1240.4</t>
  </si>
  <si>
    <t>1240.5</t>
  </si>
  <si>
    <t>1240.6</t>
  </si>
  <si>
    <t>1240.7</t>
  </si>
  <si>
    <t>1240.8</t>
  </si>
  <si>
    <t>1240.9</t>
  </si>
  <si>
    <t>1240.10</t>
  </si>
  <si>
    <t>1240.11</t>
  </si>
  <si>
    <t>1240.12</t>
  </si>
  <si>
    <t>1240.13</t>
  </si>
  <si>
    <t>1240.14</t>
  </si>
  <si>
    <t>1240.15</t>
  </si>
  <si>
    <t>1241.0</t>
  </si>
  <si>
    <t>1241.1</t>
  </si>
  <si>
    <t>1241.2</t>
  </si>
  <si>
    <t>1241.3</t>
  </si>
  <si>
    <t>1241.4</t>
  </si>
  <si>
    <t>1241.5</t>
  </si>
  <si>
    <t>1241.6</t>
  </si>
  <si>
    <t>1241.7</t>
  </si>
  <si>
    <t>1241.8</t>
  </si>
  <si>
    <t>1241.9</t>
  </si>
  <si>
    <t>1241.10</t>
  </si>
  <si>
    <t>1241.11</t>
  </si>
  <si>
    <t>1241.12</t>
  </si>
  <si>
    <t>1241.13</t>
  </si>
  <si>
    <t>1241.14</t>
  </si>
  <si>
    <t>1241.15</t>
  </si>
  <si>
    <t>1242.0</t>
  </si>
  <si>
    <t>1242.1</t>
  </si>
  <si>
    <t>1242.2</t>
  </si>
  <si>
    <t>1242.3</t>
  </si>
  <si>
    <t>1242.4</t>
  </si>
  <si>
    <t>1242.5</t>
  </si>
  <si>
    <t>1242.6</t>
  </si>
  <si>
    <t>1242.7</t>
  </si>
  <si>
    <t>1242.8</t>
  </si>
  <si>
    <t>1242.9</t>
  </si>
  <si>
    <t>1242.10</t>
  </si>
  <si>
    <t>1242.11</t>
  </si>
  <si>
    <t>1242.12</t>
  </si>
  <si>
    <t>1242.13</t>
  </si>
  <si>
    <t>1242.14</t>
  </si>
  <si>
    <t>1242.15</t>
  </si>
  <si>
    <t>1243.0</t>
  </si>
  <si>
    <t>1243.1</t>
  </si>
  <si>
    <t>1243.2</t>
  </si>
  <si>
    <t>1243.3</t>
  </si>
  <si>
    <t>1243.4</t>
  </si>
  <si>
    <t>1243.5</t>
  </si>
  <si>
    <t>1243.6</t>
  </si>
  <si>
    <t>1243.7</t>
  </si>
  <si>
    <t>1243.8</t>
  </si>
  <si>
    <t>1243.9</t>
  </si>
  <si>
    <t>1243.10</t>
  </si>
  <si>
    <t>1243.11</t>
  </si>
  <si>
    <t>1243.12</t>
  </si>
  <si>
    <t>1243.13</t>
  </si>
  <si>
    <t>1243.14</t>
  </si>
  <si>
    <t>1243.15</t>
  </si>
  <si>
    <t>1244.0</t>
  </si>
  <si>
    <t>1244.1</t>
  </si>
  <si>
    <t>1244.2</t>
  </si>
  <si>
    <t>1244.3</t>
  </si>
  <si>
    <t>1244.4</t>
  </si>
  <si>
    <t>1244.5</t>
  </si>
  <si>
    <t>1244.6</t>
  </si>
  <si>
    <t>1244.7</t>
  </si>
  <si>
    <t>1244.8</t>
  </si>
  <si>
    <t>1244.9</t>
  </si>
  <si>
    <t>1244.10</t>
  </si>
  <si>
    <t>1244.11</t>
  </si>
  <si>
    <t>1244.12</t>
  </si>
  <si>
    <t>1244.13</t>
  </si>
  <si>
    <t>1244.14</t>
  </si>
  <si>
    <t>1244.15</t>
  </si>
  <si>
    <t>1245.0</t>
  </si>
  <si>
    <t>1245.1</t>
  </si>
  <si>
    <t>1245.2</t>
  </si>
  <si>
    <t>1245.3</t>
  </si>
  <si>
    <t>1245.4</t>
  </si>
  <si>
    <t>1245.5</t>
  </si>
  <si>
    <t>1245.6</t>
  </si>
  <si>
    <t>1245.7</t>
  </si>
  <si>
    <t>1245.8</t>
  </si>
  <si>
    <t>1245.9</t>
  </si>
  <si>
    <t>1245.10</t>
  </si>
  <si>
    <t>1245.11</t>
  </si>
  <si>
    <t>1245.12</t>
  </si>
  <si>
    <t>1245.13</t>
  </si>
  <si>
    <t>1245.14</t>
  </si>
  <si>
    <t>1245.15</t>
  </si>
  <si>
    <t>1246.0</t>
  </si>
  <si>
    <t>1246.1</t>
  </si>
  <si>
    <t>1246.2</t>
  </si>
  <si>
    <t>1246.3</t>
  </si>
  <si>
    <t>1246.4</t>
  </si>
  <si>
    <t>1246.5</t>
  </si>
  <si>
    <t>1246.6</t>
  </si>
  <si>
    <t>1246.7</t>
  </si>
  <si>
    <t>1246.8</t>
  </si>
  <si>
    <t>1246.9</t>
  </si>
  <si>
    <t>1246.10</t>
  </si>
  <si>
    <t>1246.11</t>
  </si>
  <si>
    <t>1246.12</t>
  </si>
  <si>
    <t>1246.13</t>
  </si>
  <si>
    <t>1246.14</t>
  </si>
  <si>
    <t>1246.15</t>
  </si>
  <si>
    <t>CAVO TERMOSENSIBILE</t>
  </si>
  <si>
    <t>LDM MARCIA SUD</t>
  </si>
  <si>
    <t>1247.0</t>
  </si>
  <si>
    <t>Allarme Incendio</t>
  </si>
  <si>
    <t>1247.1</t>
  </si>
  <si>
    <t>Fault Centralina</t>
  </si>
  <si>
    <t>1247.2</t>
  </si>
  <si>
    <t>Guasto Misura</t>
  </si>
  <si>
    <t>LDM MARCIA NORD</t>
  </si>
  <si>
    <t>1247.3</t>
  </si>
  <si>
    <t>1247.4</t>
  </si>
  <si>
    <t>1247.5</t>
  </si>
  <si>
    <t>Misura Metrica Incendio</t>
  </si>
  <si>
    <t>GALLERIA</t>
  </si>
  <si>
    <t>JETFAN</t>
  </si>
  <si>
    <t>V1DX</t>
  </si>
  <si>
    <t>1253.0</t>
  </si>
  <si>
    <t>Intervento Protezione Motore</t>
  </si>
  <si>
    <t>1253.1</t>
  </si>
  <si>
    <t>Allarme Alimentazione</t>
  </si>
  <si>
    <t>1253.2</t>
  </si>
  <si>
    <t>Time Out Avviam. Dir. Nord</t>
  </si>
  <si>
    <t>1253.3</t>
  </si>
  <si>
    <t>Time Out Avviam. Dir. Sud</t>
  </si>
  <si>
    <t>1253.4</t>
  </si>
  <si>
    <t>Allarme Softstart/Differensiale</t>
  </si>
  <si>
    <t>1253.5</t>
  </si>
  <si>
    <t>Preallarme Vibrazione</t>
  </si>
  <si>
    <t>1253.6</t>
  </si>
  <si>
    <t>Allarme Vibrazione</t>
  </si>
  <si>
    <t>1253.7</t>
  </si>
  <si>
    <t>Sensore Vibrazioni Scollegato</t>
  </si>
  <si>
    <t>1253.8</t>
  </si>
  <si>
    <t>Allarme Orizzontalita'</t>
  </si>
  <si>
    <t>1253.9</t>
  </si>
  <si>
    <t>In Avviamento</t>
  </si>
  <si>
    <t>1253.10</t>
  </si>
  <si>
    <t>In Marcia</t>
  </si>
  <si>
    <t>1253.11</t>
  </si>
  <si>
    <t>In Arresto</t>
  </si>
  <si>
    <t>1253.12</t>
  </si>
  <si>
    <t>Incluso Da Scada</t>
  </si>
  <si>
    <t>1253.13</t>
  </si>
  <si>
    <t>In Manuale Da Scada</t>
  </si>
  <si>
    <t>V1SX</t>
  </si>
  <si>
    <t>1253.14</t>
  </si>
  <si>
    <t>1253.15</t>
  </si>
  <si>
    <t>1254.0</t>
  </si>
  <si>
    <t>1254.1</t>
  </si>
  <si>
    <t>1254.2</t>
  </si>
  <si>
    <t>1254.3</t>
  </si>
  <si>
    <t>1254.4</t>
  </si>
  <si>
    <t>1254.5</t>
  </si>
  <si>
    <t>1254.6</t>
  </si>
  <si>
    <t>1254.7</t>
  </si>
  <si>
    <t>1254.8</t>
  </si>
  <si>
    <t>1254.9</t>
  </si>
  <si>
    <t>1254.10</t>
  </si>
  <si>
    <t>1254.11</t>
  </si>
  <si>
    <t>V2DX</t>
  </si>
  <si>
    <t>1254.12</t>
  </si>
  <si>
    <t>1254.13</t>
  </si>
  <si>
    <t>1254.14</t>
  </si>
  <si>
    <t>1254.15</t>
  </si>
  <si>
    <t>1255.0</t>
  </si>
  <si>
    <t>1255.1</t>
  </si>
  <si>
    <t>1255.2</t>
  </si>
  <si>
    <t>1255.3</t>
  </si>
  <si>
    <t>1255.4</t>
  </si>
  <si>
    <t>1255.5</t>
  </si>
  <si>
    <t>1255.6</t>
  </si>
  <si>
    <t>1255.7</t>
  </si>
  <si>
    <t>1255.8</t>
  </si>
  <si>
    <t>1255.9</t>
  </si>
  <si>
    <t>V2SX</t>
  </si>
  <si>
    <t>1255.10</t>
  </si>
  <si>
    <t>1255.11</t>
  </si>
  <si>
    <t>1255.12</t>
  </si>
  <si>
    <t>1255.13</t>
  </si>
  <si>
    <t>1255.14</t>
  </si>
  <si>
    <t>1255.15</t>
  </si>
  <si>
    <t>1256.0</t>
  </si>
  <si>
    <t>1256.1</t>
  </si>
  <si>
    <t>1256.2</t>
  </si>
  <si>
    <t>1256.3</t>
  </si>
  <si>
    <t>1256.4</t>
  </si>
  <si>
    <t>1256.5</t>
  </si>
  <si>
    <t>1256.6</t>
  </si>
  <si>
    <t>1256.7</t>
  </si>
  <si>
    <t>V3DX</t>
  </si>
  <si>
    <t>1256.8</t>
  </si>
  <si>
    <t>1256.9</t>
  </si>
  <si>
    <t>1256.10</t>
  </si>
  <si>
    <t>1256.11</t>
  </si>
  <si>
    <t>1256.12</t>
  </si>
  <si>
    <t>1256.13</t>
  </si>
  <si>
    <t>1256.14</t>
  </si>
  <si>
    <t>1256.15</t>
  </si>
  <si>
    <t>1257.0</t>
  </si>
  <si>
    <t>1257.1</t>
  </si>
  <si>
    <t>1257.2</t>
  </si>
  <si>
    <t>1257.3</t>
  </si>
  <si>
    <t>1257.4</t>
  </si>
  <si>
    <t>1257.5</t>
  </si>
  <si>
    <t>V3SX</t>
  </si>
  <si>
    <t>1257.6</t>
  </si>
  <si>
    <t>1257.7</t>
  </si>
  <si>
    <t>1257.8</t>
  </si>
  <si>
    <t>1257.9</t>
  </si>
  <si>
    <t>1257.10</t>
  </si>
  <si>
    <t>1257.11</t>
  </si>
  <si>
    <t>1257.12</t>
  </si>
  <si>
    <t>1257.13</t>
  </si>
  <si>
    <t>1257.14</t>
  </si>
  <si>
    <t>1257.15</t>
  </si>
  <si>
    <t>1258.0</t>
  </si>
  <si>
    <t>1258.1</t>
  </si>
  <si>
    <t>1258.2</t>
  </si>
  <si>
    <t>1258.3</t>
  </si>
  <si>
    <t>V4DX</t>
  </si>
  <si>
    <t>1258.4</t>
  </si>
  <si>
    <t>1258.5</t>
  </si>
  <si>
    <t>1258.6</t>
  </si>
  <si>
    <t>1258.7</t>
  </si>
  <si>
    <t>1258.8</t>
  </si>
  <si>
    <t>1258.9</t>
  </si>
  <si>
    <t>1258.10</t>
  </si>
  <si>
    <t>1258.11</t>
  </si>
  <si>
    <t>1258.12</t>
  </si>
  <si>
    <t>1258.13</t>
  </si>
  <si>
    <t>1258.14</t>
  </si>
  <si>
    <t>1258.15</t>
  </si>
  <si>
    <t>1259.0</t>
  </si>
  <si>
    <t>1259.1</t>
  </si>
  <si>
    <t>V4SX</t>
  </si>
  <si>
    <t>1259.2</t>
  </si>
  <si>
    <t>1259.3</t>
  </si>
  <si>
    <t>1259.4</t>
  </si>
  <si>
    <t>1259.5</t>
  </si>
  <si>
    <t>1259.6</t>
  </si>
  <si>
    <t>1259.7</t>
  </si>
  <si>
    <t>1259.8</t>
  </si>
  <si>
    <t>1259.9</t>
  </si>
  <si>
    <t>1259.10</t>
  </si>
  <si>
    <t>1259.11</t>
  </si>
  <si>
    <t>1259.12</t>
  </si>
  <si>
    <t>1259.13</t>
  </si>
  <si>
    <t>1259.14</t>
  </si>
  <si>
    <t>1259.15</t>
  </si>
  <si>
    <t>Misura Vibrazioni Motore</t>
  </si>
  <si>
    <t>Ore Attivo</t>
  </si>
  <si>
    <t>Ore Inattivo</t>
  </si>
  <si>
    <t>Num. Avviamenti</t>
  </si>
  <si>
    <t>SOGLIE INQUINANTI</t>
  </si>
  <si>
    <t>1300.0</t>
  </si>
  <si>
    <t>SOGLIA ATTIVA 1</t>
  </si>
  <si>
    <t>1300.1</t>
  </si>
  <si>
    <t>SOGLIA ATTIVA 2</t>
  </si>
  <si>
    <t>1300.2</t>
  </si>
  <si>
    <t>SOGLIA ATTIVA 3</t>
  </si>
  <si>
    <t>DIREZIONE VENTO</t>
  </si>
  <si>
    <t>1300.3</t>
  </si>
  <si>
    <t>DIREZIONE VENTO (Nord=0 – Sud=1)</t>
  </si>
  <si>
    <t>CONTROLLO JETFAN</t>
  </si>
  <si>
    <t>1300.4</t>
  </si>
  <si>
    <t>NUMERO INSUFFICIENTE DI VENTILATORI DA AVVIARE</t>
  </si>
  <si>
    <t>QVF</t>
  </si>
  <si>
    <t>QVF NORD</t>
  </si>
  <si>
    <t>1300.5</t>
  </si>
  <si>
    <t>QVF IN LOCALE</t>
  </si>
  <si>
    <t>1300.6</t>
  </si>
  <si>
    <t>1300.7</t>
  </si>
  <si>
    <t>1300.8</t>
  </si>
  <si>
    <t>V1 VENT. ON</t>
  </si>
  <si>
    <t>1300.9</t>
  </si>
  <si>
    <t>V2 VENT. ON</t>
  </si>
  <si>
    <t>1300.10</t>
  </si>
  <si>
    <t>V3 VENT. ON</t>
  </si>
  <si>
    <t>1300.11</t>
  </si>
  <si>
    <t>V4 VENT. ON</t>
  </si>
  <si>
    <t>PRESA COMANDI</t>
  </si>
  <si>
    <t>1037.10</t>
  </si>
  <si>
    <t>QUADRO ATTIVO</t>
  </si>
  <si>
    <t>1037.11</t>
  </si>
  <si>
    <t>1037.12</t>
  </si>
  <si>
    <t>QVF SUD</t>
  </si>
  <si>
    <t>1300.12</t>
  </si>
  <si>
    <t>1300.13</t>
  </si>
  <si>
    <t>1300.14</t>
  </si>
  <si>
    <t>1300.15</t>
  </si>
  <si>
    <t>1301.0</t>
  </si>
  <si>
    <t>1301.1</t>
  </si>
  <si>
    <t>1301.2</t>
  </si>
  <si>
    <t>1037.13</t>
  </si>
  <si>
    <t>1037.14</t>
  </si>
  <si>
    <t>1037.15</t>
  </si>
  <si>
    <t>STATO VENTILAZIONE</t>
  </si>
  <si>
    <t>1301.3</t>
  </si>
  <si>
    <t>Stato Ventilazione : Sanitaria</t>
  </si>
  <si>
    <t>1301.4</t>
  </si>
  <si>
    <t>Stato Ventilazione : attesa stratificazione</t>
  </si>
  <si>
    <t>1301.5</t>
  </si>
  <si>
    <t>Stato Ventilazione : stratificazione</t>
  </si>
  <si>
    <t>1301.6</t>
  </si>
  <si>
    <t xml:space="preserve">Stato Ventilazione : attesa lavaggio </t>
  </si>
  <si>
    <t>1301.7</t>
  </si>
  <si>
    <t xml:space="preserve">Stato Ventilazione : lavaggio </t>
  </si>
  <si>
    <t>1301.8</t>
  </si>
  <si>
    <t>Stato Ventilazione : attesa arresto ventilazione dopo presa comandi VVF</t>
  </si>
  <si>
    <t>1301.9</t>
  </si>
  <si>
    <t>Stato Ventilazione : comandi VVF attivi</t>
  </si>
  <si>
    <t>SENSORE CO</t>
  </si>
  <si>
    <t>CO1</t>
  </si>
  <si>
    <t>1301.10</t>
  </si>
  <si>
    <t>Sensore ESCLUSO</t>
  </si>
  <si>
    <t>SENSORE OP</t>
  </si>
  <si>
    <t>OP1</t>
  </si>
  <si>
    <t>1301.11</t>
  </si>
  <si>
    <t>1301.12</t>
  </si>
  <si>
    <t>Sensore OK (Nessun Guasto)</t>
  </si>
  <si>
    <t>1301.13</t>
  </si>
  <si>
    <t>SENSORE AN</t>
  </si>
  <si>
    <t>AN1</t>
  </si>
  <si>
    <t>1301.14</t>
  </si>
  <si>
    <t>1301.15</t>
  </si>
  <si>
    <t>Sensore Scollegato</t>
  </si>
  <si>
    <t>1302.0</t>
  </si>
  <si>
    <t>1302.1</t>
  </si>
  <si>
    <t>VIA ESODO</t>
  </si>
  <si>
    <t>1302.2</t>
  </si>
  <si>
    <t>1302.3</t>
  </si>
  <si>
    <t>1302.4</t>
  </si>
  <si>
    <t>1302.5</t>
  </si>
  <si>
    <t>1302.6</t>
  </si>
  <si>
    <t>1302.7</t>
  </si>
  <si>
    <t>1302.8</t>
  </si>
  <si>
    <t>1302.9</t>
  </si>
  <si>
    <t>MISURA SENSORE</t>
  </si>
  <si>
    <t>Soglia 1 CO Impostata</t>
  </si>
  <si>
    <t>Soglia 2 CO Impostata</t>
  </si>
  <si>
    <t>Soglia 3 CO Impostata</t>
  </si>
  <si>
    <t>Soglia 1 OP Impostata</t>
  </si>
  <si>
    <t>Soglia 2 OP Impostata</t>
  </si>
  <si>
    <t>Soglia 3 OP Impostata</t>
  </si>
  <si>
    <t>Soglia 1 Numero Ventilatori</t>
  </si>
  <si>
    <t>Soglia 2 Numero Ventilatori</t>
  </si>
  <si>
    <t>Soglia 3 Numero Ventilatori</t>
  </si>
  <si>
    <t>Tempo Ritardo Attivazione Soglia (min.)</t>
  </si>
  <si>
    <t>Tempo Ritardo Rientro Soglia (min.)</t>
  </si>
  <si>
    <t>Numero Ventilatori Richiesti</t>
  </si>
  <si>
    <t>VENTILATORE E SERRANDA TAGLIAFUOCO</t>
  </si>
  <si>
    <t>1334.0</t>
  </si>
  <si>
    <t>Ventilatore+Serranda In Automatico</t>
  </si>
  <si>
    <t>1334.1</t>
  </si>
  <si>
    <t>Ventilatore+Serranda In Manuale</t>
  </si>
  <si>
    <t>VENTILATORE</t>
  </si>
  <si>
    <t>1334.2</t>
  </si>
  <si>
    <t>Ventilatore In Marcia</t>
  </si>
  <si>
    <t>1334.3</t>
  </si>
  <si>
    <t>Ventilatore Fermo</t>
  </si>
  <si>
    <t>SERRANDA</t>
  </si>
  <si>
    <t>1334.4</t>
  </si>
  <si>
    <t>Serranda Chiusa</t>
  </si>
  <si>
    <t>1334.5</t>
  </si>
  <si>
    <t>Serranda Aperta</t>
  </si>
  <si>
    <t>1334.6</t>
  </si>
  <si>
    <t>Serranda In Apertura</t>
  </si>
  <si>
    <t>1334.7</t>
  </si>
  <si>
    <t>Ventilatore In Arresto</t>
  </si>
  <si>
    <t>1334.8</t>
  </si>
  <si>
    <t>Serranda In Chiusura</t>
  </si>
  <si>
    <t>1334.9</t>
  </si>
  <si>
    <t>Ventilatore In Manuale Da Quadro</t>
  </si>
  <si>
    <t>1334.10</t>
  </si>
  <si>
    <t>Serranda In Manuale Da Quadro</t>
  </si>
  <si>
    <t>1334.11</t>
  </si>
  <si>
    <t>Mancato Avvio Ventilatore</t>
  </si>
  <si>
    <t>1334.12</t>
  </si>
  <si>
    <t>Mancato Arresto Ventilatore</t>
  </si>
  <si>
    <t>1334.13</t>
  </si>
  <si>
    <t>Mancata Apertura Serranda</t>
  </si>
  <si>
    <t>1334.14</t>
  </si>
  <si>
    <t>Mancata Chiusura Serranda</t>
  </si>
  <si>
    <t>1334.15</t>
  </si>
  <si>
    <t>Intervento Protezione Motore Serranda</t>
  </si>
  <si>
    <t>1335.0</t>
  </si>
  <si>
    <t>Intervento Protezione Motore Ventilatore</t>
  </si>
  <si>
    <t>1335.1</t>
  </si>
  <si>
    <t>1335.2</t>
  </si>
  <si>
    <t>1335.3</t>
  </si>
  <si>
    <t>1335.4</t>
  </si>
  <si>
    <t>1335.5</t>
  </si>
  <si>
    <t>1335.6</t>
  </si>
  <si>
    <t>1335.7</t>
  </si>
  <si>
    <t>1335.8</t>
  </si>
  <si>
    <t>1335.9</t>
  </si>
  <si>
    <t>1335.10</t>
  </si>
  <si>
    <t>1335.11</t>
  </si>
  <si>
    <t>1335.12</t>
  </si>
  <si>
    <t>1335.13</t>
  </si>
  <si>
    <t>1335.14</t>
  </si>
  <si>
    <t>1335.15</t>
  </si>
  <si>
    <t>1336.0</t>
  </si>
  <si>
    <t>1336.1</t>
  </si>
  <si>
    <t>QACC_PIAZZ_SG</t>
  </si>
  <si>
    <t>1336.2</t>
  </si>
  <si>
    <t>1336.3</t>
  </si>
  <si>
    <t>1336.4</t>
  </si>
  <si>
    <t>1336.5</t>
  </si>
  <si>
    <t>1336.6</t>
  </si>
  <si>
    <t>1336.7</t>
  </si>
  <si>
    <t>1336.8</t>
  </si>
  <si>
    <t>1336.9</t>
  </si>
  <si>
    <t>1336.10</t>
  </si>
  <si>
    <t>1336.11</t>
  </si>
  <si>
    <t>1336.12</t>
  </si>
  <si>
    <t>1336.13</t>
  </si>
  <si>
    <t>1336.14</t>
  </si>
  <si>
    <t>1336.15</t>
  </si>
  <si>
    <t>1337.0</t>
  </si>
  <si>
    <t>1337.1</t>
  </si>
  <si>
    <t>1337.2</t>
  </si>
  <si>
    <t>SCENARI</t>
  </si>
  <si>
    <t>Scenario E2</t>
  </si>
  <si>
    <t>1338.0</t>
  </si>
  <si>
    <t>Scenari -Comando Manuale Scenario E2: ALLARME SOS</t>
  </si>
  <si>
    <t>Scenario E3</t>
  </si>
  <si>
    <t>1338.1</t>
  </si>
  <si>
    <t>Scenari -Comando Manuale Scenario E3: PEDONE IN GALLERIA</t>
  </si>
  <si>
    <t>Scenario E4</t>
  </si>
  <si>
    <t>1338.2</t>
  </si>
  <si>
    <t>Scenari -Comando Manuale Scenario E4: VE ICOLO FERMO/OSTACOLO</t>
  </si>
  <si>
    <t>Scenario E5</t>
  </si>
  <si>
    <t>1338.3</t>
  </si>
  <si>
    <t>Scenari -Comando Manuale Scenario E5: INCIDENTE</t>
  </si>
  <si>
    <t>Scenario E6</t>
  </si>
  <si>
    <t>1338.4</t>
  </si>
  <si>
    <t>Scenari -Comando Manuale Scenario E6: DISTACCO JETFAN</t>
  </si>
  <si>
    <t>Scenario E7</t>
  </si>
  <si>
    <t>1338.5</t>
  </si>
  <si>
    <t>Scenari -Comando Manuale Scenario E7: GALLERIA INQUINATA</t>
  </si>
  <si>
    <t>Scenario E8</t>
  </si>
  <si>
    <t>1338.6</t>
  </si>
  <si>
    <t>Scenari -Comando Manuale Scenario E8: VEICOLO CONTROMANO</t>
  </si>
  <si>
    <t>Scenario E10</t>
  </si>
  <si>
    <t>1338.7</t>
  </si>
  <si>
    <t>Scenari -Comando Manuale Scenario E10: PREALLARME INCENDIO</t>
  </si>
  <si>
    <t>Scenario E11</t>
  </si>
  <si>
    <t>1338.8</t>
  </si>
  <si>
    <t>Scenari -Comando Manuale Scenario E11: ALLARME INCENDIO</t>
  </si>
  <si>
    <t>Scenario V1</t>
  </si>
  <si>
    <t>1338.9</t>
  </si>
  <si>
    <t>Scenari -Comando Manuale Scenario V1: CODA</t>
  </si>
  <si>
    <t>Scenario V6</t>
  </si>
  <si>
    <t>1338.10</t>
  </si>
  <si>
    <t>Scenari -Comando Manuale Scenario V6 -Galleria chiusa</t>
  </si>
  <si>
    <t>Scenario V4</t>
  </si>
  <si>
    <t>1338.11</t>
  </si>
  <si>
    <t>Scenari -Comando Manuale Scenario V4 -Corsia Marcia Chiusa</t>
  </si>
  <si>
    <t>Scenario V5</t>
  </si>
  <si>
    <t>1338.12</t>
  </si>
  <si>
    <t>Scenari -Comando Manuale Scenario V5 -Corsia Sorpasso Chiusa</t>
  </si>
  <si>
    <t>Scenari Tutti</t>
  </si>
  <si>
    <t>1338.13</t>
  </si>
  <si>
    <t>Scenari -Comando Scenari Abilitato Da RMT</t>
  </si>
  <si>
    <t>Scenari -Scenario Attivo</t>
  </si>
  <si>
    <t>PICCHETTI</t>
  </si>
  <si>
    <t>PICCHETTI NORD/SUD</t>
  </si>
  <si>
    <t>1340.0</t>
  </si>
  <si>
    <t>1340.1</t>
  </si>
  <si>
    <t>SOS 1</t>
  </si>
  <si>
    <t>Comando</t>
  </si>
  <si>
    <t>10000.0</t>
  </si>
  <si>
    <t>SOS1 -Reset Allarmi</t>
  </si>
  <si>
    <t>SOS 2</t>
  </si>
  <si>
    <t>10000.1</t>
  </si>
  <si>
    <t>SOS2 -Reset Allarmi</t>
  </si>
  <si>
    <t>SOS 3</t>
  </si>
  <si>
    <t>10000.2</t>
  </si>
  <si>
    <t>SOS3 -Reset Allarmi</t>
  </si>
  <si>
    <t>SOS 4</t>
  </si>
  <si>
    <t>10000.3</t>
  </si>
  <si>
    <t>SOS4 -Reset Allarmi</t>
  </si>
  <si>
    <t>SOS 5</t>
  </si>
  <si>
    <t>10000.4</t>
  </si>
  <si>
    <t>SOS5 -Reset Allarmi</t>
  </si>
  <si>
    <t>SOS 6</t>
  </si>
  <si>
    <t>10000.5</t>
  </si>
  <si>
    <t>SOS6 -Reset Allarmi</t>
  </si>
  <si>
    <t>SOS 7</t>
  </si>
  <si>
    <t>10000.6</t>
  </si>
  <si>
    <t>SOS7 -Reset Allarmi</t>
  </si>
  <si>
    <t>SOS 8</t>
  </si>
  <si>
    <t>10000.7</t>
  </si>
  <si>
    <t>SOS8 -Reset Allarmi</t>
  </si>
  <si>
    <t>SOS 9</t>
  </si>
  <si>
    <t>10000.8</t>
  </si>
  <si>
    <t>SOS9 -Reset Allarmi</t>
  </si>
  <si>
    <t>SOS 10</t>
  </si>
  <si>
    <t>10000.9</t>
  </si>
  <si>
    <t>SOS10 -Reset Allarmi</t>
  </si>
  <si>
    <t>SOS 11</t>
  </si>
  <si>
    <t>10000.10</t>
  </si>
  <si>
    <t>SOS11 -Reset Allarmi</t>
  </si>
  <si>
    <t>SOS 12</t>
  </si>
  <si>
    <t>10000.11</t>
  </si>
  <si>
    <t>SOS12 -Reset Allarmi</t>
  </si>
  <si>
    <t>SOS  ACC1</t>
  </si>
  <si>
    <t>10000.12</t>
  </si>
  <si>
    <t>SOSACC1 -Reset Allarmi</t>
  </si>
  <si>
    <t>SOS  ACC2</t>
  </si>
  <si>
    <t>10000.13</t>
  </si>
  <si>
    <t>SOSACC2 -Reset Allarmi</t>
  </si>
  <si>
    <t>SOS  PIAZZ</t>
  </si>
  <si>
    <t>10000.14</t>
  </si>
  <si>
    <t>SOSPIAZZ -Reset Allarmi</t>
  </si>
  <si>
    <t xml:space="preserve">T01S </t>
  </si>
  <si>
    <t>Coil</t>
  </si>
  <si>
    <t>T01S -Escludi Allarmi Telecamera</t>
  </si>
  <si>
    <t>T01S -Includi Allarmi Telecamera</t>
  </si>
  <si>
    <t>T01S -Escludi Allarme Fumo</t>
  </si>
  <si>
    <t>T01S -Includi Allarme Fumo</t>
  </si>
  <si>
    <t>T01S -EScludi Allarmi Traffico</t>
  </si>
  <si>
    <t>T01S -Includi Allarmi Traffico</t>
  </si>
  <si>
    <t>T01S -Reset Allarmi Telecamera</t>
  </si>
  <si>
    <t xml:space="preserve">T02S </t>
  </si>
  <si>
    <t>T02S -Escludi Allarmi Telecamera</t>
  </si>
  <si>
    <t>T02S -Includi Allarmi Telecamera</t>
  </si>
  <si>
    <t>T02S -Escludi Allarme Fumo</t>
  </si>
  <si>
    <t>T02S -Includi Allarme Fumo</t>
  </si>
  <si>
    <t>T02S -EScludi Allarmi Traffico</t>
  </si>
  <si>
    <t>T02S -Includi Allarmi Traffico</t>
  </si>
  <si>
    <t>T02S -Reset Allarmi Telecamera</t>
  </si>
  <si>
    <t xml:space="preserve">T05S </t>
  </si>
  <si>
    <t>T05S -Escludi Allarmi Telecamera</t>
  </si>
  <si>
    <t>T05S -Includi Allarmi Telecamera</t>
  </si>
  <si>
    <t>T05S -Escludi Allarme Fumo</t>
  </si>
  <si>
    <t>T05S -Includi Allarme Fumo</t>
  </si>
  <si>
    <t>T05S -EScludi Allarmi Traffico</t>
  </si>
  <si>
    <t>T05S -Includi Allarmi Traffico</t>
  </si>
  <si>
    <t>T05S -Reset Allarmi Telecamera</t>
  </si>
  <si>
    <t xml:space="preserve">T06S </t>
  </si>
  <si>
    <t>T06S -Escludi Allarmi Telecamera</t>
  </si>
  <si>
    <t>T06S -Includi Allarmi Telecamera</t>
  </si>
  <si>
    <t>T06S -Escludi Allarme Fumo</t>
  </si>
  <si>
    <t>T06S -Includi Allarme Fumo</t>
  </si>
  <si>
    <t>T06S -EScludi Allarmi Traffico</t>
  </si>
  <si>
    <t>T06S -Includi Allarmi Traffico</t>
  </si>
  <si>
    <t>T06S -Reset Allarmi Telecamera</t>
  </si>
  <si>
    <t xml:space="preserve">T07S </t>
  </si>
  <si>
    <t>T07S -Escludi Allarmi Telecamera</t>
  </si>
  <si>
    <t>T07S -Includi Allarmi Telecamera</t>
  </si>
  <si>
    <t>T07S -Escludi Allarme Fumo</t>
  </si>
  <si>
    <t>T07S -Includi Allarme Fumo</t>
  </si>
  <si>
    <t>T07S -EScludi Allarmi Traffico</t>
  </si>
  <si>
    <t>T07S -Includi Allarmi Traffico</t>
  </si>
  <si>
    <t>T07S -Reset Allarmi Telecamera</t>
  </si>
  <si>
    <t>T010S</t>
  </si>
  <si>
    <t>T010S -Escludi Allarmi Telecamera</t>
  </si>
  <si>
    <t>T010S -Includi Allarmi Telecamera</t>
  </si>
  <si>
    <t>T010S -Escludi Allarme Fumo</t>
  </si>
  <si>
    <t>T010S -Includi Allarme Fumo</t>
  </si>
  <si>
    <t>T010S -EScludi Allarmi Traffico</t>
  </si>
  <si>
    <t>T010S -Includi Allarmi Traffico</t>
  </si>
  <si>
    <t>T010S -Reset Allarmi Telecamera</t>
  </si>
  <si>
    <t>T011S</t>
  </si>
  <si>
    <t>T011S -Escludi Allarmi Telecamera</t>
  </si>
  <si>
    <t>T011S -Includi Allarmi Telecamera</t>
  </si>
  <si>
    <t>T011S -Escludi Allarme Fumo</t>
  </si>
  <si>
    <t>T011S -Includi Allarme Fumo</t>
  </si>
  <si>
    <t>T011S -EScludi Allarmi Traffico</t>
  </si>
  <si>
    <t>T011S -Includi Allarmi Traffico</t>
  </si>
  <si>
    <t>T011S -Reset Allarmi Telecamera</t>
  </si>
  <si>
    <t>T012S</t>
  </si>
  <si>
    <t>T012S -Escludi Allarmi Telecamera</t>
  </si>
  <si>
    <t>T012S -Includi Allarmi Telecamera</t>
  </si>
  <si>
    <t>T012S -Escludi Allarme Fumo</t>
  </si>
  <si>
    <t>T012S -Includi Allarme Fumo</t>
  </si>
  <si>
    <t>T012S -EScludi Allarmi Traffico</t>
  </si>
  <si>
    <t>T012S -Includi Allarmi Traffico</t>
  </si>
  <si>
    <t>T012S -Reset Allarmi Telecamera</t>
  </si>
  <si>
    <t xml:space="preserve">T13N </t>
  </si>
  <si>
    <t>T13N -Escludi Allarmi Telecamera</t>
  </si>
  <si>
    <t>T13N -Includi Allarmi Telecamera</t>
  </si>
  <si>
    <t>T13N -Escludi Allarme Fumo</t>
  </si>
  <si>
    <t>T13N -Includi Allarme Fumo</t>
  </si>
  <si>
    <t>T13N -EScludi Allarmi Traffico</t>
  </si>
  <si>
    <t>T13N -Includi Allarmi Traffico</t>
  </si>
  <si>
    <t>T13N -Reset Allarmi Telecamera</t>
  </si>
  <si>
    <t xml:space="preserve">T14N </t>
  </si>
  <si>
    <t>T14N -Escludi Allarmi Telecamera</t>
  </si>
  <si>
    <t>T14N -Includi Allarmi Telecamera</t>
  </si>
  <si>
    <t>T14N -Escludi Allarme Fumo</t>
  </si>
  <si>
    <t>T14N -Includi Allarme Fumo</t>
  </si>
  <si>
    <t>T14N -EScludi Allarmi Traffico</t>
  </si>
  <si>
    <t>T14N -Includi Allarmi Traffico</t>
  </si>
  <si>
    <t>T14N -Reset Allarmi Telecamera</t>
  </si>
  <si>
    <t xml:space="preserve">T15N </t>
  </si>
  <si>
    <t>T15N -Escludi Allarmi Telecamera</t>
  </si>
  <si>
    <t>T15N -Includi Allarmi Telecamera</t>
  </si>
  <si>
    <t>T15N -Escludi Allarme Fumo</t>
  </si>
  <si>
    <t>T15N -Includi Allarme Fumo</t>
  </si>
  <si>
    <t>T15N -EScludi Allarmi Traffico</t>
  </si>
  <si>
    <t>T15N -Includi Allarmi Traffico</t>
  </si>
  <si>
    <t>T15N -Reset Allarmi Telecamera</t>
  </si>
  <si>
    <t xml:space="preserve">T16N </t>
  </si>
  <si>
    <t>T16N -Escludi Allarmi Telecamera</t>
  </si>
  <si>
    <t>T16N -Includi Allarmi Telecamera</t>
  </si>
  <si>
    <t>T16N -Escludi Allarme Fumo</t>
  </si>
  <si>
    <t>T16N -Includi Allarme Fumo</t>
  </si>
  <si>
    <t>T16N -EScludi Allarmi Traffico</t>
  </si>
  <si>
    <t>T16N -Includi Allarmi Traffico</t>
  </si>
  <si>
    <t>T16N -Reset Allarmi Telecamera</t>
  </si>
  <si>
    <t xml:space="preserve">T19N </t>
  </si>
  <si>
    <t>T19N -Escludi Allarmi Telecamera</t>
  </si>
  <si>
    <t>T19N -Includi Allarmi Telecamera</t>
  </si>
  <si>
    <t>T19N -Escludi Allarme Fumo</t>
  </si>
  <si>
    <t>T19N -Includi Allarme Fumo</t>
  </si>
  <si>
    <t>T19N -EScludi Allarmi Traffico</t>
  </si>
  <si>
    <t>T19N -Includi Allarmi Traffico</t>
  </si>
  <si>
    <t>T19N -Reset Allarmi Telecamera</t>
  </si>
  <si>
    <t xml:space="preserve">T20N </t>
  </si>
  <si>
    <t>T20N -Escludi Allarmi Telecamera</t>
  </si>
  <si>
    <t>T20N -Includi Allarmi Telecamera</t>
  </si>
  <si>
    <t>T20N -Escludi Allarme Fumo</t>
  </si>
  <si>
    <t>T20N -Includi Allarme Fumo</t>
  </si>
  <si>
    <t>T20N -EScludi Allarmi Traffico</t>
  </si>
  <si>
    <t>T20N -Includi Allarmi Traffico</t>
  </si>
  <si>
    <t>T20N -Reset Allarmi Telecamera</t>
  </si>
  <si>
    <t xml:space="preserve">T21N </t>
  </si>
  <si>
    <t>T21N -Escludi Allarmi Telecamera</t>
  </si>
  <si>
    <t>T21N -Includi Allarmi Telecamera</t>
  </si>
  <si>
    <t>T21N -Escludi Allarme Fumo</t>
  </si>
  <si>
    <t>T21N -Includi Allarme Fumo</t>
  </si>
  <si>
    <t>T21N -EScludi Allarmi Traffico</t>
  </si>
  <si>
    <t>T21N -Includi Allarmi Traffico</t>
  </si>
  <si>
    <t>T21N -Reset Allarmi Telecamera</t>
  </si>
  <si>
    <t xml:space="preserve">T22N </t>
  </si>
  <si>
    <t>T22N -Escludi Allarmi Telecamera</t>
  </si>
  <si>
    <t>T22N -Includi Allarmi Telecamera</t>
  </si>
  <si>
    <t>T22N -Escludi Allarme Fumo</t>
  </si>
  <si>
    <t>T22N -Includi Allarme Fumo</t>
  </si>
  <si>
    <t>T22N -EScludi Allarmi Traffico</t>
  </si>
  <si>
    <t>T22N -Includi Allarmi Traffico</t>
  </si>
  <si>
    <t>T22N -Reset Allarmi Telecamera</t>
  </si>
  <si>
    <t>COD. 2= COMANDI MAN: accettato solo se in modalità comandi auto da "QVE" su quadro CABINA per singolo ventilatore e "REMOTO" Quadro "QVFF".</t>
  </si>
  <si>
    <t>COD. 3= COMANDI AUTO: accettato solo se in modalità comandi auto da "QVE" su quadro CABINA per singolo ventilatore e "REMOTO" Quadro "QVFF".</t>
  </si>
  <si>
    <t>COD. 4 =ESCLUDI</t>
  </si>
  <si>
    <t>COD. 5 =INCLUDI</t>
  </si>
  <si>
    <t>COD. 16 =CMD MARCIA DIR. NORD (*Valido solo se in modalità MAN da SCADA*)</t>
  </si>
  <si>
    <t>COD. 17 =CMD MARCIA DIR. SUD (*Valido solo se in modalità MAN da SCADA*)</t>
  </si>
  <si>
    <t>COD. 18 =CMD arresto (*Valido solo se in modalità MAN da SCADA*)</t>
  </si>
  <si>
    <t>COD. 33 =Comando Reset Allarmi</t>
  </si>
  <si>
    <t>IMPOSTA SOGLIE GALLERIA</t>
  </si>
  <si>
    <t>SOGLIE CO-OP-TEMPI</t>
  </si>
  <si>
    <t>10009.0</t>
  </si>
  <si>
    <t>Abilita Impostazione Soglie CO-OP</t>
  </si>
  <si>
    <t>SOGLIE CO</t>
  </si>
  <si>
    <t>CO SOGLIA 1</t>
  </si>
  <si>
    <t>CO SOGLIA 2</t>
  </si>
  <si>
    <t>CO SOGLIA 3</t>
  </si>
  <si>
    <t>SOGLIE OP</t>
  </si>
  <si>
    <t>OP SOGLIA 1</t>
  </si>
  <si>
    <t>OP SOGLIA 2</t>
  </si>
  <si>
    <t>OP SOGLIA 3</t>
  </si>
  <si>
    <t>NUMERO VENTILATORI SOGLIA</t>
  </si>
  <si>
    <t>Soglia 1 N° Ventilatori</t>
  </si>
  <si>
    <t>Soglia 2 N° Ventilatori</t>
  </si>
  <si>
    <t>Soglia 3 N° Ventilatori</t>
  </si>
  <si>
    <t>TEMPI SOGLIE SENSORI</t>
  </si>
  <si>
    <t>Tempo Ritardo Attivazione</t>
  </si>
  <si>
    <t>Tempo Ritardo Rientro</t>
  </si>
  <si>
    <t>10009.1</t>
  </si>
  <si>
    <t>CO1 -.Escludi</t>
  </si>
  <si>
    <t>10009.2</t>
  </si>
  <si>
    <t>CO1 -.Includi</t>
  </si>
  <si>
    <t>10009.3</t>
  </si>
  <si>
    <t>OP1 -.Escludi</t>
  </si>
  <si>
    <t>10009.4</t>
  </si>
  <si>
    <t>OP1 -.Includi</t>
  </si>
  <si>
    <t>10009.5</t>
  </si>
  <si>
    <t>10009.6</t>
  </si>
  <si>
    <t>10009.7</t>
  </si>
  <si>
    <t>10009.8</t>
  </si>
  <si>
    <t>LDM -MARCIA NORD</t>
  </si>
  <si>
    <t>10009.9</t>
  </si>
  <si>
    <t>Reset</t>
  </si>
  <si>
    <t>LDM -MARCIA SUD</t>
  </si>
  <si>
    <t>10009.10</t>
  </si>
  <si>
    <t>SCENARI SAN GIULIANO</t>
  </si>
  <si>
    <t>10009.11</t>
  </si>
  <si>
    <t>Scenari -Abilita Impostazione Scenari</t>
  </si>
  <si>
    <t>10027.0</t>
  </si>
  <si>
    <t>10027.1</t>
  </si>
  <si>
    <t>10027.2</t>
  </si>
  <si>
    <t>10027.3</t>
  </si>
  <si>
    <t>10027.4</t>
  </si>
  <si>
    <t>10027.5</t>
  </si>
  <si>
    <t>10027.6</t>
  </si>
  <si>
    <t>10027.7</t>
  </si>
  <si>
    <t>10027.8</t>
  </si>
  <si>
    <t>10027.9</t>
  </si>
  <si>
    <t>10027.10</t>
  </si>
  <si>
    <t>10027.11</t>
  </si>
  <si>
    <t>Scenari -Comando Manuale Scenario V4 -Corsia Marcia Sud</t>
  </si>
  <si>
    <t>10027.12</t>
  </si>
  <si>
    <t>Scenari -Comando Manuale Scenario V5 -Corsia Marcia Nord</t>
  </si>
  <si>
    <t>10028.0</t>
  </si>
  <si>
    <t>Scenari -Comando Reset Scenario E2: ALLARME SOS</t>
  </si>
  <si>
    <t>10028.1</t>
  </si>
  <si>
    <t>Scenari -Comando Reset Scenario E3: PEDONE IN GALLERIA</t>
  </si>
  <si>
    <t>10028.2</t>
  </si>
  <si>
    <t>Scenari -Comando Reset Scenario E4: VE ICOLO FERMO/OSTACOLO</t>
  </si>
  <si>
    <t>10028.3</t>
  </si>
  <si>
    <t>Scenari -Comando Reset Scenario E5: INCIDENTE</t>
  </si>
  <si>
    <t>10028.4</t>
  </si>
  <si>
    <t>Scenari -Comando Reset Scenario E6: DISTACCO JETFAN</t>
  </si>
  <si>
    <t>10028.5</t>
  </si>
  <si>
    <t>Scenari -Comando Reset Scenario E7: GALLERIA INQUINATA</t>
  </si>
  <si>
    <t>10028.6</t>
  </si>
  <si>
    <t>Scenari -Comando Reset Scenario E8: VEICOLO CONTROMANO</t>
  </si>
  <si>
    <t>10028.7</t>
  </si>
  <si>
    <t>Scenari -Comando Reset Scenario E10: PREALLARME INCENDIO</t>
  </si>
  <si>
    <t>10028.8</t>
  </si>
  <si>
    <t>Scenari -Comando Reset Scenario E11: ALLARME INCENDIO</t>
  </si>
  <si>
    <t>10028.9</t>
  </si>
  <si>
    <t>Scenari -Comando Reset Scenario V1: CODA</t>
  </si>
  <si>
    <t>10028.10</t>
  </si>
  <si>
    <t>Scenari -Comando Reset Scenario V6 -Galleria chiusa</t>
  </si>
  <si>
    <t>10028.11</t>
  </si>
  <si>
    <t>Scenari -Comando Reset Scenario V4 -Corsia Marcia Sud</t>
  </si>
  <si>
    <t>10028.12</t>
  </si>
  <si>
    <t>Scenari -Comando Reset Scenario V5 -Corsia Marcia Nord</t>
  </si>
  <si>
    <t>Scenari -Comando Attivazione Scenario E2: ALLARME SOS = Cod.13</t>
  </si>
  <si>
    <t>Scenari -Comando Attivazione Scenario E3: PEDONE IN GALLERIA = Cod.11</t>
  </si>
  <si>
    <t>Scenari -Comando Attivazione Scenario E4: VE ICOLO FERMO/OSTACOLO = Cod.14</t>
  </si>
  <si>
    <t>Scenari -Comando Attivazione Scenario E5: INCIDENTE = Cod.15</t>
  </si>
  <si>
    <t>Scenari -Comando Attivazione Scenario E6: DISTACCO JETFAN = Cod.16</t>
  </si>
  <si>
    <t>Scenari -Comando Attivazione Scenario E7: GALLERIA INQUINATA = Cod.17</t>
  </si>
  <si>
    <t>Scenari -Comando Attivazione Scenario E8: VEICOLO CONTROMANO = Cod.18</t>
  </si>
  <si>
    <t>Scenari -Comando Attivazione Scenario E10: PREALLARME INCENDIO = Cod.12</t>
  </si>
  <si>
    <t>Scenari -Comando Attivazione Scenario E11: ALLARME INCENDIO = Cod.10</t>
  </si>
  <si>
    <t>Scenari -Comando Attivazione Scenario V1: CODA = Cod.31</t>
  </si>
  <si>
    <t>Scenari -Comando Attivazione Scenario V6 -Galleria chiusa = Cod.21</t>
  </si>
  <si>
    <t>Scenari -Comando Attivazione Scenario V4 -Corsia Marcia Sud = Cod.22</t>
  </si>
  <si>
    <t>Scenari -Comando Attivazione Scenario V5 -Corsia Marcia Nord = Cod.23</t>
  </si>
  <si>
    <t>5000.0</t>
  </si>
  <si>
    <t>5000.1</t>
  </si>
  <si>
    <t>5000.2</t>
  </si>
  <si>
    <t>5000.3</t>
  </si>
  <si>
    <t>5000.4</t>
  </si>
  <si>
    <t>5000.5</t>
  </si>
  <si>
    <t>5000.6</t>
  </si>
  <si>
    <t>5000.7</t>
  </si>
  <si>
    <t>5000.8</t>
  </si>
  <si>
    <t>5000.9</t>
  </si>
  <si>
    <t>5000.10</t>
  </si>
  <si>
    <t>5000.11</t>
  </si>
  <si>
    <t>5000.12</t>
  </si>
  <si>
    <t>5000.13</t>
  </si>
  <si>
    <t>5000.14</t>
  </si>
  <si>
    <t>5000.15</t>
  </si>
  <si>
    <t>5001.0</t>
  </si>
  <si>
    <t>5001.1</t>
  </si>
  <si>
    <t>5001.2</t>
  </si>
  <si>
    <t>5001.3</t>
  </si>
  <si>
    <t>5001.4</t>
  </si>
  <si>
    <t>5001.5</t>
  </si>
  <si>
    <t>5001.6</t>
  </si>
  <si>
    <t>5001.7</t>
  </si>
  <si>
    <t>5001.8</t>
  </si>
  <si>
    <t>5001.9</t>
  </si>
  <si>
    <t>5001.10</t>
  </si>
  <si>
    <t>5001.11</t>
  </si>
  <si>
    <t>5001.12</t>
  </si>
  <si>
    <t>5001.13</t>
  </si>
  <si>
    <t>5001.14</t>
  </si>
  <si>
    <t>5001.15</t>
  </si>
  <si>
    <t>5002.0</t>
  </si>
  <si>
    <t>5002.1</t>
  </si>
  <si>
    <t>5002.2</t>
  </si>
  <si>
    <t>5002.3</t>
  </si>
  <si>
    <t>5002.4</t>
  </si>
  <si>
    <t>5002.5</t>
  </si>
  <si>
    <t>5002.6</t>
  </si>
  <si>
    <t>5002.7</t>
  </si>
  <si>
    <t>5002.8</t>
  </si>
  <si>
    <t>5002.9</t>
  </si>
  <si>
    <t>5002.10</t>
  </si>
  <si>
    <t>5002.11</t>
  </si>
  <si>
    <t>5002.12</t>
  </si>
  <si>
    <t>5002.13</t>
  </si>
  <si>
    <t>5002.14</t>
  </si>
  <si>
    <t>5002.15</t>
  </si>
  <si>
    <t>5003.0</t>
  </si>
  <si>
    <t>5003.1</t>
  </si>
  <si>
    <t>5003.2</t>
  </si>
  <si>
    <t>5003.3</t>
  </si>
  <si>
    <t>5003.4</t>
  </si>
  <si>
    <t>5003.5</t>
  </si>
  <si>
    <t>5003.6</t>
  </si>
  <si>
    <t>5003.7</t>
  </si>
  <si>
    <t>5003.8</t>
  </si>
  <si>
    <t>5003.9</t>
  </si>
  <si>
    <t>5003.10</t>
  </si>
  <si>
    <t>5003.11</t>
  </si>
  <si>
    <t>5003.12</t>
  </si>
  <si>
    <t>5003.13</t>
  </si>
  <si>
    <t>5003.14</t>
  </si>
  <si>
    <t>5003.15</t>
  </si>
  <si>
    <t>5004.0</t>
  </si>
  <si>
    <t>5004.1</t>
  </si>
  <si>
    <t>5004.2</t>
  </si>
  <si>
    <t>5004.3</t>
  </si>
  <si>
    <t>5004.4</t>
  </si>
  <si>
    <t>5004.5</t>
  </si>
  <si>
    <t>5004.6</t>
  </si>
  <si>
    <t>5004.7</t>
  </si>
  <si>
    <t>5004.8</t>
  </si>
  <si>
    <t>5004.9</t>
  </si>
  <si>
    <t>5004.10</t>
  </si>
  <si>
    <t>5004.11</t>
  </si>
  <si>
    <t>5004.12</t>
  </si>
  <si>
    <t>5004.13</t>
  </si>
  <si>
    <t>5004.14</t>
  </si>
  <si>
    <t>5004.15</t>
  </si>
  <si>
    <t>5005.0</t>
  </si>
  <si>
    <t>5005.1</t>
  </si>
  <si>
    <t>5005.2</t>
  </si>
  <si>
    <t>5005.3</t>
  </si>
  <si>
    <t>5005.4</t>
  </si>
  <si>
    <t>5005.5</t>
  </si>
  <si>
    <t>5005.6</t>
  </si>
  <si>
    <t>5005.7</t>
  </si>
  <si>
    <t>5005.8</t>
  </si>
  <si>
    <t>5005.9</t>
  </si>
  <si>
    <t>5005.10</t>
  </si>
  <si>
    <t>5005.11</t>
  </si>
  <si>
    <t>5005.12</t>
  </si>
  <si>
    <t>5005.13</t>
  </si>
  <si>
    <t>5005.14</t>
  </si>
  <si>
    <t>5005.15</t>
  </si>
  <si>
    <t>5006.0</t>
  </si>
  <si>
    <t>5006.1</t>
  </si>
  <si>
    <t>5006.2</t>
  </si>
  <si>
    <t>5006.3</t>
  </si>
  <si>
    <t>5006.4</t>
  </si>
  <si>
    <t>5006.5</t>
  </si>
  <si>
    <t>5006.6</t>
  </si>
  <si>
    <t>5006.7</t>
  </si>
  <si>
    <t>5006.8</t>
  </si>
  <si>
    <t>5006.9</t>
  </si>
  <si>
    <t>5006.10</t>
  </si>
  <si>
    <t>5006.11</t>
  </si>
  <si>
    <t>5006.12</t>
  </si>
  <si>
    <t>5006.13</t>
  </si>
  <si>
    <t>5006.14</t>
  </si>
  <si>
    <t>5006.15</t>
  </si>
  <si>
    <t>5007.0</t>
  </si>
  <si>
    <t>5007.1</t>
  </si>
  <si>
    <t>5007.2</t>
  </si>
  <si>
    <t>5007.3</t>
  </si>
  <si>
    <t>5007.4</t>
  </si>
  <si>
    <t>5007.5</t>
  </si>
  <si>
    <t>5007.6</t>
  </si>
  <si>
    <t>5007.7</t>
  </si>
  <si>
    <t>5007.8</t>
  </si>
  <si>
    <t>5007.9</t>
  </si>
  <si>
    <t>5007.10</t>
  </si>
  <si>
    <t>5007.11</t>
  </si>
  <si>
    <t>5007.12</t>
  </si>
  <si>
    <t>5007.13</t>
  </si>
  <si>
    <t>5007.14</t>
  </si>
  <si>
    <t>5007.15</t>
  </si>
  <si>
    <t>5008.0</t>
  </si>
  <si>
    <t>5008.1</t>
  </si>
  <si>
    <t>5008.2</t>
  </si>
  <si>
    <t>5008.3</t>
  </si>
  <si>
    <t>5008.4</t>
  </si>
  <si>
    <t>5008.5</t>
  </si>
  <si>
    <t>5008.6</t>
  </si>
  <si>
    <t>5008.7</t>
  </si>
  <si>
    <t>5008.8</t>
  </si>
  <si>
    <t>5008.9</t>
  </si>
  <si>
    <t>5008.10</t>
  </si>
  <si>
    <t>5008.11</t>
  </si>
  <si>
    <t>5008.12</t>
  </si>
  <si>
    <t>5008.13</t>
  </si>
  <si>
    <t>5008.14</t>
  </si>
  <si>
    <t>5008.15</t>
  </si>
  <si>
    <t>5009.0</t>
  </si>
  <si>
    <t>5009.1</t>
  </si>
  <si>
    <t>5009.2</t>
  </si>
  <si>
    <t>5009.3</t>
  </si>
  <si>
    <t>5009.4</t>
  </si>
  <si>
    <t>5009.5</t>
  </si>
  <si>
    <t>5009.6</t>
  </si>
  <si>
    <t>5009.7</t>
  </si>
  <si>
    <t>5009.8</t>
  </si>
  <si>
    <t>5009.9</t>
  </si>
  <si>
    <t>5009.10</t>
  </si>
  <si>
    <t>5009.11</t>
  </si>
  <si>
    <t>5009.12</t>
  </si>
  <si>
    <t>5009.13</t>
  </si>
  <si>
    <t>5009.14</t>
  </si>
  <si>
    <t>5009.15</t>
  </si>
  <si>
    <t>5010.0</t>
  </si>
  <si>
    <t>5010.1</t>
  </si>
  <si>
    <t>5010.2</t>
  </si>
  <si>
    <t>5010.3</t>
  </si>
  <si>
    <t>5010.4</t>
  </si>
  <si>
    <t>5010.5</t>
  </si>
  <si>
    <t>5010.6</t>
  </si>
  <si>
    <t>5010.7</t>
  </si>
  <si>
    <t>5010.8</t>
  </si>
  <si>
    <t>5010.9</t>
  </si>
  <si>
    <t>5010.10</t>
  </si>
  <si>
    <t>5010.11</t>
  </si>
  <si>
    <t>5010.12</t>
  </si>
  <si>
    <t>5010.13</t>
  </si>
  <si>
    <t>5010.14</t>
  </si>
  <si>
    <t>5010.15</t>
  </si>
  <si>
    <t>5011.0</t>
  </si>
  <si>
    <t>5011.1</t>
  </si>
  <si>
    <t>5011.2</t>
  </si>
  <si>
    <t>5011.3</t>
  </si>
  <si>
    <t>5011.4</t>
  </si>
  <si>
    <t>5011.5</t>
  </si>
  <si>
    <t>5011.6</t>
  </si>
  <si>
    <t>5011.7</t>
  </si>
  <si>
    <t>5011.8</t>
  </si>
  <si>
    <t>5011.9</t>
  </si>
  <si>
    <t>5011.10</t>
  </si>
  <si>
    <t>5011.11</t>
  </si>
  <si>
    <t>5011.12</t>
  </si>
  <si>
    <t>5011.13</t>
  </si>
  <si>
    <t>5011.14</t>
  </si>
  <si>
    <t>5011.15</t>
  </si>
  <si>
    <t>5012.0</t>
  </si>
  <si>
    <t>5012.1</t>
  </si>
  <si>
    <t>5012.2</t>
  </si>
  <si>
    <t>5012.3</t>
  </si>
  <si>
    <t>5015.0</t>
  </si>
  <si>
    <t>5015.1</t>
  </si>
  <si>
    <t>5015.2</t>
  </si>
  <si>
    <t>5015.3</t>
  </si>
  <si>
    <t>5015.4</t>
  </si>
  <si>
    <t>5015.5</t>
  </si>
  <si>
    <t>5015.6</t>
  </si>
  <si>
    <t>5015.7</t>
  </si>
  <si>
    <t>5015.8</t>
  </si>
  <si>
    <t>5015.9</t>
  </si>
  <si>
    <t>5015.10</t>
  </si>
  <si>
    <t>5015.11</t>
  </si>
  <si>
    <t>5015.12</t>
  </si>
  <si>
    <t>5015.13</t>
  </si>
  <si>
    <t>5015.14</t>
  </si>
  <si>
    <t>5015.15</t>
  </si>
  <si>
    <t>5016.0</t>
  </si>
  <si>
    <t>5016.1</t>
  </si>
  <si>
    <t>5016.2</t>
  </si>
  <si>
    <t>5016.3</t>
  </si>
  <si>
    <t>5016.4</t>
  </si>
  <si>
    <t>5016.5</t>
  </si>
  <si>
    <t>5016.6</t>
  </si>
  <si>
    <t>5016.7</t>
  </si>
  <si>
    <t>5016.8</t>
  </si>
  <si>
    <t>5016.9</t>
  </si>
  <si>
    <t>5016.10</t>
  </si>
  <si>
    <t>5016.11</t>
  </si>
  <si>
    <t>5016.12</t>
  </si>
  <si>
    <t>5016.13</t>
  </si>
  <si>
    <t>5016.14</t>
  </si>
  <si>
    <t>5016.15</t>
  </si>
  <si>
    <t>T03S</t>
  </si>
  <si>
    <t>5017.0</t>
  </si>
  <si>
    <t>5017.1</t>
  </si>
  <si>
    <t>5017.2</t>
  </si>
  <si>
    <t>5017.3</t>
  </si>
  <si>
    <t>5017.4</t>
  </si>
  <si>
    <t>5017.5</t>
  </si>
  <si>
    <t>5017.6</t>
  </si>
  <si>
    <t>5017.7</t>
  </si>
  <si>
    <t>5017.8</t>
  </si>
  <si>
    <t>5017.9</t>
  </si>
  <si>
    <t>5017.10</t>
  </si>
  <si>
    <t>5017.11</t>
  </si>
  <si>
    <t>5017.12</t>
  </si>
  <si>
    <t>5017.13</t>
  </si>
  <si>
    <t>5017.14</t>
  </si>
  <si>
    <t>5017.15</t>
  </si>
  <si>
    <t>5018.0</t>
  </si>
  <si>
    <t>5018.1</t>
  </si>
  <si>
    <t>5018.2</t>
  </si>
  <si>
    <t>5018.3</t>
  </si>
  <si>
    <t>5018.4</t>
  </si>
  <si>
    <t>5018.5</t>
  </si>
  <si>
    <t>5018.6</t>
  </si>
  <si>
    <t>5018.7</t>
  </si>
  <si>
    <t>5018.8</t>
  </si>
  <si>
    <t>5018.9</t>
  </si>
  <si>
    <t>5018.10</t>
  </si>
  <si>
    <t>5018.11</t>
  </si>
  <si>
    <t>5018.12</t>
  </si>
  <si>
    <t>5018.13</t>
  </si>
  <si>
    <t>5018.14</t>
  </si>
  <si>
    <t>5018.15</t>
  </si>
  <si>
    <t>T09S</t>
  </si>
  <si>
    <t>5019.0</t>
  </si>
  <si>
    <t>5019.1</t>
  </si>
  <si>
    <t>5019.2</t>
  </si>
  <si>
    <t>5019.3</t>
  </si>
  <si>
    <t>5019.4</t>
  </si>
  <si>
    <t>5019.5</t>
  </si>
  <si>
    <t>5019.6</t>
  </si>
  <si>
    <t>5019.7</t>
  </si>
  <si>
    <t>5019.8</t>
  </si>
  <si>
    <t>5019.9</t>
  </si>
  <si>
    <t>5019.10</t>
  </si>
  <si>
    <t>5019.11</t>
  </si>
  <si>
    <t>5019.12</t>
  </si>
  <si>
    <t>5019.13</t>
  </si>
  <si>
    <t>5019.14</t>
  </si>
  <si>
    <t>5019.15</t>
  </si>
  <si>
    <t>5020.0</t>
  </si>
  <si>
    <t>5020.1</t>
  </si>
  <si>
    <t>5020.2</t>
  </si>
  <si>
    <t>5020.3</t>
  </si>
  <si>
    <t>5020.4</t>
  </si>
  <si>
    <t>5020.5</t>
  </si>
  <si>
    <t>5020.6</t>
  </si>
  <si>
    <t>5020.7</t>
  </si>
  <si>
    <t>5020.8</t>
  </si>
  <si>
    <t>5020.9</t>
  </si>
  <si>
    <t>5020.10</t>
  </si>
  <si>
    <t>5020.11</t>
  </si>
  <si>
    <t>5020.12</t>
  </si>
  <si>
    <t>5020.13</t>
  </si>
  <si>
    <t>5020.14</t>
  </si>
  <si>
    <t>5020.15</t>
  </si>
  <si>
    <t>T11N</t>
  </si>
  <si>
    <t>5021.0</t>
  </si>
  <si>
    <t>5021.1</t>
  </si>
  <si>
    <t>5021.2</t>
  </si>
  <si>
    <t>5021.3</t>
  </si>
  <si>
    <t>5021.4</t>
  </si>
  <si>
    <t>5021.5</t>
  </si>
  <si>
    <t>5021.6</t>
  </si>
  <si>
    <t>5021.7</t>
  </si>
  <si>
    <t>5021.8</t>
  </si>
  <si>
    <t>5021.9</t>
  </si>
  <si>
    <t>5021.10</t>
  </si>
  <si>
    <t>5021.11</t>
  </si>
  <si>
    <t>5021.12</t>
  </si>
  <si>
    <t>5021.13</t>
  </si>
  <si>
    <t>5021.14</t>
  </si>
  <si>
    <t>5021.15</t>
  </si>
  <si>
    <t>T12N</t>
  </si>
  <si>
    <t>5022.0</t>
  </si>
  <si>
    <t>5022.1</t>
  </si>
  <si>
    <t>5022.2</t>
  </si>
  <si>
    <t>5022.3</t>
  </si>
  <si>
    <t>5022.4</t>
  </si>
  <si>
    <t>5022.5</t>
  </si>
  <si>
    <t>5022.6</t>
  </si>
  <si>
    <t>5022.7</t>
  </si>
  <si>
    <t>5022.8</t>
  </si>
  <si>
    <t>5022.9</t>
  </si>
  <si>
    <t>5022.10</t>
  </si>
  <si>
    <t>5022.11</t>
  </si>
  <si>
    <t>5022.12</t>
  </si>
  <si>
    <t>5022.13</t>
  </si>
  <si>
    <t>5022.14</t>
  </si>
  <si>
    <t>5022.15</t>
  </si>
  <si>
    <t>5023.0</t>
  </si>
  <si>
    <t>5023.1</t>
  </si>
  <si>
    <t>5023.2</t>
  </si>
  <si>
    <t>5023.3</t>
  </si>
  <si>
    <t>5023.4</t>
  </si>
  <si>
    <t>5023.5</t>
  </si>
  <si>
    <t>5023.6</t>
  </si>
  <si>
    <t>5023.7</t>
  </si>
  <si>
    <t>5023.8</t>
  </si>
  <si>
    <t>5023.9</t>
  </si>
  <si>
    <t>5023.10</t>
  </si>
  <si>
    <t>5023.11</t>
  </si>
  <si>
    <t>5023.12</t>
  </si>
  <si>
    <t>5023.13</t>
  </si>
  <si>
    <t>5023.14</t>
  </si>
  <si>
    <t>5023.15</t>
  </si>
  <si>
    <t>5024.0</t>
  </si>
  <si>
    <t>5024.1</t>
  </si>
  <si>
    <t>5024.2</t>
  </si>
  <si>
    <t>5024.3</t>
  </si>
  <si>
    <t>5024.4</t>
  </si>
  <si>
    <t>5024.5</t>
  </si>
  <si>
    <t>5024.6</t>
  </si>
  <si>
    <t>5024.7</t>
  </si>
  <si>
    <t>5024.8</t>
  </si>
  <si>
    <t>5024.9</t>
  </si>
  <si>
    <t>5024.10</t>
  </si>
  <si>
    <t>5024.11</t>
  </si>
  <si>
    <t>5024.12</t>
  </si>
  <si>
    <t>5024.13</t>
  </si>
  <si>
    <t>5024.14</t>
  </si>
  <si>
    <t>5024.15</t>
  </si>
  <si>
    <t>5025.0</t>
  </si>
  <si>
    <t>5025.1</t>
  </si>
  <si>
    <t>5025.2</t>
  </si>
  <si>
    <t>5025.3</t>
  </si>
  <si>
    <t>5025.4</t>
  </si>
  <si>
    <t>5025.5</t>
  </si>
  <si>
    <t>5025.6</t>
  </si>
  <si>
    <t>5025.7</t>
  </si>
  <si>
    <t>5025.8</t>
  </si>
  <si>
    <t>5025.9</t>
  </si>
  <si>
    <t>5025.10</t>
  </si>
  <si>
    <t>5025.11</t>
  </si>
  <si>
    <t>5025.12</t>
  </si>
  <si>
    <t>5025.13</t>
  </si>
  <si>
    <t>5025.14</t>
  </si>
  <si>
    <t>5025.15</t>
  </si>
  <si>
    <t>5026.0</t>
  </si>
  <si>
    <t>5026.1</t>
  </si>
  <si>
    <t>5026.2</t>
  </si>
  <si>
    <t>5026.3</t>
  </si>
  <si>
    <t>5026.4</t>
  </si>
  <si>
    <t>5026.5</t>
  </si>
  <si>
    <t>5026.6</t>
  </si>
  <si>
    <t>5026.7</t>
  </si>
  <si>
    <t>5026.8</t>
  </si>
  <si>
    <t>5026.9</t>
  </si>
  <si>
    <t>5026.10</t>
  </si>
  <si>
    <t>5026.11</t>
  </si>
  <si>
    <t>5026.12</t>
  </si>
  <si>
    <t>5026.13</t>
  </si>
  <si>
    <t>5026.14</t>
  </si>
  <si>
    <t>5026.15</t>
  </si>
  <si>
    <t>5027.0</t>
  </si>
  <si>
    <t>5027.1</t>
  </si>
  <si>
    <t>5027.2</t>
  </si>
  <si>
    <t>5027.3</t>
  </si>
  <si>
    <t>5027.4</t>
  </si>
  <si>
    <t>5027.5</t>
  </si>
  <si>
    <t>5027.6</t>
  </si>
  <si>
    <t>5027.7</t>
  </si>
  <si>
    <t>5027.8</t>
  </si>
  <si>
    <t>5027.9</t>
  </si>
  <si>
    <t>5027.10</t>
  </si>
  <si>
    <t>5027.11</t>
  </si>
  <si>
    <t>5027.12</t>
  </si>
  <si>
    <t>5027.13</t>
  </si>
  <si>
    <t>5027.14</t>
  </si>
  <si>
    <t>5027.15</t>
  </si>
  <si>
    <t>5028.0</t>
  </si>
  <si>
    <t>5028.1</t>
  </si>
  <si>
    <t>5028.2</t>
  </si>
  <si>
    <t>5028.3</t>
  </si>
  <si>
    <t>5028.4</t>
  </si>
  <si>
    <t>5028.5</t>
  </si>
  <si>
    <t>5028.6</t>
  </si>
  <si>
    <t>5028.7</t>
  </si>
  <si>
    <t>5028.8</t>
  </si>
  <si>
    <t>5028.9</t>
  </si>
  <si>
    <t>5028.10</t>
  </si>
  <si>
    <t>5028.11</t>
  </si>
  <si>
    <t>5028.12</t>
  </si>
  <si>
    <t>5028.13</t>
  </si>
  <si>
    <t>5028.14</t>
  </si>
  <si>
    <t>5028.15</t>
  </si>
  <si>
    <t>5029.0</t>
  </si>
  <si>
    <t>5029.1</t>
  </si>
  <si>
    <t>5029.2</t>
  </si>
  <si>
    <t>5029.3</t>
  </si>
  <si>
    <t>5029.4</t>
  </si>
  <si>
    <t>5029.5</t>
  </si>
  <si>
    <t>5029.6</t>
  </si>
  <si>
    <t>5029.7</t>
  </si>
  <si>
    <t>5029.8</t>
  </si>
  <si>
    <t>5029.9</t>
  </si>
  <si>
    <t>5029.10</t>
  </si>
  <si>
    <t>5029.11</t>
  </si>
  <si>
    <t>5029.12</t>
  </si>
  <si>
    <t>5029.13</t>
  </si>
  <si>
    <t>5029.14</t>
  </si>
  <si>
    <t>5029.15</t>
  </si>
  <si>
    <t>5030.0</t>
  </si>
  <si>
    <t>5030.1</t>
  </si>
  <si>
    <t>5030.2</t>
  </si>
  <si>
    <t>5030.3</t>
  </si>
  <si>
    <t>5030.4</t>
  </si>
  <si>
    <t>5030.5</t>
  </si>
  <si>
    <t>5030.6</t>
  </si>
  <si>
    <t>5030.7</t>
  </si>
  <si>
    <t>5030.8</t>
  </si>
  <si>
    <t>5030.9</t>
  </si>
  <si>
    <t>5030.10</t>
  </si>
  <si>
    <t>5030.11</t>
  </si>
  <si>
    <t>5030.12</t>
  </si>
  <si>
    <t>5030.13</t>
  </si>
  <si>
    <t>5030.14</t>
  </si>
  <si>
    <t>5030.15</t>
  </si>
  <si>
    <t>5031.0</t>
  </si>
  <si>
    <t>5031.1</t>
  </si>
  <si>
    <t>5031.2</t>
  </si>
  <si>
    <t>5031.3</t>
  </si>
  <si>
    <t>5031.4</t>
  </si>
  <si>
    <t>5031.5</t>
  </si>
  <si>
    <t>5031.6</t>
  </si>
  <si>
    <t>5031.7</t>
  </si>
  <si>
    <t>5031.8</t>
  </si>
  <si>
    <t>5031.9</t>
  </si>
  <si>
    <t>5031.10</t>
  </si>
  <si>
    <t>5031.11</t>
  </si>
  <si>
    <t>5031.12</t>
  </si>
  <si>
    <t>5031.13</t>
  </si>
  <si>
    <t>5031.14</t>
  </si>
  <si>
    <t>5031.15</t>
  </si>
  <si>
    <t>5032.0</t>
  </si>
  <si>
    <t>5032.1</t>
  </si>
  <si>
    <t>5032.2</t>
  </si>
  <si>
    <t>5032.3</t>
  </si>
  <si>
    <t>5032.4</t>
  </si>
  <si>
    <t>5032.5</t>
  </si>
  <si>
    <t>5032.6</t>
  </si>
  <si>
    <t>5032.7</t>
  </si>
  <si>
    <t>5032.8</t>
  </si>
  <si>
    <t>5032.9</t>
  </si>
  <si>
    <t>5032.10</t>
  </si>
  <si>
    <t>5032.11</t>
  </si>
  <si>
    <t>5032.12</t>
  </si>
  <si>
    <t>5032.13</t>
  </si>
  <si>
    <t>5032.14</t>
  </si>
  <si>
    <t>5032.15</t>
  </si>
  <si>
    <t>5033.0</t>
  </si>
  <si>
    <t>5033.1</t>
  </si>
  <si>
    <t>5033.2</t>
  </si>
  <si>
    <t>5033.3</t>
  </si>
  <si>
    <t>5033.4</t>
  </si>
  <si>
    <t>5033.5</t>
  </si>
  <si>
    <t>5033.6</t>
  </si>
  <si>
    <t>5033.7</t>
  </si>
  <si>
    <t>5033.8</t>
  </si>
  <si>
    <t>5033.9</t>
  </si>
  <si>
    <t>5033.10</t>
  </si>
  <si>
    <t>5033.11</t>
  </si>
  <si>
    <t>5033.12</t>
  </si>
  <si>
    <t>5033.13</t>
  </si>
  <si>
    <t>5033.14</t>
  </si>
  <si>
    <t>5033.15</t>
  </si>
  <si>
    <t>5034.0</t>
  </si>
  <si>
    <t>5034.1</t>
  </si>
  <si>
    <t>5034.2</t>
  </si>
  <si>
    <t>5034.3</t>
  </si>
  <si>
    <t>5034.4</t>
  </si>
  <si>
    <t>5034.5</t>
  </si>
  <si>
    <t>5034.6</t>
  </si>
  <si>
    <t>5034.7</t>
  </si>
  <si>
    <t>5034.8</t>
  </si>
  <si>
    <t>5034.9</t>
  </si>
  <si>
    <t>5034.10</t>
  </si>
  <si>
    <t>5034.11</t>
  </si>
  <si>
    <t>5034.12</t>
  </si>
  <si>
    <t>5034.13</t>
  </si>
  <si>
    <t>5034.14</t>
  </si>
  <si>
    <t>5034.15</t>
  </si>
  <si>
    <t>5035.0</t>
  </si>
  <si>
    <t>5035.1</t>
  </si>
  <si>
    <t>5035.2</t>
  </si>
  <si>
    <t>5035.3</t>
  </si>
  <si>
    <t>5035.4</t>
  </si>
  <si>
    <t>5035.5</t>
  </si>
  <si>
    <t>5035.6</t>
  </si>
  <si>
    <t>5035.7</t>
  </si>
  <si>
    <t>5035.8</t>
  </si>
  <si>
    <t>5035.9</t>
  </si>
  <si>
    <t>5035.10</t>
  </si>
  <si>
    <t>5035.11</t>
  </si>
  <si>
    <t>5035.12</t>
  </si>
  <si>
    <t>5035.13</t>
  </si>
  <si>
    <t>5035.14</t>
  </si>
  <si>
    <t>5035.15</t>
  </si>
  <si>
    <t>5036.0</t>
  </si>
  <si>
    <t>5036.1</t>
  </si>
  <si>
    <t>5036.2</t>
  </si>
  <si>
    <t>5036.3</t>
  </si>
  <si>
    <t>5036.4</t>
  </si>
  <si>
    <t>5036.5</t>
  </si>
  <si>
    <t>5036.6</t>
  </si>
  <si>
    <t>5036.7</t>
  </si>
  <si>
    <t>5036.8</t>
  </si>
  <si>
    <t>5036.9</t>
  </si>
  <si>
    <t>5036.10</t>
  </si>
  <si>
    <t>5036.11</t>
  </si>
  <si>
    <t>5036.12</t>
  </si>
  <si>
    <t>5036.13</t>
  </si>
  <si>
    <t>5036.14</t>
  </si>
  <si>
    <t>5036.15</t>
  </si>
  <si>
    <t>5037.0</t>
  </si>
  <si>
    <t>5037.1</t>
  </si>
  <si>
    <t>5037.2</t>
  </si>
  <si>
    <t>5037.3</t>
  </si>
  <si>
    <t>5037.4</t>
  </si>
  <si>
    <t>5037.5</t>
  </si>
  <si>
    <t>5037.6</t>
  </si>
  <si>
    <t>5037.7</t>
  </si>
  <si>
    <t>5037.8</t>
  </si>
  <si>
    <t>5037.9</t>
  </si>
  <si>
    <t>5037.10</t>
  </si>
  <si>
    <t>5037.11</t>
  </si>
  <si>
    <t>5037.12</t>
  </si>
  <si>
    <t>5037.13</t>
  </si>
  <si>
    <t>5037.14</t>
  </si>
  <si>
    <t>5037.15</t>
  </si>
  <si>
    <t>5038.0</t>
  </si>
  <si>
    <t>5038.1</t>
  </si>
  <si>
    <t>5038.2</t>
  </si>
  <si>
    <t>5038.3</t>
  </si>
  <si>
    <t>5038.4</t>
  </si>
  <si>
    <t>5038.5</t>
  </si>
  <si>
    <t>5038.6</t>
  </si>
  <si>
    <t>5038.7</t>
  </si>
  <si>
    <t>5038.8</t>
  </si>
  <si>
    <t>5038.9</t>
  </si>
  <si>
    <t>5038.10</t>
  </si>
  <si>
    <t>5038.11</t>
  </si>
  <si>
    <t>5038.12</t>
  </si>
  <si>
    <t>5038.13</t>
  </si>
  <si>
    <t>5038.14</t>
  </si>
  <si>
    <t>5038.15</t>
  </si>
  <si>
    <t>5039.0</t>
  </si>
  <si>
    <t>5039.1</t>
  </si>
  <si>
    <t>5039.2</t>
  </si>
  <si>
    <t>5039.3</t>
  </si>
  <si>
    <t>5039.4</t>
  </si>
  <si>
    <t>5039.5</t>
  </si>
  <si>
    <t>5053.0</t>
  </si>
  <si>
    <t>5053.1</t>
  </si>
  <si>
    <t>5053.2</t>
  </si>
  <si>
    <t>5053.3</t>
  </si>
  <si>
    <t>5053.4</t>
  </si>
  <si>
    <t>5053.5</t>
  </si>
  <si>
    <t>5053.6</t>
  </si>
  <si>
    <t>5053.7</t>
  </si>
  <si>
    <t>5053.8</t>
  </si>
  <si>
    <t>5053.9</t>
  </si>
  <si>
    <t>5053.10</t>
  </si>
  <si>
    <t>5053.11</t>
  </si>
  <si>
    <t>5053.12</t>
  </si>
  <si>
    <t>5053.13</t>
  </si>
  <si>
    <t>5053.14</t>
  </si>
  <si>
    <t>5053.15</t>
  </si>
  <si>
    <t>5054.0</t>
  </si>
  <si>
    <t>5054.1</t>
  </si>
  <si>
    <t>5054.2</t>
  </si>
  <si>
    <t>5054.3</t>
  </si>
  <si>
    <t>5054.4</t>
  </si>
  <si>
    <t>5054.5</t>
  </si>
  <si>
    <t>5054.6</t>
  </si>
  <si>
    <t>5054.7</t>
  </si>
  <si>
    <t>5054.8</t>
  </si>
  <si>
    <t>5054.9</t>
  </si>
  <si>
    <t>5054.10</t>
  </si>
  <si>
    <t>5054.11</t>
  </si>
  <si>
    <t>5054.12</t>
  </si>
  <si>
    <t>5054.13</t>
  </si>
  <si>
    <t>5054.14</t>
  </si>
  <si>
    <t>5054.15</t>
  </si>
  <si>
    <t>5055.0</t>
  </si>
  <si>
    <t>5055.1</t>
  </si>
  <si>
    <t>5055.2</t>
  </si>
  <si>
    <t>5055.3</t>
  </si>
  <si>
    <t>5055.4</t>
  </si>
  <si>
    <t>5055.5</t>
  </si>
  <si>
    <t>5055.6</t>
  </si>
  <si>
    <t>5055.7</t>
  </si>
  <si>
    <t>5055.8</t>
  </si>
  <si>
    <t>5055.9</t>
  </si>
  <si>
    <t>5055.10</t>
  </si>
  <si>
    <t>5055.11</t>
  </si>
  <si>
    <t>5055.12</t>
  </si>
  <si>
    <t>5055.13</t>
  </si>
  <si>
    <t>5055.14</t>
  </si>
  <si>
    <t>5055.15</t>
  </si>
  <si>
    <t>5056.0</t>
  </si>
  <si>
    <t>5056.1</t>
  </si>
  <si>
    <t>5056.2</t>
  </si>
  <si>
    <t>5056.3</t>
  </si>
  <si>
    <t>5056.4</t>
  </si>
  <si>
    <t>5056.5</t>
  </si>
  <si>
    <t>5056.6</t>
  </si>
  <si>
    <t>5056.7</t>
  </si>
  <si>
    <t>5056.8</t>
  </si>
  <si>
    <t>5056.9</t>
  </si>
  <si>
    <t>5056.10</t>
  </si>
  <si>
    <t>5056.11</t>
  </si>
  <si>
    <t>5056.12</t>
  </si>
  <si>
    <t>5056.13</t>
  </si>
  <si>
    <t>5056.14</t>
  </si>
  <si>
    <t>5056.15</t>
  </si>
  <si>
    <t>5057.0</t>
  </si>
  <si>
    <t>5057.1</t>
  </si>
  <si>
    <t>5057.2</t>
  </si>
  <si>
    <t>5057.3</t>
  </si>
  <si>
    <t>5057.4</t>
  </si>
  <si>
    <t>5057.5</t>
  </si>
  <si>
    <t>5057.6</t>
  </si>
  <si>
    <t>5057.7</t>
  </si>
  <si>
    <t>5057.8</t>
  </si>
  <si>
    <t>5057.9</t>
  </si>
  <si>
    <t>5057.10</t>
  </si>
  <si>
    <t>5057.11</t>
  </si>
  <si>
    <t>5057.12</t>
  </si>
  <si>
    <t>5057.13</t>
  </si>
  <si>
    <t>5057.14</t>
  </si>
  <si>
    <t>5057.15</t>
  </si>
  <si>
    <t>5058.0</t>
  </si>
  <si>
    <t>5058.1</t>
  </si>
  <si>
    <t>5058.2</t>
  </si>
  <si>
    <t>5058.3</t>
  </si>
  <si>
    <t>5090.0</t>
  </si>
  <si>
    <t>5090.1</t>
  </si>
  <si>
    <t>5090.2</t>
  </si>
  <si>
    <t>5090.3</t>
  </si>
  <si>
    <t>5090.4</t>
  </si>
  <si>
    <t>5090.5</t>
  </si>
  <si>
    <t>5090.6</t>
  </si>
  <si>
    <t>5090.7</t>
  </si>
  <si>
    <t>5090.8</t>
  </si>
  <si>
    <t>5090.9</t>
  </si>
  <si>
    <t>5090.10</t>
  </si>
  <si>
    <t>5090.11</t>
  </si>
  <si>
    <t>5090.12</t>
  </si>
  <si>
    <t>5090.13</t>
  </si>
  <si>
    <t>5090.14</t>
  </si>
  <si>
    <t>5090.15</t>
  </si>
  <si>
    <t>5091.0</t>
  </si>
  <si>
    <t>5091.1</t>
  </si>
  <si>
    <t>5091.2</t>
  </si>
  <si>
    <t>5091.3</t>
  </si>
  <si>
    <t>5091.4</t>
  </si>
  <si>
    <t>5091.5</t>
  </si>
  <si>
    <t>5091.6</t>
  </si>
  <si>
    <t>5091.7</t>
  </si>
  <si>
    <t>5091.8</t>
  </si>
  <si>
    <t>5091.9</t>
  </si>
  <si>
    <t>5091.10</t>
  </si>
  <si>
    <t>5091.11</t>
  </si>
  <si>
    <t>5091.12</t>
  </si>
  <si>
    <t>5091.13</t>
  </si>
  <si>
    <t>5091.14</t>
  </si>
  <si>
    <t>5091.15</t>
  </si>
  <si>
    <t>5092.0</t>
  </si>
  <si>
    <t>5092.1</t>
  </si>
  <si>
    <t>5092.2</t>
  </si>
  <si>
    <t>5092.3</t>
  </si>
  <si>
    <t>5092.4</t>
  </si>
  <si>
    <t>5092.5</t>
  </si>
  <si>
    <t>5092.6</t>
  </si>
  <si>
    <t>5092.7</t>
  </si>
  <si>
    <t>5092.8</t>
  </si>
  <si>
    <t>5092.9</t>
  </si>
  <si>
    <t>5092.10</t>
  </si>
  <si>
    <t>5092.11</t>
  </si>
  <si>
    <t>5092.12</t>
  </si>
  <si>
    <t>5092.13</t>
  </si>
  <si>
    <t>5124.0</t>
  </si>
  <si>
    <t>5124.1</t>
  </si>
  <si>
    <t>5124.2</t>
  </si>
  <si>
    <t>5124.3</t>
  </si>
  <si>
    <t>5124.4</t>
  </si>
  <si>
    <t>5124.5</t>
  </si>
  <si>
    <t>5124.6</t>
  </si>
  <si>
    <t>5124.7</t>
  </si>
  <si>
    <t>5124.8</t>
  </si>
  <si>
    <t>5124.9</t>
  </si>
  <si>
    <t>5124.10</t>
  </si>
  <si>
    <t>Scenari -Comando Manuale Scenario V4 -Galleria chiusa</t>
  </si>
  <si>
    <t>5124.11</t>
  </si>
  <si>
    <t>Scenari -Comando Manuale Scenario V5 -Corsia Marcia Chiusa</t>
  </si>
  <si>
    <t>5124.12</t>
  </si>
  <si>
    <t>Scenari -Comando Manuale Scenario V6 -Corsia Sorpasso Chiusa</t>
  </si>
  <si>
    <t>5124.13</t>
  </si>
  <si>
    <t>5124.14</t>
  </si>
  <si>
    <t>5124.15</t>
  </si>
  <si>
    <t>5126.0</t>
  </si>
  <si>
    <t>5126.1</t>
  </si>
  <si>
    <t>5126.2</t>
  </si>
  <si>
    <t>5126.3</t>
  </si>
  <si>
    <t>5126.4</t>
  </si>
  <si>
    <t>5126.5</t>
  </si>
  <si>
    <t>5126.6</t>
  </si>
  <si>
    <t>5126.7</t>
  </si>
  <si>
    <t>5126.8</t>
  </si>
  <si>
    <t>5126.9</t>
  </si>
  <si>
    <t>5126.10</t>
  </si>
  <si>
    <t>5126.11</t>
  </si>
  <si>
    <t>5126.12</t>
  </si>
  <si>
    <t>5126.13</t>
  </si>
  <si>
    <t>5126.14</t>
  </si>
  <si>
    <t>5126.15</t>
  </si>
  <si>
    <t>5127.0</t>
  </si>
  <si>
    <t>5127.1</t>
  </si>
  <si>
    <t>5127.2</t>
  </si>
  <si>
    <t>5127.3</t>
  </si>
  <si>
    <t>5127.4</t>
  </si>
  <si>
    <t>5127.5</t>
  </si>
  <si>
    <t>5127.6</t>
  </si>
  <si>
    <t>5127.7</t>
  </si>
  <si>
    <t>5127.8</t>
  </si>
  <si>
    <t>5127.9</t>
  </si>
  <si>
    <t>5127.10</t>
  </si>
  <si>
    <t>5127.11</t>
  </si>
  <si>
    <t>5127.12</t>
  </si>
  <si>
    <t>5127.13</t>
  </si>
  <si>
    <t>5127.14</t>
  </si>
  <si>
    <t>5127.15</t>
  </si>
  <si>
    <t>5128.0</t>
  </si>
  <si>
    <t>5128.1</t>
  </si>
  <si>
    <t>12000.0</t>
  </si>
  <si>
    <t>12000.1</t>
  </si>
  <si>
    <t>12000.2</t>
  </si>
  <si>
    <t>12000.3</t>
  </si>
  <si>
    <t>12000.4</t>
  </si>
  <si>
    <t>12000.5</t>
  </si>
  <si>
    <t>12000.6</t>
  </si>
  <si>
    <t>12000.7</t>
  </si>
  <si>
    <t>12000.8</t>
  </si>
  <si>
    <t>12000.9</t>
  </si>
  <si>
    <t>12000.10</t>
  </si>
  <si>
    <t>12000.11</t>
  </si>
  <si>
    <t xml:space="preserve">T03S </t>
  </si>
  <si>
    <t xml:space="preserve">T09S </t>
  </si>
  <si>
    <t>T011N -Escludi Allarmi Telecamera</t>
  </si>
  <si>
    <t>T011N -Includi Allarmi Telecamera</t>
  </si>
  <si>
    <t>T011N -Escludi Allarme Fumo</t>
  </si>
  <si>
    <t>T011N -Includi Allarme Fumo</t>
  </si>
  <si>
    <t>T011N -EScludi Allarmi Traffico</t>
  </si>
  <si>
    <t>T011N -Includi Allarmi Traffico</t>
  </si>
  <si>
    <t>T011N -Reset Allarmi Telecamera</t>
  </si>
  <si>
    <t>T012N -Escludi Allarmi Telecamera</t>
  </si>
  <si>
    <t>T012N -Includi Allarmi Telecamera</t>
  </si>
  <si>
    <t>T012N -Escludi Allarme Fumo</t>
  </si>
  <si>
    <t>T012N -Includi Allarme Fumo</t>
  </si>
  <si>
    <t>T012N -EScludi Allarmi Traffico</t>
  </si>
  <si>
    <t>T012N -Includi Allarmi Traffico</t>
  </si>
  <si>
    <t>T012N -Reset Allarmi Telecamera</t>
  </si>
  <si>
    <t>12007.0</t>
  </si>
  <si>
    <t>12007.1</t>
  </si>
  <si>
    <t>12007.2</t>
  </si>
  <si>
    <t>12007.3</t>
  </si>
  <si>
    <t>12007.4</t>
  </si>
  <si>
    <t>12007.5</t>
  </si>
  <si>
    <t>12007.6</t>
  </si>
  <si>
    <t>12007.7</t>
  </si>
  <si>
    <t>12007.8</t>
  </si>
  <si>
    <t>12007.9</t>
  </si>
  <si>
    <t>12007.10</t>
  </si>
  <si>
    <t>SCENARI CASOLA</t>
  </si>
  <si>
    <t>12007.11</t>
  </si>
  <si>
    <t>12025.0</t>
  </si>
  <si>
    <t>12025.1</t>
  </si>
  <si>
    <t>12025.2</t>
  </si>
  <si>
    <t>12025.3</t>
  </si>
  <si>
    <t>12025.4</t>
  </si>
  <si>
    <t>12025.5</t>
  </si>
  <si>
    <t>12025.6</t>
  </si>
  <si>
    <t>12025.7</t>
  </si>
  <si>
    <t>12025.8</t>
  </si>
  <si>
    <t>12025.9</t>
  </si>
  <si>
    <t>12025.10</t>
  </si>
  <si>
    <t>12025.11</t>
  </si>
  <si>
    <t>12025.12</t>
  </si>
  <si>
    <t>12026.0</t>
  </si>
  <si>
    <t>12026.1</t>
  </si>
  <si>
    <t>12026.2</t>
  </si>
  <si>
    <t>12026.3</t>
  </si>
  <si>
    <t>12026.4</t>
  </si>
  <si>
    <t>12026.5</t>
  </si>
  <si>
    <t>12026.6</t>
  </si>
  <si>
    <t>12026.7</t>
  </si>
  <si>
    <t>12026.8</t>
  </si>
  <si>
    <t>12026.9</t>
  </si>
  <si>
    <t>12026.10</t>
  </si>
  <si>
    <t>12026.11</t>
  </si>
  <si>
    <t>12026.12</t>
  </si>
  <si>
    <t>rawRegister</t>
  </si>
  <si>
    <t>rawBitIndex</t>
  </si>
  <si>
    <t>rawAddress</t>
  </si>
  <si>
    <t>rawRegisterType</t>
  </si>
  <si>
    <t>rawDataType</t>
  </si>
  <si>
    <t>rawDispositivo</t>
  </si>
  <si>
    <t>rawSegnale</t>
  </si>
  <si>
    <t>rawDescrizione</t>
  </si>
  <si>
    <t>rawDescr&amp;Signal</t>
  </si>
  <si>
    <t>rawLogica</t>
  </si>
  <si>
    <t>rawTags</t>
  </si>
  <si>
    <t>rawQuadro</t>
  </si>
  <si>
    <t>rawCabina</t>
  </si>
  <si>
    <t>rawDirezione</t>
  </si>
  <si>
    <t>rawReference</t>
  </si>
  <si>
    <t>rawIpPlc</t>
  </si>
  <si>
    <t>SOS _ACC1</t>
  </si>
  <si>
    <t>SOS _ACC2</t>
  </si>
  <si>
    <t>SOS _PIAZZ</t>
  </si>
  <si>
    <t>QVE 1</t>
  </si>
  <si>
    <t>QVE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</si>
</sst>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759A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61"/>
  <sheetViews>
    <sheetView tabSelected="1" topLeftCell="F1" workbookViewId="0">
      <selection activeCell="O1" sqref="O1"/>
    </sheetView>
  </sheetViews>
  <sheetFormatPr defaultRowHeight="15" x14ac:dyDescent="0.25"/>
  <cols>
    <col min="1" max="1" width="17.85546875" bestFit="1" customWidth="1"/>
    <col min="2" max="2" width="27.28515625" customWidth="1"/>
    <col min="3" max="3" width="25.42578125" customWidth="1"/>
    <col min="4" max="5" width="38.42578125" bestFit="1" customWidth="1"/>
    <col min="6" max="6" width="19" bestFit="1" customWidth="1"/>
    <col min="7" max="7" width="13.85546875" bestFit="1" customWidth="1"/>
    <col min="8" max="8" width="17.140625" bestFit="1" customWidth="1"/>
    <col min="9" max="9" width="14.5703125" bestFit="1" customWidth="1"/>
    <col min="10" max="10" width="53.42578125" customWidth="1"/>
    <col min="11" max="11" width="16" customWidth="1"/>
    <col min="12" max="12" width="14" bestFit="1" customWidth="1"/>
    <col min="13" max="13" width="13.7109375" bestFit="1" customWidth="1"/>
    <col min="14" max="14" width="18.28515625" bestFit="1" customWidth="1"/>
    <col min="15" max="15" width="18" bestFit="1" customWidth="1"/>
    <col min="16" max="16" width="58.140625" customWidth="1"/>
    <col min="17" max="17" width="13.5703125" bestFit="1" customWidth="1"/>
    <col min="18" max="18" width="66.42578125" customWidth="1"/>
    <col min="19" max="19" width="18.28515625" bestFit="1" customWidth="1"/>
    <col min="20" max="20" width="12" bestFit="1" customWidth="1"/>
    <col min="21" max="21" width="11" bestFit="1" customWidth="1"/>
    <col min="22" max="22" width="30.7109375" customWidth="1"/>
    <col min="23" max="23" width="25.28515625" customWidth="1"/>
    <col min="24" max="24" width="15.140625" bestFit="1" customWidth="1"/>
    <col min="25" max="25" width="15.85546875" bestFit="1" customWidth="1"/>
    <col min="26" max="26" width="11.7109375" bestFit="1" customWidth="1"/>
  </cols>
  <sheetData>
    <row r="1" spans="1:26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3646</v>
      </c>
      <c r="L1" t="s">
        <v>3647</v>
      </c>
      <c r="M1" t="s">
        <v>3648</v>
      </c>
      <c r="N1" t="s">
        <v>3649</v>
      </c>
      <c r="O1" t="s">
        <v>3650</v>
      </c>
      <c r="P1" t="s">
        <v>3651</v>
      </c>
      <c r="Q1" t="s">
        <v>3652</v>
      </c>
      <c r="R1" t="s">
        <v>3653</v>
      </c>
      <c r="S1" t="s">
        <v>3654</v>
      </c>
      <c r="T1" t="s">
        <v>3655</v>
      </c>
      <c r="U1" t="s">
        <v>3656</v>
      </c>
      <c r="V1" t="s">
        <v>3657</v>
      </c>
      <c r="W1" t="s">
        <v>3658</v>
      </c>
      <c r="X1" t="s">
        <v>3659</v>
      </c>
      <c r="Y1" t="s">
        <v>3660</v>
      </c>
      <c r="Z1" t="s">
        <v>3661</v>
      </c>
    </row>
    <row r="2" spans="1:26" x14ac:dyDescent="0.25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999</v>
      </c>
      <c r="J2" t="s">
        <v>17</v>
      </c>
      <c r="K2">
        <f>IF(I2="","",I2)</f>
        <v>999</v>
      </c>
      <c r="N2" t="str">
        <f>IF(F2="","",F2)</f>
        <v>HOLDING REGISTER</v>
      </c>
      <c r="O2" t="str">
        <f>IF(H2="","",H2)</f>
        <v>INT</v>
      </c>
      <c r="P2" t="str">
        <f>_xlfn.CONCAT(D2," ",E2)</f>
        <v>PLC WATCHDOG</v>
      </c>
      <c r="R2" t="str">
        <f>IF(J2="","",J2)</f>
        <v>WATCHDOG PLC (1s MAX 10000)</v>
      </c>
      <c r="U2" t="str">
        <f>IF(G2="","",G2)</f>
        <v>Misura</v>
      </c>
      <c r="V2" t="str">
        <f>IF(C2="","",C2)</f>
        <v/>
      </c>
      <c r="W2" t="str">
        <f>IF(B2="","",B2)</f>
        <v>CABINA PRINCIPALE</v>
      </c>
      <c r="Z2" t="str">
        <f>IF(A2="","",A2)</f>
        <v>10.220.80.16</v>
      </c>
    </row>
    <row r="3" spans="1:26" x14ac:dyDescent="0.25">
      <c r="A3" t="s">
        <v>10</v>
      </c>
      <c r="B3" t="s">
        <v>11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 t="s">
        <v>22</v>
      </c>
      <c r="I3" t="s">
        <v>23</v>
      </c>
      <c r="J3" t="s">
        <v>24</v>
      </c>
      <c r="K3" t="str">
        <f t="shared" ref="K3:K66" si="0">IF(I3="","",I3)</f>
        <v>1000.0</v>
      </c>
      <c r="N3" t="str">
        <f t="shared" ref="N3:N66" si="1">IF(F3="","",F3)</f>
        <v>HOLDING REGISTER</v>
      </c>
      <c r="O3" t="str">
        <f t="shared" ref="O3:O66" si="2">IF(H3="","",H3)</f>
        <v>BOOL</v>
      </c>
      <c r="P3" t="str">
        <f t="shared" ref="P3:P66" si="3">_xlfn.CONCAT(D3," ",E3)</f>
        <v>RIFASAMENTO AUTOMATICO QUADRO RIFASAMENTO</v>
      </c>
      <c r="R3" t="str">
        <f t="shared" ref="R3:R66" si="4">IF(J3="","",J3)</f>
        <v>Rifasamento AUTOMATICOmatico -Sezionatore Chiuso</v>
      </c>
      <c r="U3" t="str">
        <f t="shared" ref="U3:U66" si="5">IF(G3="","",G3)</f>
        <v>Stato</v>
      </c>
      <c r="V3" t="str">
        <f t="shared" ref="V3:V66" si="6">IF(C3="","",C3)</f>
        <v>QRIF</v>
      </c>
      <c r="W3" t="str">
        <f t="shared" ref="W3:W66" si="7">IF(B3="","",B3)</f>
        <v>CABINA PRINCIPALE</v>
      </c>
      <c r="Z3" t="str">
        <f t="shared" ref="Z3:Z66" si="8">IF(A3="","",A3)</f>
        <v>10.220.80.16</v>
      </c>
    </row>
    <row r="4" spans="1:26" x14ac:dyDescent="0.25">
      <c r="A4" t="s">
        <v>10</v>
      </c>
      <c r="B4" t="s">
        <v>11</v>
      </c>
      <c r="C4" t="s">
        <v>25</v>
      </c>
      <c r="D4" t="s">
        <v>26</v>
      </c>
      <c r="E4" t="s">
        <v>27</v>
      </c>
      <c r="F4" t="s">
        <v>14</v>
      </c>
      <c r="G4" t="s">
        <v>28</v>
      </c>
      <c r="H4" t="s">
        <v>22</v>
      </c>
      <c r="I4" t="s">
        <v>29</v>
      </c>
      <c r="J4" t="s">
        <v>30</v>
      </c>
      <c r="K4" t="str">
        <f t="shared" si="0"/>
        <v>1000.1</v>
      </c>
      <c r="N4" t="str">
        <f t="shared" si="1"/>
        <v>HOLDING REGISTER</v>
      </c>
      <c r="O4" t="str">
        <f t="shared" si="2"/>
        <v>BOOL</v>
      </c>
      <c r="P4" t="str">
        <f t="shared" si="3"/>
        <v>RILIEVO INCENDI CABINA CENTRALINA RILIEVO INCENDI CABINA</v>
      </c>
      <c r="R4" t="str">
        <f t="shared" si="4"/>
        <v>Centralina Rilievo Incendi Cabina -In Guasto</v>
      </c>
      <c r="U4" t="str">
        <f t="shared" si="5"/>
        <v>Allarme</v>
      </c>
      <c r="V4" t="str">
        <f t="shared" si="6"/>
        <v>CENTRALINA</v>
      </c>
      <c r="W4" t="str">
        <f t="shared" si="7"/>
        <v>CABINA PRINCIPALE</v>
      </c>
      <c r="Z4" t="str">
        <f t="shared" si="8"/>
        <v>10.220.80.16</v>
      </c>
    </row>
    <row r="5" spans="1:26" x14ac:dyDescent="0.25">
      <c r="A5" t="s">
        <v>10</v>
      </c>
      <c r="B5" t="s">
        <v>11</v>
      </c>
      <c r="C5" t="s">
        <v>25</v>
      </c>
      <c r="D5" t="s">
        <v>26</v>
      </c>
      <c r="E5" t="s">
        <v>27</v>
      </c>
      <c r="F5" t="s">
        <v>14</v>
      </c>
      <c r="G5" t="s">
        <v>28</v>
      </c>
      <c r="H5" t="s">
        <v>22</v>
      </c>
      <c r="I5" t="s">
        <v>31</v>
      </c>
      <c r="J5" t="s">
        <v>32</v>
      </c>
      <c r="K5" t="str">
        <f t="shared" si="0"/>
        <v>1000.2</v>
      </c>
      <c r="N5" t="str">
        <f t="shared" si="1"/>
        <v>HOLDING REGISTER</v>
      </c>
      <c r="O5" t="str">
        <f t="shared" si="2"/>
        <v>BOOL</v>
      </c>
      <c r="P5" t="str">
        <f t="shared" si="3"/>
        <v>RILIEVO INCENDI CABINA CENTRALINA RILIEVO INCENDI CABINA</v>
      </c>
      <c r="R5" t="str">
        <f t="shared" si="4"/>
        <v>Centralina Rilievo Incendi Cabina -Allarme Incendio</v>
      </c>
      <c r="U5" t="str">
        <f t="shared" si="5"/>
        <v>Allarme</v>
      </c>
      <c r="V5" t="str">
        <f t="shared" si="6"/>
        <v>CENTRALINA</v>
      </c>
      <c r="W5" t="str">
        <f t="shared" si="7"/>
        <v>CABINA PRINCIPALE</v>
      </c>
      <c r="Z5" t="str">
        <f>IF(A5="","",A5)</f>
        <v>10.220.80.16</v>
      </c>
    </row>
    <row r="6" spans="1:26" x14ac:dyDescent="0.25">
      <c r="A6" t="s">
        <v>10</v>
      </c>
      <c r="B6" t="s">
        <v>11</v>
      </c>
      <c r="C6" t="s">
        <v>33</v>
      </c>
      <c r="D6" t="s">
        <v>33</v>
      </c>
      <c r="E6" t="s">
        <v>34</v>
      </c>
      <c r="F6" t="s">
        <v>14</v>
      </c>
      <c r="G6" t="s">
        <v>28</v>
      </c>
      <c r="H6" t="s">
        <v>22</v>
      </c>
      <c r="I6" t="s">
        <v>35</v>
      </c>
      <c r="J6" t="s">
        <v>36</v>
      </c>
      <c r="K6" t="str">
        <f t="shared" si="0"/>
        <v>1000.3</v>
      </c>
      <c r="N6" t="str">
        <f t="shared" si="1"/>
        <v>HOLDING REGISTER</v>
      </c>
      <c r="O6" t="str">
        <f t="shared" si="2"/>
        <v>BOOL</v>
      </c>
      <c r="P6" t="str">
        <f t="shared" si="3"/>
        <v>GRUPPO ELETTROGENO VANO G.E.</v>
      </c>
      <c r="R6" t="str">
        <f t="shared" si="4"/>
        <v>Gruppo Elettrogeno -Allarme Generale</v>
      </c>
      <c r="U6" t="str">
        <f t="shared" si="5"/>
        <v>Allarme</v>
      </c>
      <c r="V6" t="str">
        <f t="shared" si="6"/>
        <v>GRUPPO ELETTROGENO</v>
      </c>
      <c r="W6" t="str">
        <f t="shared" si="7"/>
        <v>CABINA PRINCIPALE</v>
      </c>
      <c r="Z6" t="str">
        <f t="shared" si="8"/>
        <v>10.220.80.16</v>
      </c>
    </row>
    <row r="7" spans="1:26" x14ac:dyDescent="0.25">
      <c r="A7" t="s">
        <v>10</v>
      </c>
      <c r="B7" t="s">
        <v>11</v>
      </c>
      <c r="C7" t="s">
        <v>33</v>
      </c>
      <c r="D7" t="s">
        <v>33</v>
      </c>
      <c r="E7" t="s">
        <v>34</v>
      </c>
      <c r="F7" t="s">
        <v>14</v>
      </c>
      <c r="G7" t="s">
        <v>21</v>
      </c>
      <c r="H7" t="s">
        <v>22</v>
      </c>
      <c r="I7" t="s">
        <v>37</v>
      </c>
      <c r="J7" t="s">
        <v>38</v>
      </c>
      <c r="K7" t="str">
        <f t="shared" si="0"/>
        <v>1000.4</v>
      </c>
      <c r="N7" t="str">
        <f t="shared" si="1"/>
        <v>HOLDING REGISTER</v>
      </c>
      <c r="O7" t="str">
        <f t="shared" si="2"/>
        <v>BOOL</v>
      </c>
      <c r="P7" t="str">
        <f t="shared" si="3"/>
        <v>GRUPPO ELETTROGENO VANO G.E.</v>
      </c>
      <c r="R7" t="str">
        <f t="shared" si="4"/>
        <v>Gruppo Elettrogeno -In Moto</v>
      </c>
      <c r="U7" t="str">
        <f t="shared" si="5"/>
        <v>Stato</v>
      </c>
      <c r="V7" t="str">
        <f t="shared" si="6"/>
        <v>GRUPPO ELETTROGENO</v>
      </c>
      <c r="W7" t="str">
        <f t="shared" si="7"/>
        <v>CABINA PRINCIPALE</v>
      </c>
      <c r="Z7" t="str">
        <f t="shared" si="8"/>
        <v>10.220.80.16</v>
      </c>
    </row>
    <row r="8" spans="1:26" x14ac:dyDescent="0.25">
      <c r="A8" t="s">
        <v>10</v>
      </c>
      <c r="B8" t="s">
        <v>11</v>
      </c>
      <c r="C8" t="s">
        <v>33</v>
      </c>
      <c r="D8" t="s">
        <v>39</v>
      </c>
      <c r="E8" t="s">
        <v>40</v>
      </c>
      <c r="F8" t="s">
        <v>14</v>
      </c>
      <c r="G8" t="s">
        <v>28</v>
      </c>
      <c r="H8" t="s">
        <v>22</v>
      </c>
      <c r="I8" t="s">
        <v>41</v>
      </c>
      <c r="J8" t="s">
        <v>42</v>
      </c>
      <c r="K8" t="str">
        <f t="shared" si="0"/>
        <v>1000.5</v>
      </c>
      <c r="N8" t="str">
        <f t="shared" si="1"/>
        <v>HOLDING REGISTER</v>
      </c>
      <c r="O8" t="str">
        <f t="shared" si="2"/>
        <v>BOOL</v>
      </c>
      <c r="P8" t="str">
        <f t="shared" si="3"/>
        <v>SERBATOIO SERBATOIO GASOLIO INTERRATO</v>
      </c>
      <c r="R8" t="str">
        <f t="shared" si="4"/>
        <v>Serbatoio Gasolio Interrato -Perdite Serbatoio</v>
      </c>
      <c r="U8" t="str">
        <f t="shared" si="5"/>
        <v>Allarme</v>
      </c>
      <c r="V8" t="str">
        <f t="shared" si="6"/>
        <v>GRUPPO ELETTROGENO</v>
      </c>
      <c r="W8" t="str">
        <f t="shared" si="7"/>
        <v>CABINA PRINCIPALE</v>
      </c>
      <c r="Z8" t="str">
        <f t="shared" si="8"/>
        <v>10.220.80.16</v>
      </c>
    </row>
    <row r="9" spans="1:26" x14ac:dyDescent="0.25">
      <c r="A9" t="s">
        <v>10</v>
      </c>
      <c r="B9" t="s">
        <v>11</v>
      </c>
      <c r="C9" t="s">
        <v>43</v>
      </c>
      <c r="D9" t="s">
        <v>43</v>
      </c>
      <c r="E9" t="s">
        <v>43</v>
      </c>
      <c r="F9" t="s">
        <v>14</v>
      </c>
      <c r="G9" t="s">
        <v>28</v>
      </c>
      <c r="H9" t="s">
        <v>22</v>
      </c>
      <c r="I9" t="s">
        <v>44</v>
      </c>
      <c r="J9" t="s">
        <v>45</v>
      </c>
      <c r="K9" t="str">
        <f t="shared" si="0"/>
        <v>1000.6</v>
      </c>
      <c r="N9" t="str">
        <f t="shared" si="1"/>
        <v>HOLDING REGISTER</v>
      </c>
      <c r="O9" t="str">
        <f t="shared" si="2"/>
        <v>BOOL</v>
      </c>
      <c r="P9" t="str">
        <f t="shared" si="3"/>
        <v>GRUPPO PRESSURIZZAZIONE GRUPPO PRESSURIZZAZIONE</v>
      </c>
      <c r="R9" t="str">
        <f t="shared" si="4"/>
        <v>Gruppo Pressurizzazione -Allarme A</v>
      </c>
      <c r="U9" t="str">
        <f t="shared" si="5"/>
        <v>Allarme</v>
      </c>
      <c r="V9" t="str">
        <f t="shared" si="6"/>
        <v>GRUPPO PRESSURIZZAZIONE</v>
      </c>
      <c r="W9" t="str">
        <f t="shared" si="7"/>
        <v>CABINA PRINCIPALE</v>
      </c>
      <c r="Z9" t="str">
        <f t="shared" si="8"/>
        <v>10.220.80.16</v>
      </c>
    </row>
    <row r="10" spans="1:26" x14ac:dyDescent="0.25">
      <c r="A10" t="s">
        <v>10</v>
      </c>
      <c r="B10" t="s">
        <v>11</v>
      </c>
      <c r="C10" t="s">
        <v>43</v>
      </c>
      <c r="D10" t="s">
        <v>43</v>
      </c>
      <c r="E10" t="s">
        <v>43</v>
      </c>
      <c r="F10" t="s">
        <v>14</v>
      </c>
      <c r="G10" t="s">
        <v>28</v>
      </c>
      <c r="H10" t="s">
        <v>22</v>
      </c>
      <c r="I10" t="s">
        <v>46</v>
      </c>
      <c r="J10" t="s">
        <v>47</v>
      </c>
      <c r="K10" t="str">
        <f t="shared" si="0"/>
        <v>1000.7</v>
      </c>
      <c r="N10" t="str">
        <f t="shared" si="1"/>
        <v>HOLDING REGISTER</v>
      </c>
      <c r="O10" t="str">
        <f t="shared" si="2"/>
        <v>BOOL</v>
      </c>
      <c r="P10" t="str">
        <f t="shared" si="3"/>
        <v>GRUPPO PRESSURIZZAZIONE GRUPPO PRESSURIZZAZIONE</v>
      </c>
      <c r="R10" t="str">
        <f t="shared" si="4"/>
        <v>Gruppo Pressurizzazione -Allarme B</v>
      </c>
      <c r="U10" t="str">
        <f t="shared" si="5"/>
        <v>Allarme</v>
      </c>
      <c r="V10" t="str">
        <f t="shared" si="6"/>
        <v>GRUPPO PRESSURIZZAZIONE</v>
      </c>
      <c r="W10" t="str">
        <f t="shared" si="7"/>
        <v>CABINA PRINCIPALE</v>
      </c>
      <c r="Z10" t="str">
        <f t="shared" si="8"/>
        <v>10.220.80.16</v>
      </c>
    </row>
    <row r="11" spans="1:26" x14ac:dyDescent="0.25">
      <c r="A11" t="s">
        <v>10</v>
      </c>
      <c r="B11" t="s">
        <v>11</v>
      </c>
      <c r="C11" t="s">
        <v>48</v>
      </c>
      <c r="D11" t="s">
        <v>49</v>
      </c>
      <c r="E11" t="s">
        <v>49</v>
      </c>
      <c r="F11" t="s">
        <v>14</v>
      </c>
      <c r="G11" t="s">
        <v>21</v>
      </c>
      <c r="H11" t="s">
        <v>22</v>
      </c>
      <c r="I11" t="s">
        <v>50</v>
      </c>
      <c r="J11" t="s">
        <v>51</v>
      </c>
      <c r="K11" t="str">
        <f t="shared" si="0"/>
        <v>1000.8</v>
      </c>
      <c r="N11" t="str">
        <f t="shared" si="1"/>
        <v>HOLDING REGISTER</v>
      </c>
      <c r="O11" t="str">
        <f t="shared" si="2"/>
        <v>BOOL</v>
      </c>
      <c r="P11" t="str">
        <f t="shared" si="3"/>
        <v>INTERRUTTORE INTERRUTTORE</v>
      </c>
      <c r="R11" t="str">
        <f t="shared" si="4"/>
        <v>QMT -Interruttore Generale Chiuso</v>
      </c>
      <c r="U11" t="str">
        <f t="shared" si="5"/>
        <v>Stato</v>
      </c>
      <c r="V11" t="str">
        <f t="shared" si="6"/>
        <v>QMT</v>
      </c>
      <c r="W11" t="str">
        <f t="shared" si="7"/>
        <v>CABINA PRINCIPALE</v>
      </c>
      <c r="Z11" t="str">
        <f t="shared" si="8"/>
        <v>10.220.80.16</v>
      </c>
    </row>
    <row r="12" spans="1:26" x14ac:dyDescent="0.25">
      <c r="A12" t="s">
        <v>10</v>
      </c>
      <c r="B12" t="s">
        <v>11</v>
      </c>
      <c r="C12" t="s">
        <v>48</v>
      </c>
      <c r="D12" t="s">
        <v>49</v>
      </c>
      <c r="E12" t="s">
        <v>49</v>
      </c>
      <c r="F12" t="s">
        <v>14</v>
      </c>
      <c r="G12" t="s">
        <v>21</v>
      </c>
      <c r="H12" t="s">
        <v>22</v>
      </c>
      <c r="I12" t="s">
        <v>52</v>
      </c>
      <c r="J12" t="s">
        <v>53</v>
      </c>
      <c r="K12" t="str">
        <f t="shared" si="0"/>
        <v>1000.9</v>
      </c>
      <c r="N12" t="str">
        <f t="shared" si="1"/>
        <v>HOLDING REGISTER</v>
      </c>
      <c r="O12" t="str">
        <f t="shared" si="2"/>
        <v>BOOL</v>
      </c>
      <c r="P12" t="str">
        <f t="shared" si="3"/>
        <v>INTERRUTTORE INTERRUTTORE</v>
      </c>
      <c r="R12" t="str">
        <f t="shared" si="4"/>
        <v>QMT -Interruttore Generale Aperto</v>
      </c>
      <c r="U12" t="str">
        <f t="shared" si="5"/>
        <v>Stato</v>
      </c>
      <c r="V12" t="str">
        <f t="shared" si="6"/>
        <v>QMT</v>
      </c>
      <c r="W12" t="str">
        <f t="shared" si="7"/>
        <v>CABINA PRINCIPALE</v>
      </c>
      <c r="Z12" t="str">
        <f t="shared" si="8"/>
        <v>10.220.80.16</v>
      </c>
    </row>
    <row r="13" spans="1:26" x14ac:dyDescent="0.25">
      <c r="A13" t="s">
        <v>10</v>
      </c>
      <c r="B13" t="s">
        <v>11</v>
      </c>
      <c r="C13" t="s">
        <v>48</v>
      </c>
      <c r="D13" t="s">
        <v>54</v>
      </c>
      <c r="E13" t="s">
        <v>54</v>
      </c>
      <c r="F13" t="s">
        <v>14</v>
      </c>
      <c r="G13" t="s">
        <v>21</v>
      </c>
      <c r="H13" t="s">
        <v>22</v>
      </c>
      <c r="I13" t="s">
        <v>55</v>
      </c>
      <c r="J13" t="s">
        <v>56</v>
      </c>
      <c r="K13" t="str">
        <f t="shared" si="0"/>
        <v>1000.10</v>
      </c>
      <c r="N13" t="str">
        <f t="shared" si="1"/>
        <v>HOLDING REGISTER</v>
      </c>
      <c r="O13" t="str">
        <f t="shared" si="2"/>
        <v>BOOL</v>
      </c>
      <c r="P13" t="str">
        <f t="shared" si="3"/>
        <v>SEZIONATORE LINEA SEZIONATORE LINEA</v>
      </c>
      <c r="R13" t="str">
        <f t="shared" si="4"/>
        <v>QMT -Sezionatore Generale Di Linea Chiuso</v>
      </c>
      <c r="U13" t="str">
        <f t="shared" si="5"/>
        <v>Stato</v>
      </c>
      <c r="V13" t="str">
        <f t="shared" si="6"/>
        <v>QMT</v>
      </c>
      <c r="W13" t="str">
        <f t="shared" si="7"/>
        <v>CABINA PRINCIPALE</v>
      </c>
      <c r="Z13" t="str">
        <f t="shared" si="8"/>
        <v>10.220.80.16</v>
      </c>
    </row>
    <row r="14" spans="1:26" x14ac:dyDescent="0.25">
      <c r="A14" t="s">
        <v>10</v>
      </c>
      <c r="B14" t="s">
        <v>11</v>
      </c>
      <c r="C14" t="s">
        <v>48</v>
      </c>
      <c r="D14" t="s">
        <v>57</v>
      </c>
      <c r="E14" t="s">
        <v>57</v>
      </c>
      <c r="F14" t="s">
        <v>14</v>
      </c>
      <c r="G14" t="s">
        <v>21</v>
      </c>
      <c r="H14" t="s">
        <v>22</v>
      </c>
      <c r="I14" t="s">
        <v>58</v>
      </c>
      <c r="J14" t="s">
        <v>59</v>
      </c>
      <c r="K14" t="str">
        <f t="shared" si="0"/>
        <v>1000.11</v>
      </c>
      <c r="N14" t="str">
        <f t="shared" si="1"/>
        <v>HOLDING REGISTER</v>
      </c>
      <c r="O14" t="str">
        <f t="shared" si="2"/>
        <v>BOOL</v>
      </c>
      <c r="P14" t="str">
        <f t="shared" si="3"/>
        <v>SEZIONATORE TERRA SEZIONATORE TERRA</v>
      </c>
      <c r="R14" t="str">
        <f t="shared" si="4"/>
        <v>QMT -Sezionatore Generale Di Terra Aperto</v>
      </c>
      <c r="U14" t="str">
        <f t="shared" si="5"/>
        <v>Stato</v>
      </c>
      <c r="V14" t="str">
        <f t="shared" si="6"/>
        <v>QMT</v>
      </c>
      <c r="W14" t="str">
        <f t="shared" si="7"/>
        <v>CABINA PRINCIPALE</v>
      </c>
      <c r="Z14" t="str">
        <f t="shared" si="8"/>
        <v>10.220.80.16</v>
      </c>
    </row>
    <row r="15" spans="1:26" x14ac:dyDescent="0.25">
      <c r="A15" t="s">
        <v>10</v>
      </c>
      <c r="B15" t="s">
        <v>11</v>
      </c>
      <c r="C15" t="s">
        <v>48</v>
      </c>
      <c r="D15" t="s">
        <v>49</v>
      </c>
      <c r="E15" t="s">
        <v>49</v>
      </c>
      <c r="F15" t="s">
        <v>14</v>
      </c>
      <c r="G15" t="s">
        <v>21</v>
      </c>
      <c r="H15" t="s">
        <v>22</v>
      </c>
      <c r="I15" t="s">
        <v>60</v>
      </c>
      <c r="J15" t="s">
        <v>61</v>
      </c>
      <c r="K15" t="str">
        <f t="shared" si="0"/>
        <v>1000.12</v>
      </c>
      <c r="N15" t="str">
        <f t="shared" si="1"/>
        <v>HOLDING REGISTER</v>
      </c>
      <c r="O15" t="str">
        <f t="shared" si="2"/>
        <v>BOOL</v>
      </c>
      <c r="P15" t="str">
        <f t="shared" si="3"/>
        <v>INTERRUTTORE INTERRUTTORE</v>
      </c>
      <c r="R15" t="str">
        <f t="shared" si="4"/>
        <v>QMT -Interruttore TR1 Chiuso</v>
      </c>
      <c r="U15" t="str">
        <f t="shared" si="5"/>
        <v>Stato</v>
      </c>
      <c r="V15" t="str">
        <f t="shared" si="6"/>
        <v>QMT</v>
      </c>
      <c r="W15" t="str">
        <f t="shared" si="7"/>
        <v>CABINA PRINCIPALE</v>
      </c>
      <c r="Z15" t="str">
        <f t="shared" si="8"/>
        <v>10.220.80.16</v>
      </c>
    </row>
    <row r="16" spans="1:26" x14ac:dyDescent="0.25">
      <c r="A16" t="s">
        <v>10</v>
      </c>
      <c r="B16" t="s">
        <v>11</v>
      </c>
      <c r="C16" t="s">
        <v>48</v>
      </c>
      <c r="D16" t="s">
        <v>49</v>
      </c>
      <c r="E16" t="s">
        <v>49</v>
      </c>
      <c r="F16" t="s">
        <v>14</v>
      </c>
      <c r="G16" t="s">
        <v>21</v>
      </c>
      <c r="H16" t="s">
        <v>22</v>
      </c>
      <c r="I16" t="s">
        <v>62</v>
      </c>
      <c r="J16" t="s">
        <v>63</v>
      </c>
      <c r="K16" t="str">
        <f t="shared" si="0"/>
        <v>1000.13</v>
      </c>
      <c r="N16" t="str">
        <f t="shared" si="1"/>
        <v>HOLDING REGISTER</v>
      </c>
      <c r="O16" t="str">
        <f t="shared" si="2"/>
        <v>BOOL</v>
      </c>
      <c r="P16" t="str">
        <f t="shared" si="3"/>
        <v>INTERRUTTORE INTERRUTTORE</v>
      </c>
      <c r="R16" t="str">
        <f t="shared" si="4"/>
        <v>QMT -Interruttore TR1 Aperto</v>
      </c>
      <c r="U16" t="str">
        <f t="shared" si="5"/>
        <v>Stato</v>
      </c>
      <c r="V16" t="str">
        <f t="shared" si="6"/>
        <v>QMT</v>
      </c>
      <c r="W16" t="str">
        <f t="shared" si="7"/>
        <v>CABINA PRINCIPALE</v>
      </c>
      <c r="Z16" t="str">
        <f t="shared" si="8"/>
        <v>10.220.80.16</v>
      </c>
    </row>
    <row r="17" spans="1:26" x14ac:dyDescent="0.25">
      <c r="A17" t="s">
        <v>10</v>
      </c>
      <c r="B17" t="s">
        <v>11</v>
      </c>
      <c r="C17" t="s">
        <v>48</v>
      </c>
      <c r="D17" t="s">
        <v>54</v>
      </c>
      <c r="E17" t="s">
        <v>54</v>
      </c>
      <c r="F17" t="s">
        <v>14</v>
      </c>
      <c r="G17" t="s">
        <v>21</v>
      </c>
      <c r="H17" t="s">
        <v>22</v>
      </c>
      <c r="I17" t="s">
        <v>64</v>
      </c>
      <c r="J17" t="s">
        <v>65</v>
      </c>
      <c r="K17" t="str">
        <f t="shared" si="0"/>
        <v>1000.14</v>
      </c>
      <c r="N17" t="str">
        <f t="shared" si="1"/>
        <v>HOLDING REGISTER</v>
      </c>
      <c r="O17" t="str">
        <f t="shared" si="2"/>
        <v>BOOL</v>
      </c>
      <c r="P17" t="str">
        <f t="shared" si="3"/>
        <v>SEZIONATORE LINEA SEZIONATORE LINEA</v>
      </c>
      <c r="R17" t="str">
        <f t="shared" si="4"/>
        <v>QMT -Sezionatore Di Linea TR1 Chiuso</v>
      </c>
      <c r="U17" t="str">
        <f t="shared" si="5"/>
        <v>Stato</v>
      </c>
      <c r="V17" t="str">
        <f t="shared" si="6"/>
        <v>QMT</v>
      </c>
      <c r="W17" t="str">
        <f t="shared" si="7"/>
        <v>CABINA PRINCIPALE</v>
      </c>
      <c r="Z17" t="str">
        <f t="shared" si="8"/>
        <v>10.220.80.16</v>
      </c>
    </row>
    <row r="18" spans="1:26" x14ac:dyDescent="0.25">
      <c r="A18" t="s">
        <v>10</v>
      </c>
      <c r="B18" t="s">
        <v>11</v>
      </c>
      <c r="C18" t="s">
        <v>48</v>
      </c>
      <c r="D18" t="s">
        <v>57</v>
      </c>
      <c r="E18" t="s">
        <v>57</v>
      </c>
      <c r="F18" t="s">
        <v>14</v>
      </c>
      <c r="G18" t="s">
        <v>21</v>
      </c>
      <c r="H18" t="s">
        <v>22</v>
      </c>
      <c r="I18" t="s">
        <v>66</v>
      </c>
      <c r="J18" t="s">
        <v>67</v>
      </c>
      <c r="K18" t="str">
        <f t="shared" si="0"/>
        <v>1000.15</v>
      </c>
      <c r="N18" t="str">
        <f t="shared" si="1"/>
        <v>HOLDING REGISTER</v>
      </c>
      <c r="O18" t="str">
        <f t="shared" si="2"/>
        <v>BOOL</v>
      </c>
      <c r="P18" t="str">
        <f t="shared" si="3"/>
        <v>SEZIONATORE TERRA SEZIONATORE TERRA</v>
      </c>
      <c r="R18" t="str">
        <f t="shared" si="4"/>
        <v>QMT -Sezionatore Di Terra TR1 Aperto</v>
      </c>
      <c r="U18" t="str">
        <f t="shared" si="5"/>
        <v>Stato</v>
      </c>
      <c r="V18" t="str">
        <f t="shared" si="6"/>
        <v>QMT</v>
      </c>
      <c r="W18" t="str">
        <f t="shared" si="7"/>
        <v>CABINA PRINCIPALE</v>
      </c>
      <c r="Z18" t="str">
        <f t="shared" si="8"/>
        <v>10.220.80.16</v>
      </c>
    </row>
    <row r="19" spans="1:26" x14ac:dyDescent="0.25">
      <c r="A19" t="s">
        <v>10</v>
      </c>
      <c r="B19" t="s">
        <v>11</v>
      </c>
      <c r="C19" t="s">
        <v>48</v>
      </c>
      <c r="D19" t="s">
        <v>49</v>
      </c>
      <c r="E19" t="s">
        <v>49</v>
      </c>
      <c r="F19" t="s">
        <v>14</v>
      </c>
      <c r="G19" t="s">
        <v>21</v>
      </c>
      <c r="H19" t="s">
        <v>22</v>
      </c>
      <c r="I19" t="s">
        <v>68</v>
      </c>
      <c r="J19" t="s">
        <v>69</v>
      </c>
      <c r="K19" t="str">
        <f t="shared" si="0"/>
        <v>1001.0</v>
      </c>
      <c r="N19" t="str">
        <f t="shared" si="1"/>
        <v>HOLDING REGISTER</v>
      </c>
      <c r="O19" t="str">
        <f t="shared" si="2"/>
        <v>BOOL</v>
      </c>
      <c r="P19" t="str">
        <f t="shared" si="3"/>
        <v>INTERRUTTORE INTERRUTTORE</v>
      </c>
      <c r="R19" t="str">
        <f t="shared" si="4"/>
        <v>QMT -Interruttore TR2 Chiuso</v>
      </c>
      <c r="U19" t="str">
        <f t="shared" si="5"/>
        <v>Stato</v>
      </c>
      <c r="V19" t="str">
        <f t="shared" si="6"/>
        <v>QMT</v>
      </c>
      <c r="W19" t="str">
        <f t="shared" si="7"/>
        <v>CABINA PRINCIPALE</v>
      </c>
      <c r="Z19" t="str">
        <f t="shared" si="8"/>
        <v>10.220.80.16</v>
      </c>
    </row>
    <row r="20" spans="1:26" x14ac:dyDescent="0.25">
      <c r="A20" t="s">
        <v>10</v>
      </c>
      <c r="B20" t="s">
        <v>11</v>
      </c>
      <c r="C20" t="s">
        <v>48</v>
      </c>
      <c r="D20" t="s">
        <v>49</v>
      </c>
      <c r="E20" t="s">
        <v>49</v>
      </c>
      <c r="F20" t="s">
        <v>14</v>
      </c>
      <c r="G20" t="s">
        <v>21</v>
      </c>
      <c r="H20" t="s">
        <v>22</v>
      </c>
      <c r="I20" t="s">
        <v>70</v>
      </c>
      <c r="J20" t="s">
        <v>71</v>
      </c>
      <c r="K20" t="str">
        <f t="shared" si="0"/>
        <v>1001.1</v>
      </c>
      <c r="N20" t="str">
        <f t="shared" si="1"/>
        <v>HOLDING REGISTER</v>
      </c>
      <c r="O20" t="str">
        <f t="shared" si="2"/>
        <v>BOOL</v>
      </c>
      <c r="P20" t="str">
        <f t="shared" si="3"/>
        <v>INTERRUTTORE INTERRUTTORE</v>
      </c>
      <c r="R20" t="str">
        <f t="shared" si="4"/>
        <v>QMT -Interruttore TR2 Aperto</v>
      </c>
      <c r="U20" t="str">
        <f t="shared" si="5"/>
        <v>Stato</v>
      </c>
      <c r="V20" t="str">
        <f t="shared" si="6"/>
        <v>QMT</v>
      </c>
      <c r="W20" t="str">
        <f t="shared" si="7"/>
        <v>CABINA PRINCIPALE</v>
      </c>
      <c r="Z20" t="str">
        <f t="shared" si="8"/>
        <v>10.220.80.16</v>
      </c>
    </row>
    <row r="21" spans="1:26" x14ac:dyDescent="0.25">
      <c r="A21" t="s">
        <v>10</v>
      </c>
      <c r="B21" t="s">
        <v>11</v>
      </c>
      <c r="C21" t="s">
        <v>48</v>
      </c>
      <c r="D21" t="s">
        <v>54</v>
      </c>
      <c r="E21" t="s">
        <v>54</v>
      </c>
      <c r="F21" t="s">
        <v>14</v>
      </c>
      <c r="G21" t="s">
        <v>21</v>
      </c>
      <c r="H21" t="s">
        <v>22</v>
      </c>
      <c r="I21" t="s">
        <v>72</v>
      </c>
      <c r="J21" t="s">
        <v>73</v>
      </c>
      <c r="K21" t="str">
        <f t="shared" si="0"/>
        <v>1001.2</v>
      </c>
      <c r="N21" t="str">
        <f t="shared" si="1"/>
        <v>HOLDING REGISTER</v>
      </c>
      <c r="O21" t="str">
        <f t="shared" si="2"/>
        <v>BOOL</v>
      </c>
      <c r="P21" t="str">
        <f t="shared" si="3"/>
        <v>SEZIONATORE LINEA SEZIONATORE LINEA</v>
      </c>
      <c r="R21" t="str">
        <f t="shared" si="4"/>
        <v>QMT -Sezionatore Di Linea TR2 Chiuso</v>
      </c>
      <c r="U21" t="str">
        <f t="shared" si="5"/>
        <v>Stato</v>
      </c>
      <c r="V21" t="str">
        <f t="shared" si="6"/>
        <v>QMT</v>
      </c>
      <c r="W21" t="str">
        <f t="shared" si="7"/>
        <v>CABINA PRINCIPALE</v>
      </c>
      <c r="Z21" t="str">
        <f t="shared" si="8"/>
        <v>10.220.80.16</v>
      </c>
    </row>
    <row r="22" spans="1:26" x14ac:dyDescent="0.25">
      <c r="A22" t="s">
        <v>10</v>
      </c>
      <c r="B22" t="s">
        <v>11</v>
      </c>
      <c r="C22" t="s">
        <v>48</v>
      </c>
      <c r="D22" t="s">
        <v>57</v>
      </c>
      <c r="E22" t="s">
        <v>57</v>
      </c>
      <c r="F22" t="s">
        <v>14</v>
      </c>
      <c r="G22" t="s">
        <v>21</v>
      </c>
      <c r="H22" t="s">
        <v>22</v>
      </c>
      <c r="I22" t="s">
        <v>74</v>
      </c>
      <c r="J22" t="s">
        <v>75</v>
      </c>
      <c r="K22" t="str">
        <f t="shared" si="0"/>
        <v>1001.3</v>
      </c>
      <c r="N22" t="str">
        <f t="shared" si="1"/>
        <v>HOLDING REGISTER</v>
      </c>
      <c r="O22" t="str">
        <f t="shared" si="2"/>
        <v>BOOL</v>
      </c>
      <c r="P22" t="str">
        <f t="shared" si="3"/>
        <v>SEZIONATORE TERRA SEZIONATORE TERRA</v>
      </c>
      <c r="R22" t="str">
        <f t="shared" si="4"/>
        <v>QMT -Sezionatore Di Terra TR2 Aperto</v>
      </c>
      <c r="U22" t="str">
        <f t="shared" si="5"/>
        <v>Stato</v>
      </c>
      <c r="V22" t="str">
        <f t="shared" si="6"/>
        <v>QMT</v>
      </c>
      <c r="W22" t="str">
        <f t="shared" si="7"/>
        <v>CABINA PRINCIPALE</v>
      </c>
      <c r="Z22" t="str">
        <f t="shared" si="8"/>
        <v>10.220.80.16</v>
      </c>
    </row>
    <row r="23" spans="1:26" x14ac:dyDescent="0.25">
      <c r="A23" t="s">
        <v>10</v>
      </c>
      <c r="B23" t="s">
        <v>11</v>
      </c>
      <c r="C23" t="s">
        <v>76</v>
      </c>
      <c r="D23" t="s">
        <v>77</v>
      </c>
      <c r="E23" t="s">
        <v>78</v>
      </c>
      <c r="F23" t="s">
        <v>14</v>
      </c>
      <c r="G23" t="s">
        <v>28</v>
      </c>
      <c r="H23" t="s">
        <v>22</v>
      </c>
      <c r="I23" t="s">
        <v>79</v>
      </c>
      <c r="J23" t="s">
        <v>80</v>
      </c>
      <c r="K23" t="str">
        <f t="shared" si="0"/>
        <v>1001.4</v>
      </c>
      <c r="N23" t="str">
        <f t="shared" si="1"/>
        <v>HOLDING REGISTER</v>
      </c>
      <c r="O23" t="str">
        <f t="shared" si="2"/>
        <v>BOOL</v>
      </c>
      <c r="P23" t="str">
        <f t="shared" si="3"/>
        <v>CENTRALINA CONTROLLO TEMPERATURA TR1</v>
      </c>
      <c r="R23" t="str">
        <f t="shared" si="4"/>
        <v>QMT -Guasto Centralina Temperatura TR1</v>
      </c>
      <c r="U23" t="str">
        <f t="shared" si="5"/>
        <v>Allarme</v>
      </c>
      <c r="V23" t="str">
        <f t="shared" si="6"/>
        <v>TRAFO 1</v>
      </c>
      <c r="W23" t="str">
        <f t="shared" si="7"/>
        <v>CABINA PRINCIPALE</v>
      </c>
      <c r="Z23" t="str">
        <f t="shared" si="8"/>
        <v>10.220.80.16</v>
      </c>
    </row>
    <row r="24" spans="1:26" x14ac:dyDescent="0.25">
      <c r="A24" t="s">
        <v>10</v>
      </c>
      <c r="B24" t="s">
        <v>11</v>
      </c>
      <c r="C24" t="s">
        <v>76</v>
      </c>
      <c r="D24" t="s">
        <v>77</v>
      </c>
      <c r="E24" t="s">
        <v>78</v>
      </c>
      <c r="F24" t="s">
        <v>14</v>
      </c>
      <c r="G24" t="s">
        <v>28</v>
      </c>
      <c r="H24" t="s">
        <v>22</v>
      </c>
      <c r="I24" t="s">
        <v>81</v>
      </c>
      <c r="J24" t="s">
        <v>82</v>
      </c>
      <c r="K24" t="str">
        <f t="shared" si="0"/>
        <v>1001.5</v>
      </c>
      <c r="N24" t="str">
        <f t="shared" si="1"/>
        <v>HOLDING REGISTER</v>
      </c>
      <c r="O24" t="str">
        <f t="shared" si="2"/>
        <v>BOOL</v>
      </c>
      <c r="P24" t="str">
        <f t="shared" si="3"/>
        <v>CENTRALINA CONTROLLO TEMPERATURA TR1</v>
      </c>
      <c r="R24" t="str">
        <f t="shared" si="4"/>
        <v>QMT -Allarme Temperatura TR1</v>
      </c>
      <c r="U24" t="str">
        <f t="shared" si="5"/>
        <v>Allarme</v>
      </c>
      <c r="V24" t="str">
        <f t="shared" si="6"/>
        <v>TRAFO 1</v>
      </c>
      <c r="W24" t="str">
        <f t="shared" si="7"/>
        <v>CABINA PRINCIPALE</v>
      </c>
      <c r="Z24" t="str">
        <f t="shared" si="8"/>
        <v>10.220.80.16</v>
      </c>
    </row>
    <row r="25" spans="1:26" x14ac:dyDescent="0.25">
      <c r="A25" t="s">
        <v>10</v>
      </c>
      <c r="B25" t="s">
        <v>11</v>
      </c>
      <c r="C25" t="s">
        <v>83</v>
      </c>
      <c r="D25" t="s">
        <v>77</v>
      </c>
      <c r="E25" t="s">
        <v>84</v>
      </c>
      <c r="F25" t="s">
        <v>14</v>
      </c>
      <c r="G25" t="s">
        <v>28</v>
      </c>
      <c r="H25" t="s">
        <v>22</v>
      </c>
      <c r="I25" t="s">
        <v>85</v>
      </c>
      <c r="J25" t="s">
        <v>86</v>
      </c>
      <c r="K25" t="str">
        <f t="shared" si="0"/>
        <v>1001.6</v>
      </c>
      <c r="N25" t="str">
        <f t="shared" si="1"/>
        <v>HOLDING REGISTER</v>
      </c>
      <c r="O25" t="str">
        <f t="shared" si="2"/>
        <v>BOOL</v>
      </c>
      <c r="P25" t="str">
        <f t="shared" si="3"/>
        <v>CENTRALINA CONTROLLO TEMPERATURA TR2</v>
      </c>
      <c r="R25" t="str">
        <f t="shared" si="4"/>
        <v>QMT -Guasto Centralina Temperatura TR2</v>
      </c>
      <c r="U25" t="str">
        <f t="shared" si="5"/>
        <v>Allarme</v>
      </c>
      <c r="V25" t="str">
        <f t="shared" si="6"/>
        <v>TRAFO 2</v>
      </c>
      <c r="W25" t="str">
        <f t="shared" si="7"/>
        <v>CABINA PRINCIPALE</v>
      </c>
      <c r="Z25" t="str">
        <f t="shared" si="8"/>
        <v>10.220.80.16</v>
      </c>
    </row>
    <row r="26" spans="1:26" x14ac:dyDescent="0.25">
      <c r="A26" t="s">
        <v>10</v>
      </c>
      <c r="B26" t="s">
        <v>11</v>
      </c>
      <c r="C26" t="s">
        <v>83</v>
      </c>
      <c r="D26" t="s">
        <v>77</v>
      </c>
      <c r="E26" t="s">
        <v>84</v>
      </c>
      <c r="F26" t="s">
        <v>14</v>
      </c>
      <c r="G26" t="s">
        <v>28</v>
      </c>
      <c r="H26" t="s">
        <v>22</v>
      </c>
      <c r="I26" t="s">
        <v>87</v>
      </c>
      <c r="J26" t="s">
        <v>88</v>
      </c>
      <c r="K26" t="str">
        <f t="shared" si="0"/>
        <v>1001.7</v>
      </c>
      <c r="N26" t="str">
        <f t="shared" si="1"/>
        <v>HOLDING REGISTER</v>
      </c>
      <c r="O26" t="str">
        <f t="shared" si="2"/>
        <v>BOOL</v>
      </c>
      <c r="P26" t="str">
        <f t="shared" si="3"/>
        <v>CENTRALINA CONTROLLO TEMPERATURA TR2</v>
      </c>
      <c r="R26" t="str">
        <f t="shared" si="4"/>
        <v>QMT -Allarme Temperatura TR2</v>
      </c>
      <c r="U26" t="str">
        <f t="shared" si="5"/>
        <v>Allarme</v>
      </c>
      <c r="V26" t="str">
        <f t="shared" si="6"/>
        <v>TRAFO 2</v>
      </c>
      <c r="W26" t="str">
        <f t="shared" si="7"/>
        <v>CABINA PRINCIPALE</v>
      </c>
      <c r="Z26" t="str">
        <f t="shared" si="8"/>
        <v>10.220.80.16</v>
      </c>
    </row>
    <row r="27" spans="1:26" x14ac:dyDescent="0.25">
      <c r="A27" t="s">
        <v>10</v>
      </c>
      <c r="B27" t="s">
        <v>11</v>
      </c>
      <c r="C27" t="s">
        <v>89</v>
      </c>
      <c r="D27" t="s">
        <v>49</v>
      </c>
      <c r="E27">
        <v>1</v>
      </c>
      <c r="F27" t="s">
        <v>14</v>
      </c>
      <c r="G27" t="s">
        <v>21</v>
      </c>
      <c r="H27" t="s">
        <v>22</v>
      </c>
      <c r="I27" t="s">
        <v>90</v>
      </c>
      <c r="J27" t="s">
        <v>91</v>
      </c>
      <c r="K27" t="str">
        <f t="shared" si="0"/>
        <v>1001.8</v>
      </c>
      <c r="N27" t="str">
        <f t="shared" si="1"/>
        <v>HOLDING REGISTER</v>
      </c>
      <c r="O27" t="str">
        <f t="shared" si="2"/>
        <v>BOOL</v>
      </c>
      <c r="P27" t="str">
        <f t="shared" si="3"/>
        <v>INTERRUTTORE 1</v>
      </c>
      <c r="R27" t="str">
        <f t="shared" si="4"/>
        <v>QGBT1 -INTERRUTTORE RIFASAMENTO FISSO TRAFO 1 400Vac CHIUSO</v>
      </c>
      <c r="U27" t="str">
        <f t="shared" si="5"/>
        <v>Stato</v>
      </c>
      <c r="V27" t="str">
        <f t="shared" si="6"/>
        <v>QGBT1</v>
      </c>
      <c r="W27" t="str">
        <f t="shared" si="7"/>
        <v>CABINA PRINCIPALE</v>
      </c>
      <c r="Z27" t="str">
        <f t="shared" si="8"/>
        <v>10.220.80.16</v>
      </c>
    </row>
    <row r="28" spans="1:26" x14ac:dyDescent="0.25">
      <c r="A28" t="s">
        <v>10</v>
      </c>
      <c r="B28" t="s">
        <v>11</v>
      </c>
      <c r="C28" t="s">
        <v>89</v>
      </c>
      <c r="D28" t="s">
        <v>49</v>
      </c>
      <c r="E28">
        <v>1</v>
      </c>
      <c r="F28" t="s">
        <v>14</v>
      </c>
      <c r="G28" t="s">
        <v>28</v>
      </c>
      <c r="H28" t="s">
        <v>22</v>
      </c>
      <c r="I28" t="s">
        <v>92</v>
      </c>
      <c r="J28" t="s">
        <v>93</v>
      </c>
      <c r="K28" t="str">
        <f t="shared" si="0"/>
        <v>1001.9</v>
      </c>
      <c r="N28" t="str">
        <f t="shared" si="1"/>
        <v>HOLDING REGISTER</v>
      </c>
      <c r="O28" t="str">
        <f t="shared" si="2"/>
        <v>BOOL</v>
      </c>
      <c r="P28" t="str">
        <f t="shared" si="3"/>
        <v>INTERRUTTORE 1</v>
      </c>
      <c r="R28" t="str">
        <f t="shared" si="4"/>
        <v>QGBT1 -INTERRUTTORE RIFASAMENTO FISSO TRAFO 1 400Vac SCATTATO</v>
      </c>
      <c r="U28" t="str">
        <f t="shared" si="5"/>
        <v>Allarme</v>
      </c>
      <c r="V28" t="str">
        <f t="shared" si="6"/>
        <v>QGBT1</v>
      </c>
      <c r="W28" t="str">
        <f t="shared" si="7"/>
        <v>CABINA PRINCIPALE</v>
      </c>
      <c r="Z28" t="str">
        <f t="shared" si="8"/>
        <v>10.220.80.16</v>
      </c>
    </row>
    <row r="29" spans="1:26" x14ac:dyDescent="0.25">
      <c r="A29" t="s">
        <v>10</v>
      </c>
      <c r="B29" t="s">
        <v>11</v>
      </c>
      <c r="C29" t="s">
        <v>89</v>
      </c>
      <c r="D29" t="s">
        <v>94</v>
      </c>
      <c r="E29" t="s">
        <v>95</v>
      </c>
      <c r="F29" t="s">
        <v>14</v>
      </c>
      <c r="G29" t="s">
        <v>28</v>
      </c>
      <c r="H29" t="s">
        <v>22</v>
      </c>
      <c r="I29" t="s">
        <v>96</v>
      </c>
      <c r="J29" t="s">
        <v>97</v>
      </c>
      <c r="K29" t="str">
        <f t="shared" si="0"/>
        <v>1001.10</v>
      </c>
      <c r="N29" t="str">
        <f t="shared" si="1"/>
        <v>HOLDING REGISTER</v>
      </c>
      <c r="O29" t="str">
        <f t="shared" si="2"/>
        <v>BOOL</v>
      </c>
      <c r="P29" t="str">
        <f t="shared" si="3"/>
        <v>SCARICATORE SOVRATENSIONI SPD1</v>
      </c>
      <c r="R29" t="str">
        <f t="shared" si="4"/>
        <v>QGBT1 -LIMITATORE DI SOVRATENSIONE INTERVENUTO TRAFO 1 400Vac</v>
      </c>
      <c r="U29" t="str">
        <f t="shared" si="5"/>
        <v>Allarme</v>
      </c>
      <c r="V29" t="str">
        <f t="shared" si="6"/>
        <v>QGBT1</v>
      </c>
      <c r="W29" t="str">
        <f t="shared" si="7"/>
        <v>CABINA PRINCIPALE</v>
      </c>
      <c r="Z29" t="str">
        <f t="shared" si="8"/>
        <v>10.220.80.16</v>
      </c>
    </row>
    <row r="30" spans="1:26" x14ac:dyDescent="0.25">
      <c r="A30" t="s">
        <v>10</v>
      </c>
      <c r="B30" t="s">
        <v>11</v>
      </c>
      <c r="C30" t="s">
        <v>89</v>
      </c>
      <c r="D30" t="s">
        <v>49</v>
      </c>
      <c r="E30">
        <v>2</v>
      </c>
      <c r="F30" t="s">
        <v>14</v>
      </c>
      <c r="G30" t="s">
        <v>21</v>
      </c>
      <c r="H30" t="s">
        <v>22</v>
      </c>
      <c r="I30" t="s">
        <v>98</v>
      </c>
      <c r="J30" t="s">
        <v>99</v>
      </c>
      <c r="K30" t="str">
        <f t="shared" si="0"/>
        <v>1001.11</v>
      </c>
      <c r="N30" t="str">
        <f t="shared" si="1"/>
        <v>HOLDING REGISTER</v>
      </c>
      <c r="O30" t="str">
        <f t="shared" si="2"/>
        <v>BOOL</v>
      </c>
      <c r="P30" t="str">
        <f t="shared" si="3"/>
        <v>INTERRUTTORE 2</v>
      </c>
      <c r="R30" t="str">
        <f t="shared" si="4"/>
        <v>QGBT1 -INTERRUTTORE GENERALE TRAFO 1 400Vac CHIUSO</v>
      </c>
      <c r="U30" t="str">
        <f t="shared" si="5"/>
        <v>Stato</v>
      </c>
      <c r="V30" t="str">
        <f t="shared" si="6"/>
        <v>QGBT1</v>
      </c>
      <c r="W30" t="str">
        <f t="shared" si="7"/>
        <v>CABINA PRINCIPALE</v>
      </c>
      <c r="Z30" t="str">
        <f t="shared" si="8"/>
        <v>10.220.80.16</v>
      </c>
    </row>
    <row r="31" spans="1:26" x14ac:dyDescent="0.25">
      <c r="A31" t="s">
        <v>10</v>
      </c>
      <c r="B31" t="s">
        <v>11</v>
      </c>
      <c r="C31" t="s">
        <v>89</v>
      </c>
      <c r="D31" t="s">
        <v>49</v>
      </c>
      <c r="E31">
        <v>2</v>
      </c>
      <c r="F31" t="s">
        <v>14</v>
      </c>
      <c r="G31" t="s">
        <v>28</v>
      </c>
      <c r="H31" t="s">
        <v>22</v>
      </c>
      <c r="I31" t="s">
        <v>100</v>
      </c>
      <c r="J31" t="s">
        <v>101</v>
      </c>
      <c r="K31" t="str">
        <f t="shared" si="0"/>
        <v>1001.12</v>
      </c>
      <c r="N31" t="str">
        <f t="shared" si="1"/>
        <v>HOLDING REGISTER</v>
      </c>
      <c r="O31" t="str">
        <f t="shared" si="2"/>
        <v>BOOL</v>
      </c>
      <c r="P31" t="str">
        <f t="shared" si="3"/>
        <v>INTERRUTTORE 2</v>
      </c>
      <c r="R31" t="str">
        <f t="shared" si="4"/>
        <v>QGBT1 -INTERRUTTORE GENERALE TRAFO 1 400Vac SCATTATO</v>
      </c>
      <c r="U31" t="str">
        <f t="shared" si="5"/>
        <v>Allarme</v>
      </c>
      <c r="V31" t="str">
        <f t="shared" si="6"/>
        <v>QGBT1</v>
      </c>
      <c r="W31" t="str">
        <f t="shared" si="7"/>
        <v>CABINA PRINCIPALE</v>
      </c>
      <c r="Z31" t="str">
        <f t="shared" si="8"/>
        <v>10.220.80.16</v>
      </c>
    </row>
    <row r="32" spans="1:26" x14ac:dyDescent="0.25">
      <c r="A32" t="s">
        <v>10</v>
      </c>
      <c r="B32" t="s">
        <v>11</v>
      </c>
      <c r="C32" t="s">
        <v>89</v>
      </c>
      <c r="D32" t="s">
        <v>49</v>
      </c>
      <c r="E32">
        <v>3</v>
      </c>
      <c r="F32" t="s">
        <v>14</v>
      </c>
      <c r="G32" t="s">
        <v>21</v>
      </c>
      <c r="H32" t="s">
        <v>22</v>
      </c>
      <c r="I32" t="s">
        <v>102</v>
      </c>
      <c r="J32" t="s">
        <v>103</v>
      </c>
      <c r="K32" t="str">
        <f t="shared" si="0"/>
        <v>1001.13</v>
      </c>
      <c r="N32" t="str">
        <f t="shared" si="1"/>
        <v>HOLDING REGISTER</v>
      </c>
      <c r="O32" t="str">
        <f t="shared" si="2"/>
        <v>BOOL</v>
      </c>
      <c r="P32" t="str">
        <f t="shared" si="3"/>
        <v>INTERRUTTORE 3</v>
      </c>
      <c r="R32" t="str">
        <f t="shared" si="4"/>
        <v>QGBT1 -INTERRUTTORE RIFASAMENTO FISSO TRAFO 2 400Vac CHIUSO</v>
      </c>
      <c r="U32" t="str">
        <f t="shared" si="5"/>
        <v>Stato</v>
      </c>
      <c r="V32" t="str">
        <f t="shared" si="6"/>
        <v>QGBT1</v>
      </c>
      <c r="W32" t="str">
        <f t="shared" si="7"/>
        <v>CABINA PRINCIPALE</v>
      </c>
      <c r="Z32" t="str">
        <f t="shared" si="8"/>
        <v>10.220.80.16</v>
      </c>
    </row>
    <row r="33" spans="1:26" x14ac:dyDescent="0.25">
      <c r="A33" t="s">
        <v>10</v>
      </c>
      <c r="B33" t="s">
        <v>11</v>
      </c>
      <c r="C33" t="s">
        <v>89</v>
      </c>
      <c r="D33" t="s">
        <v>49</v>
      </c>
      <c r="E33">
        <v>3</v>
      </c>
      <c r="F33" t="s">
        <v>14</v>
      </c>
      <c r="G33" t="s">
        <v>28</v>
      </c>
      <c r="H33" t="s">
        <v>22</v>
      </c>
      <c r="I33" t="s">
        <v>104</v>
      </c>
      <c r="J33" t="s">
        <v>105</v>
      </c>
      <c r="K33" t="str">
        <f t="shared" si="0"/>
        <v>1001.14</v>
      </c>
      <c r="N33" t="str">
        <f t="shared" si="1"/>
        <v>HOLDING REGISTER</v>
      </c>
      <c r="O33" t="str">
        <f t="shared" si="2"/>
        <v>BOOL</v>
      </c>
      <c r="P33" t="str">
        <f t="shared" si="3"/>
        <v>INTERRUTTORE 3</v>
      </c>
      <c r="R33" t="str">
        <f t="shared" si="4"/>
        <v>QGBT1 -INTERRUTTORE RIFASAMENTO FISSO TRAFO 2 400Vac SCATTATO</v>
      </c>
      <c r="U33" t="str">
        <f t="shared" si="5"/>
        <v>Allarme</v>
      </c>
      <c r="V33" t="str">
        <f t="shared" si="6"/>
        <v>QGBT1</v>
      </c>
      <c r="W33" t="str">
        <f t="shared" si="7"/>
        <v>CABINA PRINCIPALE</v>
      </c>
      <c r="Z33" t="str">
        <f t="shared" si="8"/>
        <v>10.220.80.16</v>
      </c>
    </row>
    <row r="34" spans="1:26" x14ac:dyDescent="0.25">
      <c r="A34" t="s">
        <v>10</v>
      </c>
      <c r="B34" t="s">
        <v>11</v>
      </c>
      <c r="C34" t="s">
        <v>89</v>
      </c>
      <c r="D34" t="s">
        <v>94</v>
      </c>
      <c r="E34" t="s">
        <v>106</v>
      </c>
      <c r="F34" t="s">
        <v>14</v>
      </c>
      <c r="G34" t="s">
        <v>28</v>
      </c>
      <c r="H34" t="s">
        <v>22</v>
      </c>
      <c r="I34" t="s">
        <v>107</v>
      </c>
      <c r="J34" t="s">
        <v>108</v>
      </c>
      <c r="K34" t="str">
        <f t="shared" si="0"/>
        <v>1001.15</v>
      </c>
      <c r="N34" t="str">
        <f t="shared" si="1"/>
        <v>HOLDING REGISTER</v>
      </c>
      <c r="O34" t="str">
        <f t="shared" si="2"/>
        <v>BOOL</v>
      </c>
      <c r="P34" t="str">
        <f t="shared" si="3"/>
        <v>SCARICATORE SOVRATENSIONI SPD2</v>
      </c>
      <c r="R34" t="str">
        <f t="shared" si="4"/>
        <v>QGBT1 -LIMITATORE DI SOVRATENSIONE INTERVENUTO TRAFO 2 400Vac</v>
      </c>
      <c r="U34" t="str">
        <f t="shared" si="5"/>
        <v>Allarme</v>
      </c>
      <c r="V34" t="str">
        <f t="shared" si="6"/>
        <v>QGBT1</v>
      </c>
      <c r="W34" t="str">
        <f t="shared" si="7"/>
        <v>CABINA PRINCIPALE</v>
      </c>
      <c r="Z34" t="str">
        <f t="shared" si="8"/>
        <v>10.220.80.16</v>
      </c>
    </row>
    <row r="35" spans="1:26" x14ac:dyDescent="0.25">
      <c r="A35" t="s">
        <v>10</v>
      </c>
      <c r="B35" t="s">
        <v>11</v>
      </c>
      <c r="C35" t="s">
        <v>89</v>
      </c>
      <c r="D35" t="s">
        <v>49</v>
      </c>
      <c r="E35">
        <v>4</v>
      </c>
      <c r="F35" t="s">
        <v>14</v>
      </c>
      <c r="G35" t="s">
        <v>21</v>
      </c>
      <c r="H35" t="s">
        <v>22</v>
      </c>
      <c r="I35" t="s">
        <v>109</v>
      </c>
      <c r="J35" t="s">
        <v>110</v>
      </c>
      <c r="K35" t="str">
        <f t="shared" si="0"/>
        <v>1002.0</v>
      </c>
      <c r="N35" t="str">
        <f t="shared" si="1"/>
        <v>HOLDING REGISTER</v>
      </c>
      <c r="O35" t="str">
        <f t="shared" si="2"/>
        <v>BOOL</v>
      </c>
      <c r="P35" t="str">
        <f t="shared" si="3"/>
        <v>INTERRUTTORE 4</v>
      </c>
      <c r="R35" t="str">
        <f t="shared" si="4"/>
        <v>QGBT1 -INTERRUTTORE GENERALE TRAFO 2 400Vac CHIUSO</v>
      </c>
      <c r="U35" t="str">
        <f t="shared" si="5"/>
        <v>Stato</v>
      </c>
      <c r="V35" t="str">
        <f t="shared" si="6"/>
        <v>QGBT1</v>
      </c>
      <c r="W35" t="str">
        <f t="shared" si="7"/>
        <v>CABINA PRINCIPALE</v>
      </c>
      <c r="Z35" t="str">
        <f t="shared" si="8"/>
        <v>10.220.80.16</v>
      </c>
    </row>
    <row r="36" spans="1:26" x14ac:dyDescent="0.25">
      <c r="A36" t="s">
        <v>10</v>
      </c>
      <c r="B36" t="s">
        <v>11</v>
      </c>
      <c r="C36" t="s">
        <v>89</v>
      </c>
      <c r="D36" t="s">
        <v>49</v>
      </c>
      <c r="E36">
        <v>4</v>
      </c>
      <c r="F36" t="s">
        <v>14</v>
      </c>
      <c r="G36" t="s">
        <v>28</v>
      </c>
      <c r="H36" t="s">
        <v>22</v>
      </c>
      <c r="I36" t="s">
        <v>111</v>
      </c>
      <c r="J36" t="s">
        <v>112</v>
      </c>
      <c r="K36" t="str">
        <f t="shared" si="0"/>
        <v>1002.1</v>
      </c>
      <c r="N36" t="str">
        <f t="shared" si="1"/>
        <v>HOLDING REGISTER</v>
      </c>
      <c r="O36" t="str">
        <f t="shared" si="2"/>
        <v>BOOL</v>
      </c>
      <c r="P36" t="str">
        <f t="shared" si="3"/>
        <v>INTERRUTTORE 4</v>
      </c>
      <c r="R36" t="str">
        <f t="shared" si="4"/>
        <v>QGBT1 -INTERRUTTORE GENERALE TRAFO 2 400Vac SCATTATO</v>
      </c>
      <c r="U36" t="str">
        <f t="shared" si="5"/>
        <v>Allarme</v>
      </c>
      <c r="V36" t="str">
        <f t="shared" si="6"/>
        <v>QGBT1</v>
      </c>
      <c r="W36" t="str">
        <f t="shared" si="7"/>
        <v>CABINA PRINCIPALE</v>
      </c>
      <c r="Z36" t="str">
        <f t="shared" si="8"/>
        <v>10.220.80.16</v>
      </c>
    </row>
    <row r="37" spans="1:26" x14ac:dyDescent="0.25">
      <c r="A37" t="s">
        <v>10</v>
      </c>
      <c r="B37" t="s">
        <v>11</v>
      </c>
      <c r="C37" t="s">
        <v>89</v>
      </c>
      <c r="D37" t="s">
        <v>49</v>
      </c>
      <c r="E37">
        <v>6</v>
      </c>
      <c r="F37" t="s">
        <v>14</v>
      </c>
      <c r="G37" t="s">
        <v>21</v>
      </c>
      <c r="H37" t="s">
        <v>22</v>
      </c>
      <c r="I37" t="s">
        <v>113</v>
      </c>
      <c r="J37" t="s">
        <v>114</v>
      </c>
      <c r="K37" t="str">
        <f t="shared" si="0"/>
        <v>1002.2</v>
      </c>
      <c r="N37" t="str">
        <f t="shared" si="1"/>
        <v>HOLDING REGISTER</v>
      </c>
      <c r="O37" t="str">
        <f t="shared" si="2"/>
        <v>BOOL</v>
      </c>
      <c r="P37" t="str">
        <f t="shared" si="3"/>
        <v>INTERRUTTORE 6</v>
      </c>
      <c r="R37" t="str">
        <f t="shared" si="4"/>
        <v>QGBT1 -INTERRUTTORE ELETTROPOMPA ANTINCENDIO CHIUSO</v>
      </c>
      <c r="U37" t="str">
        <f t="shared" si="5"/>
        <v>Stato</v>
      </c>
      <c r="V37" t="str">
        <f t="shared" si="6"/>
        <v>QGBT1</v>
      </c>
      <c r="W37" t="str">
        <f t="shared" si="7"/>
        <v>CABINA PRINCIPALE</v>
      </c>
      <c r="Z37" t="str">
        <f t="shared" si="8"/>
        <v>10.220.80.16</v>
      </c>
    </row>
    <row r="38" spans="1:26" x14ac:dyDescent="0.25">
      <c r="A38" t="s">
        <v>10</v>
      </c>
      <c r="B38" t="s">
        <v>11</v>
      </c>
      <c r="C38" t="s">
        <v>89</v>
      </c>
      <c r="D38" t="s">
        <v>49</v>
      </c>
      <c r="E38">
        <v>6</v>
      </c>
      <c r="F38" t="s">
        <v>14</v>
      </c>
      <c r="G38" t="s">
        <v>28</v>
      </c>
      <c r="H38" t="s">
        <v>22</v>
      </c>
      <c r="I38" t="s">
        <v>115</v>
      </c>
      <c r="J38" t="s">
        <v>116</v>
      </c>
      <c r="K38" t="str">
        <f t="shared" si="0"/>
        <v>1002.3</v>
      </c>
      <c r="N38" t="str">
        <f t="shared" si="1"/>
        <v>HOLDING REGISTER</v>
      </c>
      <c r="O38" t="str">
        <f t="shared" si="2"/>
        <v>BOOL</v>
      </c>
      <c r="P38" t="str">
        <f t="shared" si="3"/>
        <v>INTERRUTTORE 6</v>
      </c>
      <c r="R38" t="str">
        <f t="shared" si="4"/>
        <v>QGBT1 -INTERRUTTORE ELETTROPOMPA ANTINCENDIO SCATTATO</v>
      </c>
      <c r="U38" t="str">
        <f t="shared" si="5"/>
        <v>Allarme</v>
      </c>
      <c r="V38" t="str">
        <f t="shared" si="6"/>
        <v>QGBT1</v>
      </c>
      <c r="W38" t="str">
        <f t="shared" si="7"/>
        <v>CABINA PRINCIPALE</v>
      </c>
      <c r="Z38" t="str">
        <f t="shared" si="8"/>
        <v>10.220.80.16</v>
      </c>
    </row>
    <row r="39" spans="1:26" x14ac:dyDescent="0.25">
      <c r="A39" t="s">
        <v>10</v>
      </c>
      <c r="B39" t="s">
        <v>11</v>
      </c>
      <c r="C39" t="s">
        <v>89</v>
      </c>
      <c r="D39" t="s">
        <v>49</v>
      </c>
      <c r="E39">
        <v>7</v>
      </c>
      <c r="F39" t="s">
        <v>14</v>
      </c>
      <c r="G39" t="s">
        <v>21</v>
      </c>
      <c r="H39" t="s">
        <v>22</v>
      </c>
      <c r="I39" t="s">
        <v>117</v>
      </c>
      <c r="J39" t="s">
        <v>118</v>
      </c>
      <c r="K39" t="str">
        <f t="shared" si="0"/>
        <v>1002.4</v>
      </c>
      <c r="N39" t="str">
        <f t="shared" si="1"/>
        <v>HOLDING REGISTER</v>
      </c>
      <c r="O39" t="str">
        <f t="shared" si="2"/>
        <v>BOOL</v>
      </c>
      <c r="P39" t="str">
        <f t="shared" si="3"/>
        <v>INTERRUTTORE 7</v>
      </c>
      <c r="R39" t="str">
        <f t="shared" si="4"/>
        <v>QGBT1 -INTERRUTTORE QILL1 SEZIONE QIRG1-S CHIUSO</v>
      </c>
      <c r="U39" t="str">
        <f t="shared" si="5"/>
        <v>Stato</v>
      </c>
      <c r="V39" t="str">
        <f t="shared" si="6"/>
        <v>QGBT1</v>
      </c>
      <c r="W39" t="str">
        <f t="shared" si="7"/>
        <v>CABINA PRINCIPALE</v>
      </c>
      <c r="Z39" t="str">
        <f t="shared" si="8"/>
        <v>10.220.80.16</v>
      </c>
    </row>
    <row r="40" spans="1:26" x14ac:dyDescent="0.25">
      <c r="A40" t="s">
        <v>10</v>
      </c>
      <c r="B40" t="s">
        <v>11</v>
      </c>
      <c r="C40" t="s">
        <v>89</v>
      </c>
      <c r="D40" t="s">
        <v>49</v>
      </c>
      <c r="E40">
        <v>7</v>
      </c>
      <c r="F40" t="s">
        <v>14</v>
      </c>
      <c r="G40" t="s">
        <v>28</v>
      </c>
      <c r="H40" t="s">
        <v>22</v>
      </c>
      <c r="I40" t="s">
        <v>119</v>
      </c>
      <c r="J40" t="s">
        <v>120</v>
      </c>
      <c r="K40" t="str">
        <f t="shared" si="0"/>
        <v>1002.5</v>
      </c>
      <c r="N40" t="str">
        <f t="shared" si="1"/>
        <v>HOLDING REGISTER</v>
      </c>
      <c r="O40" t="str">
        <f t="shared" si="2"/>
        <v>BOOL</v>
      </c>
      <c r="P40" t="str">
        <f t="shared" si="3"/>
        <v>INTERRUTTORE 7</v>
      </c>
      <c r="R40" t="str">
        <f t="shared" si="4"/>
        <v>QGBT1 -INTERRUTTORE QILL1 SEZIONE QIRG1-S SCATTATO</v>
      </c>
      <c r="U40" t="str">
        <f t="shared" si="5"/>
        <v>Allarme</v>
      </c>
      <c r="V40" t="str">
        <f t="shared" si="6"/>
        <v>QGBT1</v>
      </c>
      <c r="W40" t="str">
        <f t="shared" si="7"/>
        <v>CABINA PRINCIPALE</v>
      </c>
      <c r="Z40" t="str">
        <f t="shared" si="8"/>
        <v>10.220.80.16</v>
      </c>
    </row>
    <row r="41" spans="1:26" x14ac:dyDescent="0.25">
      <c r="A41" t="s">
        <v>10</v>
      </c>
      <c r="B41" t="s">
        <v>11</v>
      </c>
      <c r="C41" t="s">
        <v>89</v>
      </c>
      <c r="D41" t="s">
        <v>49</v>
      </c>
      <c r="E41">
        <v>8</v>
      </c>
      <c r="F41" t="s">
        <v>14</v>
      </c>
      <c r="G41" t="s">
        <v>21</v>
      </c>
      <c r="H41" t="s">
        <v>22</v>
      </c>
      <c r="I41" t="s">
        <v>121</v>
      </c>
      <c r="J41" t="s">
        <v>122</v>
      </c>
      <c r="K41" t="str">
        <f t="shared" si="0"/>
        <v>1002.6</v>
      </c>
      <c r="N41" t="str">
        <f t="shared" si="1"/>
        <v>HOLDING REGISTER</v>
      </c>
      <c r="O41" t="str">
        <f t="shared" si="2"/>
        <v>BOOL</v>
      </c>
      <c r="P41" t="str">
        <f t="shared" si="3"/>
        <v>INTERRUTTORE 8</v>
      </c>
      <c r="R41" t="str">
        <f t="shared" si="4"/>
        <v>QGBT1 -INTERRUTTORE QILL1 SEZIONE QIRG1-N CHIUSO</v>
      </c>
      <c r="U41" t="str">
        <f t="shared" si="5"/>
        <v>Stato</v>
      </c>
      <c r="V41" t="str">
        <f t="shared" si="6"/>
        <v>QGBT1</v>
      </c>
      <c r="W41" t="str">
        <f t="shared" si="7"/>
        <v>CABINA PRINCIPALE</v>
      </c>
      <c r="Z41" t="str">
        <f t="shared" si="8"/>
        <v>10.220.80.16</v>
      </c>
    </row>
    <row r="42" spans="1:26" x14ac:dyDescent="0.25">
      <c r="A42" t="s">
        <v>10</v>
      </c>
      <c r="B42" t="s">
        <v>11</v>
      </c>
      <c r="C42" t="s">
        <v>89</v>
      </c>
      <c r="D42" t="s">
        <v>49</v>
      </c>
      <c r="E42">
        <v>8</v>
      </c>
      <c r="F42" t="s">
        <v>14</v>
      </c>
      <c r="G42" t="s">
        <v>28</v>
      </c>
      <c r="H42" t="s">
        <v>22</v>
      </c>
      <c r="I42" t="s">
        <v>123</v>
      </c>
      <c r="J42" t="s">
        <v>124</v>
      </c>
      <c r="K42" t="str">
        <f t="shared" si="0"/>
        <v>1002.7</v>
      </c>
      <c r="N42" t="str">
        <f t="shared" si="1"/>
        <v>HOLDING REGISTER</v>
      </c>
      <c r="O42" t="str">
        <f t="shared" si="2"/>
        <v>BOOL</v>
      </c>
      <c r="P42" t="str">
        <f t="shared" si="3"/>
        <v>INTERRUTTORE 8</v>
      </c>
      <c r="R42" t="str">
        <f t="shared" si="4"/>
        <v>QGBT1 -INTERRUTTORE QILL1 SEZIONE QIRG1-N SCATTATO</v>
      </c>
      <c r="U42" t="str">
        <f t="shared" si="5"/>
        <v>Allarme</v>
      </c>
      <c r="V42" t="str">
        <f t="shared" si="6"/>
        <v>QGBT1</v>
      </c>
      <c r="W42" t="str">
        <f t="shared" si="7"/>
        <v>CABINA PRINCIPALE</v>
      </c>
      <c r="Z42" t="str">
        <f t="shared" si="8"/>
        <v>10.220.80.16</v>
      </c>
    </row>
    <row r="43" spans="1:26" x14ac:dyDescent="0.25">
      <c r="A43" t="s">
        <v>10</v>
      </c>
      <c r="B43" t="s">
        <v>11</v>
      </c>
      <c r="C43" t="s">
        <v>89</v>
      </c>
      <c r="D43" t="s">
        <v>49</v>
      </c>
      <c r="E43">
        <v>9</v>
      </c>
      <c r="F43" t="s">
        <v>14</v>
      </c>
      <c r="G43" t="s">
        <v>21</v>
      </c>
      <c r="H43" t="s">
        <v>22</v>
      </c>
      <c r="I43" t="s">
        <v>125</v>
      </c>
      <c r="J43" t="s">
        <v>126</v>
      </c>
      <c r="K43" t="str">
        <f t="shared" si="0"/>
        <v>1002.8</v>
      </c>
      <c r="N43" t="str">
        <f t="shared" si="1"/>
        <v>HOLDING REGISTER</v>
      </c>
      <c r="O43" t="str">
        <f t="shared" si="2"/>
        <v>BOOL</v>
      </c>
      <c r="P43" t="str">
        <f t="shared" si="3"/>
        <v>INTERRUTTORE 9</v>
      </c>
      <c r="R43" t="str">
        <f t="shared" si="4"/>
        <v>QGBT1 -INTERRUTTORE QILL2 SEZIONE QIRG2-S CHIUSO</v>
      </c>
      <c r="U43" t="str">
        <f t="shared" si="5"/>
        <v>Stato</v>
      </c>
      <c r="V43" t="str">
        <f t="shared" si="6"/>
        <v>QGBT1</v>
      </c>
      <c r="W43" t="str">
        <f t="shared" si="7"/>
        <v>CABINA PRINCIPALE</v>
      </c>
      <c r="Z43" t="str">
        <f t="shared" si="8"/>
        <v>10.220.80.16</v>
      </c>
    </row>
    <row r="44" spans="1:26" x14ac:dyDescent="0.25">
      <c r="A44" t="s">
        <v>10</v>
      </c>
      <c r="B44" t="s">
        <v>11</v>
      </c>
      <c r="C44" t="s">
        <v>89</v>
      </c>
      <c r="D44" t="s">
        <v>49</v>
      </c>
      <c r="E44">
        <v>9</v>
      </c>
      <c r="F44" t="s">
        <v>14</v>
      </c>
      <c r="G44" t="s">
        <v>28</v>
      </c>
      <c r="H44" t="s">
        <v>22</v>
      </c>
      <c r="I44" t="s">
        <v>127</v>
      </c>
      <c r="J44" t="s">
        <v>128</v>
      </c>
      <c r="K44" t="str">
        <f t="shared" si="0"/>
        <v>1002.9</v>
      </c>
      <c r="N44" t="str">
        <f t="shared" si="1"/>
        <v>HOLDING REGISTER</v>
      </c>
      <c r="O44" t="str">
        <f t="shared" si="2"/>
        <v>BOOL</v>
      </c>
      <c r="P44" t="str">
        <f t="shared" si="3"/>
        <v>INTERRUTTORE 9</v>
      </c>
      <c r="R44" t="str">
        <f t="shared" si="4"/>
        <v>QGBT1 -INTERRUTTORE QILL2 SEZIONE QIRG2-S SCATTATO</v>
      </c>
      <c r="U44" t="str">
        <f t="shared" si="5"/>
        <v>Allarme</v>
      </c>
      <c r="V44" t="str">
        <f t="shared" si="6"/>
        <v>QGBT1</v>
      </c>
      <c r="W44" t="str">
        <f t="shared" si="7"/>
        <v>CABINA PRINCIPALE</v>
      </c>
      <c r="Z44" t="str">
        <f t="shared" si="8"/>
        <v>10.220.80.16</v>
      </c>
    </row>
    <row r="45" spans="1:26" x14ac:dyDescent="0.25">
      <c r="A45" t="s">
        <v>10</v>
      </c>
      <c r="B45" t="s">
        <v>11</v>
      </c>
      <c r="C45" t="s">
        <v>89</v>
      </c>
      <c r="D45" t="s">
        <v>49</v>
      </c>
      <c r="E45">
        <v>10</v>
      </c>
      <c r="F45" t="s">
        <v>14</v>
      </c>
      <c r="G45" t="s">
        <v>21</v>
      </c>
      <c r="H45" t="s">
        <v>22</v>
      </c>
      <c r="I45" t="s">
        <v>129</v>
      </c>
      <c r="J45" t="s">
        <v>130</v>
      </c>
      <c r="K45" t="str">
        <f t="shared" si="0"/>
        <v>1002.10</v>
      </c>
      <c r="N45" t="str">
        <f t="shared" si="1"/>
        <v>HOLDING REGISTER</v>
      </c>
      <c r="O45" t="str">
        <f t="shared" si="2"/>
        <v>BOOL</v>
      </c>
      <c r="P45" t="str">
        <f t="shared" si="3"/>
        <v>INTERRUTTORE 10</v>
      </c>
      <c r="R45" t="str">
        <f t="shared" si="4"/>
        <v>QGBT1 -INTERRUTTORE QILL2 SEZIONE QIRG2-N CHIUSO</v>
      </c>
      <c r="U45" t="str">
        <f t="shared" si="5"/>
        <v>Stato</v>
      </c>
      <c r="V45" t="str">
        <f t="shared" si="6"/>
        <v>QGBT1</v>
      </c>
      <c r="W45" t="str">
        <f t="shared" si="7"/>
        <v>CABINA PRINCIPALE</v>
      </c>
      <c r="Z45" t="str">
        <f t="shared" si="8"/>
        <v>10.220.80.16</v>
      </c>
    </row>
    <row r="46" spans="1:26" x14ac:dyDescent="0.25">
      <c r="A46" t="s">
        <v>10</v>
      </c>
      <c r="B46" t="s">
        <v>11</v>
      </c>
      <c r="C46" t="s">
        <v>89</v>
      </c>
      <c r="D46" t="s">
        <v>49</v>
      </c>
      <c r="E46">
        <v>10</v>
      </c>
      <c r="F46" t="s">
        <v>14</v>
      </c>
      <c r="G46" t="s">
        <v>28</v>
      </c>
      <c r="H46" t="s">
        <v>22</v>
      </c>
      <c r="I46" t="s">
        <v>131</v>
      </c>
      <c r="J46" t="s">
        <v>132</v>
      </c>
      <c r="K46" t="str">
        <f t="shared" si="0"/>
        <v>1002.11</v>
      </c>
      <c r="N46" t="str">
        <f t="shared" si="1"/>
        <v>HOLDING REGISTER</v>
      </c>
      <c r="O46" t="str">
        <f t="shared" si="2"/>
        <v>BOOL</v>
      </c>
      <c r="P46" t="str">
        <f t="shared" si="3"/>
        <v>INTERRUTTORE 10</v>
      </c>
      <c r="R46" t="str">
        <f t="shared" si="4"/>
        <v>QGBT1 -INTERRUTTORE QILL2 SEZIONE QIRG2-N SCATTATO</v>
      </c>
      <c r="U46" t="str">
        <f t="shared" si="5"/>
        <v>Allarme</v>
      </c>
      <c r="V46" t="str">
        <f t="shared" si="6"/>
        <v>QGBT1</v>
      </c>
      <c r="W46" t="str">
        <f t="shared" si="7"/>
        <v>CABINA PRINCIPALE</v>
      </c>
      <c r="Z46" t="str">
        <f t="shared" si="8"/>
        <v>10.220.80.16</v>
      </c>
    </row>
    <row r="47" spans="1:26" x14ac:dyDescent="0.25">
      <c r="A47" t="s">
        <v>10</v>
      </c>
      <c r="B47" t="s">
        <v>11</v>
      </c>
      <c r="C47" t="s">
        <v>89</v>
      </c>
      <c r="D47" t="s">
        <v>49</v>
      </c>
      <c r="E47">
        <v>20</v>
      </c>
      <c r="F47" t="s">
        <v>14</v>
      </c>
      <c r="G47" t="s">
        <v>21</v>
      </c>
      <c r="H47" t="s">
        <v>22</v>
      </c>
      <c r="I47" t="s">
        <v>133</v>
      </c>
      <c r="J47" t="s">
        <v>134</v>
      </c>
      <c r="K47" t="str">
        <f t="shared" si="0"/>
        <v>1002.12</v>
      </c>
      <c r="N47" t="str">
        <f t="shared" si="1"/>
        <v>HOLDING REGISTER</v>
      </c>
      <c r="O47" t="str">
        <f t="shared" si="2"/>
        <v>BOOL</v>
      </c>
      <c r="P47" t="str">
        <f t="shared" si="3"/>
        <v>INTERRUTTORE 20</v>
      </c>
      <c r="R47" t="str">
        <f t="shared" si="4"/>
        <v>QGBT1 -SEZIONATORE ALIMENTAZIONE DA G.E. CHIUSO</v>
      </c>
      <c r="U47" t="str">
        <f t="shared" si="5"/>
        <v>Stato</v>
      </c>
      <c r="V47" t="str">
        <f t="shared" si="6"/>
        <v>QGBT1</v>
      </c>
      <c r="W47" t="str">
        <f t="shared" si="7"/>
        <v>CABINA PRINCIPALE</v>
      </c>
      <c r="Z47" t="str">
        <f t="shared" si="8"/>
        <v>10.220.80.16</v>
      </c>
    </row>
    <row r="48" spans="1:26" x14ac:dyDescent="0.25">
      <c r="A48" t="s">
        <v>10</v>
      </c>
      <c r="B48" t="s">
        <v>11</v>
      </c>
      <c r="C48" t="s">
        <v>89</v>
      </c>
      <c r="D48" t="s">
        <v>49</v>
      </c>
      <c r="E48">
        <v>21</v>
      </c>
      <c r="F48" t="s">
        <v>14</v>
      </c>
      <c r="G48" t="s">
        <v>28</v>
      </c>
      <c r="H48" t="s">
        <v>22</v>
      </c>
      <c r="I48" t="s">
        <v>135</v>
      </c>
      <c r="J48" t="s">
        <v>136</v>
      </c>
      <c r="K48" t="str">
        <f t="shared" si="0"/>
        <v>1002.13</v>
      </c>
      <c r="N48" t="str">
        <f t="shared" si="1"/>
        <v>HOLDING REGISTER</v>
      </c>
      <c r="O48" t="str">
        <f t="shared" si="2"/>
        <v>BOOL</v>
      </c>
      <c r="P48" t="str">
        <f t="shared" si="3"/>
        <v>INTERRUTTORE 21</v>
      </c>
      <c r="R48" t="str">
        <f t="shared" si="4"/>
        <v>QGBT1 -SEZIONATORE ALIMENTAZIONE DA RETE CHIUSO</v>
      </c>
      <c r="U48" t="str">
        <f t="shared" si="5"/>
        <v>Allarme</v>
      </c>
      <c r="V48" t="str">
        <f t="shared" si="6"/>
        <v>QGBT1</v>
      </c>
      <c r="W48" t="str">
        <f t="shared" si="7"/>
        <v>CABINA PRINCIPALE</v>
      </c>
      <c r="Z48" t="str">
        <f t="shared" si="8"/>
        <v>10.220.80.16</v>
      </c>
    </row>
    <row r="49" spans="1:26" x14ac:dyDescent="0.25">
      <c r="A49" t="s">
        <v>10</v>
      </c>
      <c r="B49" t="s">
        <v>11</v>
      </c>
      <c r="C49" t="s">
        <v>89</v>
      </c>
      <c r="D49" t="s">
        <v>137</v>
      </c>
      <c r="E49" t="s">
        <v>138</v>
      </c>
      <c r="F49" t="s">
        <v>14</v>
      </c>
      <c r="G49" t="s">
        <v>21</v>
      </c>
      <c r="H49" t="s">
        <v>22</v>
      </c>
      <c r="I49" t="s">
        <v>139</v>
      </c>
      <c r="J49" t="s">
        <v>140</v>
      </c>
      <c r="K49" t="str">
        <f t="shared" si="0"/>
        <v>1002.14</v>
      </c>
      <c r="N49" t="str">
        <f t="shared" si="1"/>
        <v>HOLDING REGISTER</v>
      </c>
      <c r="O49" t="str">
        <f t="shared" si="2"/>
        <v>BOOL</v>
      </c>
      <c r="P49" t="str">
        <f t="shared" si="3"/>
        <v>CENTRALINA COMMUTAZIONE RETE/GE 10BA1</v>
      </c>
      <c r="R49" t="str">
        <f t="shared" si="4"/>
        <v>QGBT1 -CENTRALINA SCAMBIO RETE/G.E. IN AUTOMATICOMATICO</v>
      </c>
      <c r="U49" t="str">
        <f t="shared" si="5"/>
        <v>Stato</v>
      </c>
      <c r="V49" t="str">
        <f t="shared" si="6"/>
        <v>QGBT1</v>
      </c>
      <c r="W49" t="str">
        <f t="shared" si="7"/>
        <v>CABINA PRINCIPALE</v>
      </c>
      <c r="Z49" t="str">
        <f t="shared" si="8"/>
        <v>10.220.80.16</v>
      </c>
    </row>
    <row r="50" spans="1:26" x14ac:dyDescent="0.25">
      <c r="A50" t="s">
        <v>10</v>
      </c>
      <c r="B50" t="s">
        <v>11</v>
      </c>
      <c r="C50" t="s">
        <v>89</v>
      </c>
      <c r="D50" t="s">
        <v>49</v>
      </c>
      <c r="E50">
        <v>22</v>
      </c>
      <c r="F50" t="s">
        <v>14</v>
      </c>
      <c r="G50" t="s">
        <v>21</v>
      </c>
      <c r="H50" t="s">
        <v>22</v>
      </c>
      <c r="I50" t="s">
        <v>141</v>
      </c>
      <c r="J50" t="s">
        <v>142</v>
      </c>
      <c r="K50" t="str">
        <f t="shared" si="0"/>
        <v>1002.15</v>
      </c>
      <c r="N50" t="str">
        <f t="shared" si="1"/>
        <v>HOLDING REGISTER</v>
      </c>
      <c r="O50" t="str">
        <f t="shared" si="2"/>
        <v>BOOL</v>
      </c>
      <c r="P50" t="str">
        <f t="shared" si="3"/>
        <v>INTERRUTTORE 22</v>
      </c>
      <c r="R50" t="str">
        <f t="shared" si="4"/>
        <v>QGBT1 -INTERRUTTORE RIFASAMENTO AUTOMATICOMATICO CHIUSO</v>
      </c>
      <c r="U50" t="str">
        <f t="shared" si="5"/>
        <v>Stato</v>
      </c>
      <c r="V50" t="str">
        <f t="shared" si="6"/>
        <v>QGBT1</v>
      </c>
      <c r="W50" t="str">
        <f t="shared" si="7"/>
        <v>CABINA PRINCIPALE</v>
      </c>
      <c r="Z50" t="str">
        <f t="shared" si="8"/>
        <v>10.220.80.16</v>
      </c>
    </row>
    <row r="51" spans="1:26" x14ac:dyDescent="0.25">
      <c r="A51" t="s">
        <v>10</v>
      </c>
      <c r="B51" t="s">
        <v>11</v>
      </c>
      <c r="C51" t="s">
        <v>89</v>
      </c>
      <c r="D51" t="s">
        <v>49</v>
      </c>
      <c r="E51">
        <v>22</v>
      </c>
      <c r="F51" t="s">
        <v>14</v>
      </c>
      <c r="G51" t="s">
        <v>28</v>
      </c>
      <c r="H51" t="s">
        <v>22</v>
      </c>
      <c r="I51" t="s">
        <v>143</v>
      </c>
      <c r="J51" t="s">
        <v>144</v>
      </c>
      <c r="K51" t="str">
        <f t="shared" si="0"/>
        <v>1003.0</v>
      </c>
      <c r="N51" t="str">
        <f t="shared" si="1"/>
        <v>HOLDING REGISTER</v>
      </c>
      <c r="O51" t="str">
        <f t="shared" si="2"/>
        <v>BOOL</v>
      </c>
      <c r="P51" t="str">
        <f t="shared" si="3"/>
        <v>INTERRUTTORE 22</v>
      </c>
      <c r="R51" t="str">
        <f t="shared" si="4"/>
        <v>QGBT1 -INTERRUTTORE RIFASAMENTO AUTOMATICOMATICO SCATTATO</v>
      </c>
      <c r="U51" t="str">
        <f t="shared" si="5"/>
        <v>Allarme</v>
      </c>
      <c r="V51" t="str">
        <f t="shared" si="6"/>
        <v>QGBT1</v>
      </c>
      <c r="W51" t="str">
        <f t="shared" si="7"/>
        <v>CABINA PRINCIPALE</v>
      </c>
      <c r="Z51" t="str">
        <f t="shared" si="8"/>
        <v>10.220.80.16</v>
      </c>
    </row>
    <row r="52" spans="1:26" x14ac:dyDescent="0.25">
      <c r="A52" t="s">
        <v>10</v>
      </c>
      <c r="B52" t="s">
        <v>11</v>
      </c>
      <c r="C52" t="s">
        <v>89</v>
      </c>
      <c r="D52" t="s">
        <v>49</v>
      </c>
      <c r="E52">
        <v>23</v>
      </c>
      <c r="F52" t="s">
        <v>14</v>
      </c>
      <c r="G52" t="s">
        <v>21</v>
      </c>
      <c r="H52" t="s">
        <v>22</v>
      </c>
      <c r="I52" t="s">
        <v>145</v>
      </c>
      <c r="J52" t="s">
        <v>146</v>
      </c>
      <c r="K52" t="str">
        <f t="shared" si="0"/>
        <v>1003.1</v>
      </c>
      <c r="N52" t="str">
        <f t="shared" si="1"/>
        <v>HOLDING REGISTER</v>
      </c>
      <c r="O52" t="str">
        <f t="shared" si="2"/>
        <v>BOOL</v>
      </c>
      <c r="P52" t="str">
        <f t="shared" si="3"/>
        <v>INTERRUTTORE 23</v>
      </c>
      <c r="R52" t="str">
        <f t="shared" si="4"/>
        <v>QGBT1 -INTERRUTTORE QGBT2 CASOLA CHIUSO</v>
      </c>
      <c r="U52" t="str">
        <f t="shared" si="5"/>
        <v>Stato</v>
      </c>
      <c r="V52" t="str">
        <f t="shared" si="6"/>
        <v>QGBT1</v>
      </c>
      <c r="W52" t="str">
        <f t="shared" si="7"/>
        <v>CABINA PRINCIPALE</v>
      </c>
      <c r="Z52" t="str">
        <f t="shared" si="8"/>
        <v>10.220.80.16</v>
      </c>
    </row>
    <row r="53" spans="1:26" x14ac:dyDescent="0.25">
      <c r="A53" t="s">
        <v>10</v>
      </c>
      <c r="B53" t="s">
        <v>11</v>
      </c>
      <c r="C53" t="s">
        <v>89</v>
      </c>
      <c r="D53" t="s">
        <v>49</v>
      </c>
      <c r="E53">
        <v>23</v>
      </c>
      <c r="F53" t="s">
        <v>14</v>
      </c>
      <c r="G53" t="s">
        <v>28</v>
      </c>
      <c r="H53" t="s">
        <v>22</v>
      </c>
      <c r="I53" t="s">
        <v>147</v>
      </c>
      <c r="J53" t="s">
        <v>148</v>
      </c>
      <c r="K53" t="str">
        <f t="shared" si="0"/>
        <v>1003.2</v>
      </c>
      <c r="N53" t="str">
        <f t="shared" si="1"/>
        <v>HOLDING REGISTER</v>
      </c>
      <c r="O53" t="str">
        <f t="shared" si="2"/>
        <v>BOOL</v>
      </c>
      <c r="P53" t="str">
        <f t="shared" si="3"/>
        <v>INTERRUTTORE 23</v>
      </c>
      <c r="R53" t="str">
        <f t="shared" si="4"/>
        <v>QGBT1 -INTERRUTTORE QGBT2 CASOLA SCATTATO</v>
      </c>
      <c r="U53" t="str">
        <f t="shared" si="5"/>
        <v>Allarme</v>
      </c>
      <c r="V53" t="str">
        <f t="shared" si="6"/>
        <v>QGBT1</v>
      </c>
      <c r="W53" t="str">
        <f t="shared" si="7"/>
        <v>CABINA PRINCIPALE</v>
      </c>
      <c r="Z53" t="str">
        <f t="shared" si="8"/>
        <v>10.220.80.16</v>
      </c>
    </row>
    <row r="54" spans="1:26" x14ac:dyDescent="0.25">
      <c r="A54" t="s">
        <v>10</v>
      </c>
      <c r="B54" t="s">
        <v>11</v>
      </c>
      <c r="C54" t="s">
        <v>89</v>
      </c>
      <c r="D54" t="s">
        <v>49</v>
      </c>
      <c r="E54">
        <v>24</v>
      </c>
      <c r="F54" t="s">
        <v>14</v>
      </c>
      <c r="G54" t="s">
        <v>21</v>
      </c>
      <c r="H54" t="s">
        <v>22</v>
      </c>
      <c r="I54" t="s">
        <v>149</v>
      </c>
      <c r="J54" t="s">
        <v>150</v>
      </c>
      <c r="K54" t="str">
        <f t="shared" si="0"/>
        <v>1003.3</v>
      </c>
      <c r="N54" t="str">
        <f t="shared" si="1"/>
        <v>HOLDING REGISTER</v>
      </c>
      <c r="O54" t="str">
        <f t="shared" si="2"/>
        <v>BOOL</v>
      </c>
      <c r="P54" t="str">
        <f t="shared" si="3"/>
        <v>INTERRUTTORE 24</v>
      </c>
      <c r="R54" t="str">
        <f t="shared" si="4"/>
        <v>QGBT1 -INTERRUTTORE GENERALE TRAFO 1 690Vac CHIUSO</v>
      </c>
      <c r="U54" t="str">
        <f t="shared" si="5"/>
        <v>Stato</v>
      </c>
      <c r="V54" t="str">
        <f t="shared" si="6"/>
        <v>QGBT1</v>
      </c>
      <c r="W54" t="str">
        <f t="shared" si="7"/>
        <v>CABINA PRINCIPALE</v>
      </c>
      <c r="Z54" t="str">
        <f t="shared" si="8"/>
        <v>10.220.80.16</v>
      </c>
    </row>
    <row r="55" spans="1:26" x14ac:dyDescent="0.25">
      <c r="A55" t="s">
        <v>10</v>
      </c>
      <c r="B55" t="s">
        <v>11</v>
      </c>
      <c r="C55" t="s">
        <v>89</v>
      </c>
      <c r="D55" t="s">
        <v>49</v>
      </c>
      <c r="E55">
        <v>24</v>
      </c>
      <c r="F55" t="s">
        <v>14</v>
      </c>
      <c r="G55" t="s">
        <v>28</v>
      </c>
      <c r="H55" t="s">
        <v>22</v>
      </c>
      <c r="I55" t="s">
        <v>151</v>
      </c>
      <c r="J55" t="s">
        <v>152</v>
      </c>
      <c r="K55" t="str">
        <f t="shared" si="0"/>
        <v>1003.4</v>
      </c>
      <c r="N55" t="str">
        <f t="shared" si="1"/>
        <v>HOLDING REGISTER</v>
      </c>
      <c r="O55" t="str">
        <f t="shared" si="2"/>
        <v>BOOL</v>
      </c>
      <c r="P55" t="str">
        <f t="shared" si="3"/>
        <v>INTERRUTTORE 24</v>
      </c>
      <c r="R55" t="str">
        <f t="shared" si="4"/>
        <v>QGBT1 -INTERRUTTORE GENERALE TRAFO 1 690Vac SCATTATO</v>
      </c>
      <c r="U55" t="str">
        <f t="shared" si="5"/>
        <v>Allarme</v>
      </c>
      <c r="V55" t="str">
        <f t="shared" si="6"/>
        <v>QGBT1</v>
      </c>
      <c r="W55" t="str">
        <f t="shared" si="7"/>
        <v>CABINA PRINCIPALE</v>
      </c>
      <c r="Z55" t="str">
        <f t="shared" si="8"/>
        <v>10.220.80.16</v>
      </c>
    </row>
    <row r="56" spans="1:26" x14ac:dyDescent="0.25">
      <c r="A56" t="s">
        <v>10</v>
      </c>
      <c r="B56" t="s">
        <v>11</v>
      </c>
      <c r="C56" t="s">
        <v>89</v>
      </c>
      <c r="D56" t="s">
        <v>49</v>
      </c>
      <c r="E56">
        <v>25</v>
      </c>
      <c r="F56" t="s">
        <v>14</v>
      </c>
      <c r="G56" t="s">
        <v>21</v>
      </c>
      <c r="H56" t="s">
        <v>22</v>
      </c>
      <c r="I56" t="s">
        <v>153</v>
      </c>
      <c r="J56" t="s">
        <v>154</v>
      </c>
      <c r="K56" t="str">
        <f t="shared" si="0"/>
        <v>1003.5</v>
      </c>
      <c r="N56" t="str">
        <f t="shared" si="1"/>
        <v>HOLDING REGISTER</v>
      </c>
      <c r="O56" t="str">
        <f t="shared" si="2"/>
        <v>BOOL</v>
      </c>
      <c r="P56" t="str">
        <f t="shared" si="3"/>
        <v>INTERRUTTORE 25</v>
      </c>
      <c r="R56" t="str">
        <f t="shared" si="4"/>
        <v>QGBT1 -INTERRUTTORE GENERALE TRAFO 2 690Vac CHIUSO</v>
      </c>
      <c r="U56" t="str">
        <f t="shared" si="5"/>
        <v>Stato</v>
      </c>
      <c r="V56" t="str">
        <f t="shared" si="6"/>
        <v>QGBT1</v>
      </c>
      <c r="W56" t="str">
        <f t="shared" si="7"/>
        <v>CABINA PRINCIPALE</v>
      </c>
      <c r="Z56" t="str">
        <f t="shared" si="8"/>
        <v>10.220.80.16</v>
      </c>
    </row>
    <row r="57" spans="1:26" x14ac:dyDescent="0.25">
      <c r="A57" t="s">
        <v>10</v>
      </c>
      <c r="B57" t="s">
        <v>11</v>
      </c>
      <c r="C57" t="s">
        <v>89</v>
      </c>
      <c r="D57" t="s">
        <v>49</v>
      </c>
      <c r="E57">
        <v>25</v>
      </c>
      <c r="F57" t="s">
        <v>14</v>
      </c>
      <c r="G57" t="s">
        <v>28</v>
      </c>
      <c r="H57" t="s">
        <v>22</v>
      </c>
      <c r="I57" t="s">
        <v>155</v>
      </c>
      <c r="J57" t="s">
        <v>156</v>
      </c>
      <c r="K57" t="str">
        <f t="shared" si="0"/>
        <v>1003.6</v>
      </c>
      <c r="N57" t="str">
        <f t="shared" si="1"/>
        <v>HOLDING REGISTER</v>
      </c>
      <c r="O57" t="str">
        <f t="shared" si="2"/>
        <v>BOOL</v>
      </c>
      <c r="P57" t="str">
        <f t="shared" si="3"/>
        <v>INTERRUTTORE 25</v>
      </c>
      <c r="R57" t="str">
        <f t="shared" si="4"/>
        <v>QGBT1 -INTERRUTTORE GENERALE TRAFO 2 690Vac SCATTATO</v>
      </c>
      <c r="U57" t="str">
        <f t="shared" si="5"/>
        <v>Allarme</v>
      </c>
      <c r="V57" t="str">
        <f t="shared" si="6"/>
        <v>QGBT1</v>
      </c>
      <c r="W57" t="str">
        <f t="shared" si="7"/>
        <v>CABINA PRINCIPALE</v>
      </c>
      <c r="Z57" t="str">
        <f t="shared" si="8"/>
        <v>10.220.80.16</v>
      </c>
    </row>
    <row r="58" spans="1:26" x14ac:dyDescent="0.25">
      <c r="A58" t="s">
        <v>10</v>
      </c>
      <c r="B58" t="s">
        <v>11</v>
      </c>
      <c r="C58" t="s">
        <v>89</v>
      </c>
      <c r="D58" t="s">
        <v>49</v>
      </c>
      <c r="E58">
        <v>27</v>
      </c>
      <c r="F58" t="s">
        <v>14</v>
      </c>
      <c r="G58" t="s">
        <v>21</v>
      </c>
      <c r="H58" t="s">
        <v>22</v>
      </c>
      <c r="I58" t="s">
        <v>157</v>
      </c>
      <c r="J58" t="s">
        <v>158</v>
      </c>
      <c r="K58" t="str">
        <f t="shared" si="0"/>
        <v>1003.7</v>
      </c>
      <c r="N58" t="str">
        <f t="shared" si="1"/>
        <v>HOLDING REGISTER</v>
      </c>
      <c r="O58" t="str">
        <f t="shared" si="2"/>
        <v>BOOL</v>
      </c>
      <c r="P58" t="str">
        <f t="shared" si="3"/>
        <v>INTERRUTTORE 27</v>
      </c>
      <c r="R58" t="str">
        <f t="shared" si="4"/>
        <v>QGBT1 -INTERRUTTORE QSC SEZIONE PRIVILEGIATA CHIUSO</v>
      </c>
      <c r="U58" t="str">
        <f t="shared" si="5"/>
        <v>Stato</v>
      </c>
      <c r="V58" t="str">
        <f t="shared" si="6"/>
        <v>QGBT1</v>
      </c>
      <c r="W58" t="str">
        <f t="shared" si="7"/>
        <v>CABINA PRINCIPALE</v>
      </c>
      <c r="Z58" t="str">
        <f t="shared" si="8"/>
        <v>10.220.80.16</v>
      </c>
    </row>
    <row r="59" spans="1:26" x14ac:dyDescent="0.25">
      <c r="A59" t="s">
        <v>10</v>
      </c>
      <c r="B59" t="s">
        <v>11</v>
      </c>
      <c r="C59" t="s">
        <v>89</v>
      </c>
      <c r="D59" t="s">
        <v>49</v>
      </c>
      <c r="E59">
        <v>27</v>
      </c>
      <c r="F59" t="s">
        <v>14</v>
      </c>
      <c r="G59" t="s">
        <v>28</v>
      </c>
      <c r="H59" t="s">
        <v>22</v>
      </c>
      <c r="I59" t="s">
        <v>159</v>
      </c>
      <c r="J59" t="s">
        <v>160</v>
      </c>
      <c r="K59" t="str">
        <f t="shared" si="0"/>
        <v>1003.8</v>
      </c>
      <c r="N59" t="str">
        <f t="shared" si="1"/>
        <v>HOLDING REGISTER</v>
      </c>
      <c r="O59" t="str">
        <f t="shared" si="2"/>
        <v>BOOL</v>
      </c>
      <c r="P59" t="str">
        <f t="shared" si="3"/>
        <v>INTERRUTTORE 27</v>
      </c>
      <c r="R59" t="str">
        <f t="shared" si="4"/>
        <v>QGBT1 -INTERRUTTORE QSC SEZIONE PRIVILEGIATA SCATTATO</v>
      </c>
      <c r="U59" t="str">
        <f t="shared" si="5"/>
        <v>Allarme</v>
      </c>
      <c r="V59" t="str">
        <f t="shared" si="6"/>
        <v>QGBT1</v>
      </c>
      <c r="W59" t="str">
        <f t="shared" si="7"/>
        <v>CABINA PRINCIPALE</v>
      </c>
      <c r="Z59" t="str">
        <f t="shared" si="8"/>
        <v>10.220.80.16</v>
      </c>
    </row>
    <row r="60" spans="1:26" x14ac:dyDescent="0.25">
      <c r="A60" t="s">
        <v>10</v>
      </c>
      <c r="B60" t="s">
        <v>11</v>
      </c>
      <c r="C60" t="s">
        <v>89</v>
      </c>
      <c r="D60" t="s">
        <v>49</v>
      </c>
      <c r="E60">
        <v>28</v>
      </c>
      <c r="F60" t="s">
        <v>14</v>
      </c>
      <c r="G60" t="s">
        <v>21</v>
      </c>
      <c r="H60" t="s">
        <v>22</v>
      </c>
      <c r="I60" t="s">
        <v>161</v>
      </c>
      <c r="J60" t="s">
        <v>162</v>
      </c>
      <c r="K60" t="str">
        <f t="shared" si="0"/>
        <v>1003.9</v>
      </c>
      <c r="N60" t="str">
        <f t="shared" si="1"/>
        <v>HOLDING REGISTER</v>
      </c>
      <c r="O60" t="str">
        <f t="shared" si="2"/>
        <v>BOOL</v>
      </c>
      <c r="P60" t="str">
        <f t="shared" si="3"/>
        <v>INTERRUTTORE 28</v>
      </c>
      <c r="R60" t="str">
        <f t="shared" si="4"/>
        <v>QGBT1 -INTERRUTTORE Q_VES SEZIONE PRIVILEGIATA CHIUSO</v>
      </c>
      <c r="U60" t="str">
        <f t="shared" si="5"/>
        <v>Stato</v>
      </c>
      <c r="V60" t="str">
        <f t="shared" si="6"/>
        <v>QGBT1</v>
      </c>
      <c r="W60" t="str">
        <f t="shared" si="7"/>
        <v>CABINA PRINCIPALE</v>
      </c>
      <c r="Z60" t="str">
        <f t="shared" si="8"/>
        <v>10.220.80.16</v>
      </c>
    </row>
    <row r="61" spans="1:26" x14ac:dyDescent="0.25">
      <c r="A61" t="s">
        <v>10</v>
      </c>
      <c r="B61" t="s">
        <v>11</v>
      </c>
      <c r="C61" t="s">
        <v>89</v>
      </c>
      <c r="D61" t="s">
        <v>49</v>
      </c>
      <c r="E61">
        <v>28</v>
      </c>
      <c r="F61" t="s">
        <v>14</v>
      </c>
      <c r="G61" t="s">
        <v>28</v>
      </c>
      <c r="H61" t="s">
        <v>22</v>
      </c>
      <c r="I61" t="s">
        <v>163</v>
      </c>
      <c r="J61" t="s">
        <v>164</v>
      </c>
      <c r="K61" t="str">
        <f t="shared" si="0"/>
        <v>1003.10</v>
      </c>
      <c r="N61" t="str">
        <f t="shared" si="1"/>
        <v>HOLDING REGISTER</v>
      </c>
      <c r="O61" t="str">
        <f t="shared" si="2"/>
        <v>BOOL</v>
      </c>
      <c r="P61" t="str">
        <f t="shared" si="3"/>
        <v>INTERRUTTORE 28</v>
      </c>
      <c r="R61" t="str">
        <f t="shared" si="4"/>
        <v>QGBT1 -INTERRUTTORE Q_VES SEZIONE PRIVILEGIATA SCATTATO</v>
      </c>
      <c r="U61" t="str">
        <f t="shared" si="5"/>
        <v>Allarme</v>
      </c>
      <c r="V61" t="str">
        <f t="shared" si="6"/>
        <v>QGBT1</v>
      </c>
      <c r="W61" t="str">
        <f t="shared" si="7"/>
        <v>CABINA PRINCIPALE</v>
      </c>
      <c r="Z61" t="str">
        <f t="shared" si="8"/>
        <v>10.220.80.16</v>
      </c>
    </row>
    <row r="62" spans="1:26" x14ac:dyDescent="0.25">
      <c r="A62" t="s">
        <v>10</v>
      </c>
      <c r="B62" t="s">
        <v>11</v>
      </c>
      <c r="C62" t="s">
        <v>89</v>
      </c>
      <c r="D62" t="s">
        <v>49</v>
      </c>
      <c r="E62">
        <v>29</v>
      </c>
      <c r="F62" t="s">
        <v>14</v>
      </c>
      <c r="G62" t="s">
        <v>21</v>
      </c>
      <c r="H62" t="s">
        <v>22</v>
      </c>
      <c r="I62" t="s">
        <v>165</v>
      </c>
      <c r="J62" t="s">
        <v>166</v>
      </c>
      <c r="K62" t="str">
        <f t="shared" si="0"/>
        <v>1003.11</v>
      </c>
      <c r="N62" t="str">
        <f t="shared" si="1"/>
        <v>HOLDING REGISTER</v>
      </c>
      <c r="O62" t="str">
        <f t="shared" si="2"/>
        <v>BOOL</v>
      </c>
      <c r="P62" t="str">
        <f t="shared" si="3"/>
        <v>INTERRUTTORE 29</v>
      </c>
      <c r="R62" t="str">
        <f t="shared" si="4"/>
        <v>QGBT1 -INTERRUTTORE Q_PIAZZOLA SEZIONE PRIVILEGIATA CHIUSO</v>
      </c>
      <c r="U62" t="str">
        <f t="shared" si="5"/>
        <v>Stato</v>
      </c>
      <c r="V62" t="str">
        <f t="shared" si="6"/>
        <v>QGBT1</v>
      </c>
      <c r="W62" t="str">
        <f t="shared" si="7"/>
        <v>CABINA PRINCIPALE</v>
      </c>
      <c r="Z62" t="str">
        <f t="shared" si="8"/>
        <v>10.220.80.16</v>
      </c>
    </row>
    <row r="63" spans="1:26" x14ac:dyDescent="0.25">
      <c r="A63" t="s">
        <v>10</v>
      </c>
      <c r="B63" t="s">
        <v>11</v>
      </c>
      <c r="C63" t="s">
        <v>89</v>
      </c>
      <c r="D63" t="s">
        <v>49</v>
      </c>
      <c r="E63">
        <v>29</v>
      </c>
      <c r="F63" t="s">
        <v>14</v>
      </c>
      <c r="G63" t="s">
        <v>28</v>
      </c>
      <c r="H63" t="s">
        <v>22</v>
      </c>
      <c r="I63" t="s">
        <v>167</v>
      </c>
      <c r="J63" t="s">
        <v>168</v>
      </c>
      <c r="K63" t="str">
        <f t="shared" si="0"/>
        <v>1003.12</v>
      </c>
      <c r="N63" t="str">
        <f t="shared" si="1"/>
        <v>HOLDING REGISTER</v>
      </c>
      <c r="O63" t="str">
        <f t="shared" si="2"/>
        <v>BOOL</v>
      </c>
      <c r="P63" t="str">
        <f t="shared" si="3"/>
        <v>INTERRUTTORE 29</v>
      </c>
      <c r="R63" t="str">
        <f t="shared" si="4"/>
        <v>QGBT1 -INTERRUTTORE Q_PIAZZOLA SEZIONE PRIVILEGIATA SCATTATO</v>
      </c>
      <c r="U63" t="str">
        <f t="shared" si="5"/>
        <v>Allarme</v>
      </c>
      <c r="V63" t="str">
        <f t="shared" si="6"/>
        <v>QGBT1</v>
      </c>
      <c r="W63" t="str">
        <f t="shared" si="7"/>
        <v>CABINA PRINCIPALE</v>
      </c>
      <c r="Z63" t="str">
        <f t="shared" si="8"/>
        <v>10.220.80.16</v>
      </c>
    </row>
    <row r="64" spans="1:26" x14ac:dyDescent="0.25">
      <c r="A64" t="s">
        <v>10</v>
      </c>
      <c r="B64" t="s">
        <v>11</v>
      </c>
      <c r="C64" t="s">
        <v>89</v>
      </c>
      <c r="D64" t="s">
        <v>49</v>
      </c>
      <c r="E64">
        <v>32</v>
      </c>
      <c r="F64" t="s">
        <v>14</v>
      </c>
      <c r="G64" t="s">
        <v>21</v>
      </c>
      <c r="H64" t="s">
        <v>22</v>
      </c>
      <c r="I64" t="s">
        <v>169</v>
      </c>
      <c r="J64" t="s">
        <v>170</v>
      </c>
      <c r="K64" t="str">
        <f t="shared" si="0"/>
        <v>1003.13</v>
      </c>
      <c r="N64" t="str">
        <f t="shared" si="1"/>
        <v>HOLDING REGISTER</v>
      </c>
      <c r="O64" t="str">
        <f t="shared" si="2"/>
        <v>BOOL</v>
      </c>
      <c r="P64" t="str">
        <f t="shared" si="3"/>
        <v>INTERRUTTORE 32</v>
      </c>
      <c r="R64" t="str">
        <f t="shared" si="4"/>
        <v>QGBT1 -INTERRUTTORE Q_ACCESSI1 SEZIONE PRIVILEGIATA CHIUSO</v>
      </c>
      <c r="U64" t="str">
        <f t="shared" si="5"/>
        <v>Stato</v>
      </c>
      <c r="V64" t="str">
        <f t="shared" si="6"/>
        <v>QGBT1</v>
      </c>
      <c r="W64" t="str">
        <f t="shared" si="7"/>
        <v>CABINA PRINCIPALE</v>
      </c>
      <c r="Z64" t="str">
        <f t="shared" si="8"/>
        <v>10.220.80.16</v>
      </c>
    </row>
    <row r="65" spans="1:26" x14ac:dyDescent="0.25">
      <c r="A65" t="s">
        <v>10</v>
      </c>
      <c r="B65" t="s">
        <v>11</v>
      </c>
      <c r="C65" t="s">
        <v>89</v>
      </c>
      <c r="D65" t="s">
        <v>49</v>
      </c>
      <c r="E65">
        <v>32</v>
      </c>
      <c r="F65" t="s">
        <v>14</v>
      </c>
      <c r="G65" t="s">
        <v>28</v>
      </c>
      <c r="H65" t="s">
        <v>22</v>
      </c>
      <c r="I65" t="s">
        <v>171</v>
      </c>
      <c r="J65" t="s">
        <v>172</v>
      </c>
      <c r="K65" t="str">
        <f t="shared" si="0"/>
        <v>1003.14</v>
      </c>
      <c r="N65" t="str">
        <f t="shared" si="1"/>
        <v>HOLDING REGISTER</v>
      </c>
      <c r="O65" t="str">
        <f t="shared" si="2"/>
        <v>BOOL</v>
      </c>
      <c r="P65" t="str">
        <f t="shared" si="3"/>
        <v>INTERRUTTORE 32</v>
      </c>
      <c r="R65" t="str">
        <f t="shared" si="4"/>
        <v>QGBT1 -INTERRUTTORE Q_ACCESSI1 SEZIONE PRIVILEGIATA SCATTATO</v>
      </c>
      <c r="U65" t="str">
        <f t="shared" si="5"/>
        <v>Allarme</v>
      </c>
      <c r="V65" t="str">
        <f t="shared" si="6"/>
        <v>QGBT1</v>
      </c>
      <c r="W65" t="str">
        <f t="shared" si="7"/>
        <v>CABINA PRINCIPALE</v>
      </c>
      <c r="Z65" t="str">
        <f t="shared" si="8"/>
        <v>10.220.80.16</v>
      </c>
    </row>
    <row r="66" spans="1:26" x14ac:dyDescent="0.25">
      <c r="A66" t="s">
        <v>10</v>
      </c>
      <c r="B66" t="s">
        <v>11</v>
      </c>
      <c r="C66" t="s">
        <v>89</v>
      </c>
      <c r="D66" t="s">
        <v>49</v>
      </c>
      <c r="E66">
        <v>33</v>
      </c>
      <c r="F66" t="s">
        <v>14</v>
      </c>
      <c r="G66" t="s">
        <v>21</v>
      </c>
      <c r="H66" t="s">
        <v>22</v>
      </c>
      <c r="I66" t="s">
        <v>173</v>
      </c>
      <c r="J66" t="s">
        <v>174</v>
      </c>
      <c r="K66" t="str">
        <f t="shared" si="0"/>
        <v>1003.15</v>
      </c>
      <c r="N66" t="str">
        <f t="shared" si="1"/>
        <v>HOLDING REGISTER</v>
      </c>
      <c r="O66" t="str">
        <f t="shared" si="2"/>
        <v>BOOL</v>
      </c>
      <c r="P66" t="str">
        <f t="shared" si="3"/>
        <v>INTERRUTTORE 33</v>
      </c>
      <c r="R66" t="str">
        <f t="shared" si="4"/>
        <v>QGBT1 -INTERRUTTORE Q_ACCESSI2 SEZIONE PRIVILEGIATA CHIUSO</v>
      </c>
      <c r="U66" t="str">
        <f t="shared" si="5"/>
        <v>Stato</v>
      </c>
      <c r="V66" t="str">
        <f t="shared" si="6"/>
        <v>QGBT1</v>
      </c>
      <c r="W66" t="str">
        <f t="shared" si="7"/>
        <v>CABINA PRINCIPALE</v>
      </c>
      <c r="Z66" t="str">
        <f t="shared" si="8"/>
        <v>10.220.80.16</v>
      </c>
    </row>
    <row r="67" spans="1:26" x14ac:dyDescent="0.25">
      <c r="A67" t="s">
        <v>10</v>
      </c>
      <c r="B67" t="s">
        <v>11</v>
      </c>
      <c r="C67" t="s">
        <v>89</v>
      </c>
      <c r="D67" t="s">
        <v>49</v>
      </c>
      <c r="E67">
        <v>33</v>
      </c>
      <c r="F67" t="s">
        <v>14</v>
      </c>
      <c r="G67" t="s">
        <v>28</v>
      </c>
      <c r="H67" t="s">
        <v>22</v>
      </c>
      <c r="I67" t="s">
        <v>175</v>
      </c>
      <c r="J67" t="s">
        <v>176</v>
      </c>
      <c r="K67" t="str">
        <f t="shared" ref="K67:K130" si="9">IF(I67="","",I67)</f>
        <v>1004.0</v>
      </c>
      <c r="N67" t="str">
        <f t="shared" ref="N67:N130" si="10">IF(F67="","",F67)</f>
        <v>HOLDING REGISTER</v>
      </c>
      <c r="O67" t="str">
        <f t="shared" ref="O67:O130" si="11">IF(H67="","",H67)</f>
        <v>BOOL</v>
      </c>
      <c r="P67" t="str">
        <f t="shared" ref="P67:P130" si="12">_xlfn.CONCAT(D67," ",E67)</f>
        <v>INTERRUTTORE 33</v>
      </c>
      <c r="R67" t="str">
        <f t="shared" ref="R67:R130" si="13">IF(J67="","",J67)</f>
        <v>QGBT1 -INTERRUTTORE Q_ACCESSI2 SEZIONE PRIVILEGIATA SCATTATO</v>
      </c>
      <c r="U67" t="str">
        <f t="shared" ref="U67:U130" si="14">IF(G67="","",G67)</f>
        <v>Allarme</v>
      </c>
      <c r="V67" t="str">
        <f t="shared" ref="V67:V130" si="15">IF(C67="","",C67)</f>
        <v>QGBT1</v>
      </c>
      <c r="W67" t="str">
        <f t="shared" ref="W67:W130" si="16">IF(B67="","",B67)</f>
        <v>CABINA PRINCIPALE</v>
      </c>
      <c r="Z67" t="str">
        <f t="shared" ref="Z67:Z130" si="17">IF(A67="","",A67)</f>
        <v>10.220.80.16</v>
      </c>
    </row>
    <row r="68" spans="1:26" x14ac:dyDescent="0.25">
      <c r="A68" t="s">
        <v>10</v>
      </c>
      <c r="B68" t="s">
        <v>11</v>
      </c>
      <c r="C68" t="s">
        <v>89</v>
      </c>
      <c r="D68" t="s">
        <v>49</v>
      </c>
      <c r="E68">
        <v>34</v>
      </c>
      <c r="F68" t="s">
        <v>14</v>
      </c>
      <c r="G68" t="s">
        <v>21</v>
      </c>
      <c r="H68" t="s">
        <v>22</v>
      </c>
      <c r="I68" t="s">
        <v>177</v>
      </c>
      <c r="J68" t="s">
        <v>178</v>
      </c>
      <c r="K68" t="str">
        <f t="shared" si="9"/>
        <v>1004.1</v>
      </c>
      <c r="N68" t="str">
        <f t="shared" si="10"/>
        <v>HOLDING REGISTER</v>
      </c>
      <c r="O68" t="str">
        <f t="shared" si="11"/>
        <v>BOOL</v>
      </c>
      <c r="P68" t="str">
        <f t="shared" si="12"/>
        <v>INTERRUTTORE 34</v>
      </c>
      <c r="R68" t="str">
        <f t="shared" si="13"/>
        <v>QGBT1 -INTERRUTTORE Q_ACCESSI3 SEZIONE PRIVILEGIATA CHIUSO</v>
      </c>
      <c r="U68" t="str">
        <f t="shared" si="14"/>
        <v>Stato</v>
      </c>
      <c r="V68" t="str">
        <f t="shared" si="15"/>
        <v>QGBT1</v>
      </c>
      <c r="W68" t="str">
        <f t="shared" si="16"/>
        <v>CABINA PRINCIPALE</v>
      </c>
      <c r="Z68" t="str">
        <f t="shared" si="17"/>
        <v>10.220.80.16</v>
      </c>
    </row>
    <row r="69" spans="1:26" x14ac:dyDescent="0.25">
      <c r="A69" t="s">
        <v>10</v>
      </c>
      <c r="B69" t="s">
        <v>11</v>
      </c>
      <c r="C69" t="s">
        <v>89</v>
      </c>
      <c r="D69" t="s">
        <v>49</v>
      </c>
      <c r="E69">
        <v>34</v>
      </c>
      <c r="F69" t="s">
        <v>14</v>
      </c>
      <c r="G69" t="s">
        <v>28</v>
      </c>
      <c r="H69" t="s">
        <v>22</v>
      </c>
      <c r="I69" t="s">
        <v>179</v>
      </c>
      <c r="J69" t="s">
        <v>180</v>
      </c>
      <c r="K69" t="str">
        <f t="shared" si="9"/>
        <v>1004.2</v>
      </c>
      <c r="N69" t="str">
        <f t="shared" si="10"/>
        <v>HOLDING REGISTER</v>
      </c>
      <c r="O69" t="str">
        <f t="shared" si="11"/>
        <v>BOOL</v>
      </c>
      <c r="P69" t="str">
        <f t="shared" si="12"/>
        <v>INTERRUTTORE 34</v>
      </c>
      <c r="R69" t="str">
        <f t="shared" si="13"/>
        <v>QGBT1 -INTERRUTTORE Q_ACCESSI3 SEZIONE PRIVILEGIATA SCATTATO</v>
      </c>
      <c r="U69" t="str">
        <f t="shared" si="14"/>
        <v>Allarme</v>
      </c>
      <c r="V69" t="str">
        <f t="shared" si="15"/>
        <v>QGBT1</v>
      </c>
      <c r="W69" t="str">
        <f t="shared" si="16"/>
        <v>CABINA PRINCIPALE</v>
      </c>
      <c r="Z69" t="str">
        <f t="shared" si="17"/>
        <v>10.220.80.16</v>
      </c>
    </row>
    <row r="70" spans="1:26" x14ac:dyDescent="0.25">
      <c r="A70" t="s">
        <v>10</v>
      </c>
      <c r="B70" t="s">
        <v>11</v>
      </c>
      <c r="C70" t="s">
        <v>89</v>
      </c>
      <c r="D70" t="s">
        <v>49</v>
      </c>
      <c r="E70">
        <v>36</v>
      </c>
      <c r="F70" t="s">
        <v>14</v>
      </c>
      <c r="G70" t="s">
        <v>21</v>
      </c>
      <c r="H70" t="s">
        <v>22</v>
      </c>
      <c r="I70" t="s">
        <v>181</v>
      </c>
      <c r="J70" t="s">
        <v>182</v>
      </c>
      <c r="K70" t="str">
        <f t="shared" si="9"/>
        <v>1004.3</v>
      </c>
      <c r="N70" t="str">
        <f t="shared" si="10"/>
        <v>HOLDING REGISTER</v>
      </c>
      <c r="O70" t="str">
        <f t="shared" si="11"/>
        <v>BOOL</v>
      </c>
      <c r="P70" t="str">
        <f t="shared" si="12"/>
        <v>INTERRUTTORE 36</v>
      </c>
      <c r="R70" t="str">
        <f t="shared" si="13"/>
        <v>QGBT1 -INTERRUTTORE UPS CHIUSO</v>
      </c>
      <c r="U70" t="str">
        <f t="shared" si="14"/>
        <v>Stato</v>
      </c>
      <c r="V70" t="str">
        <f t="shared" si="15"/>
        <v>QGBT1</v>
      </c>
      <c r="W70" t="str">
        <f t="shared" si="16"/>
        <v>CABINA PRINCIPALE</v>
      </c>
      <c r="Z70" t="str">
        <f t="shared" si="17"/>
        <v>10.220.80.16</v>
      </c>
    </row>
    <row r="71" spans="1:26" x14ac:dyDescent="0.25">
      <c r="A71" t="s">
        <v>10</v>
      </c>
      <c r="B71" t="s">
        <v>11</v>
      </c>
      <c r="C71" t="s">
        <v>89</v>
      </c>
      <c r="D71" t="s">
        <v>49</v>
      </c>
      <c r="E71">
        <v>36</v>
      </c>
      <c r="F71" t="s">
        <v>14</v>
      </c>
      <c r="G71" t="s">
        <v>28</v>
      </c>
      <c r="H71" t="s">
        <v>22</v>
      </c>
      <c r="I71" t="s">
        <v>183</v>
      </c>
      <c r="J71" t="s">
        <v>184</v>
      </c>
      <c r="K71" t="str">
        <f t="shared" si="9"/>
        <v>1004.4</v>
      </c>
      <c r="N71" t="str">
        <f t="shared" si="10"/>
        <v>HOLDING REGISTER</v>
      </c>
      <c r="O71" t="str">
        <f t="shared" si="11"/>
        <v>BOOL</v>
      </c>
      <c r="P71" t="str">
        <f t="shared" si="12"/>
        <v>INTERRUTTORE 36</v>
      </c>
      <c r="R71" t="str">
        <f t="shared" si="13"/>
        <v>QGBT1 -INTERRUTTORE UPS SCATTATO</v>
      </c>
      <c r="U71" t="str">
        <f t="shared" si="14"/>
        <v>Allarme</v>
      </c>
      <c r="V71" t="str">
        <f t="shared" si="15"/>
        <v>QGBT1</v>
      </c>
      <c r="W71" t="str">
        <f t="shared" si="16"/>
        <v>CABINA PRINCIPALE</v>
      </c>
      <c r="Z71" t="str">
        <f t="shared" si="17"/>
        <v>10.220.80.16</v>
      </c>
    </row>
    <row r="72" spans="1:26" x14ac:dyDescent="0.25">
      <c r="A72" t="s">
        <v>10</v>
      </c>
      <c r="B72" t="s">
        <v>11</v>
      </c>
      <c r="C72" t="s">
        <v>89</v>
      </c>
      <c r="D72" t="s">
        <v>49</v>
      </c>
      <c r="E72">
        <v>38</v>
      </c>
      <c r="F72" t="s">
        <v>14</v>
      </c>
      <c r="G72" t="s">
        <v>21</v>
      </c>
      <c r="H72" t="s">
        <v>22</v>
      </c>
      <c r="I72" t="s">
        <v>185</v>
      </c>
      <c r="J72" t="s">
        <v>186</v>
      </c>
      <c r="K72" t="str">
        <f t="shared" si="9"/>
        <v>1004.5</v>
      </c>
      <c r="N72" t="str">
        <f t="shared" si="10"/>
        <v>HOLDING REGISTER</v>
      </c>
      <c r="O72" t="str">
        <f t="shared" si="11"/>
        <v>BOOL</v>
      </c>
      <c r="P72" t="str">
        <f t="shared" si="12"/>
        <v>INTERRUTTORE 38</v>
      </c>
      <c r="R72" t="str">
        <f t="shared" si="13"/>
        <v>QGBT1 -INTERRUTTORE AUX QVENT1 CHIUSO</v>
      </c>
      <c r="U72" t="str">
        <f t="shared" si="14"/>
        <v>Stato</v>
      </c>
      <c r="V72" t="str">
        <f t="shared" si="15"/>
        <v>QGBT1</v>
      </c>
      <c r="W72" t="str">
        <f t="shared" si="16"/>
        <v>CABINA PRINCIPALE</v>
      </c>
      <c r="Z72" t="str">
        <f t="shared" si="17"/>
        <v>10.220.80.16</v>
      </c>
    </row>
    <row r="73" spans="1:26" x14ac:dyDescent="0.25">
      <c r="A73" t="s">
        <v>10</v>
      </c>
      <c r="B73" t="s">
        <v>11</v>
      </c>
      <c r="C73" t="s">
        <v>89</v>
      </c>
      <c r="D73" t="s">
        <v>49</v>
      </c>
      <c r="E73">
        <v>38</v>
      </c>
      <c r="F73" t="s">
        <v>14</v>
      </c>
      <c r="G73" t="s">
        <v>28</v>
      </c>
      <c r="H73" t="s">
        <v>22</v>
      </c>
      <c r="I73" t="s">
        <v>187</v>
      </c>
      <c r="J73" t="s">
        <v>188</v>
      </c>
      <c r="K73" t="str">
        <f t="shared" si="9"/>
        <v>1004.6</v>
      </c>
      <c r="N73" t="str">
        <f t="shared" si="10"/>
        <v>HOLDING REGISTER</v>
      </c>
      <c r="O73" t="str">
        <f t="shared" si="11"/>
        <v>BOOL</v>
      </c>
      <c r="P73" t="str">
        <f t="shared" si="12"/>
        <v>INTERRUTTORE 38</v>
      </c>
      <c r="R73" t="str">
        <f t="shared" si="13"/>
        <v>QGBT1 -INTERRUTTORE AUX QVENT1 SCATTATO</v>
      </c>
      <c r="U73" t="str">
        <f t="shared" si="14"/>
        <v>Allarme</v>
      </c>
      <c r="V73" t="str">
        <f t="shared" si="15"/>
        <v>QGBT1</v>
      </c>
      <c r="W73" t="str">
        <f t="shared" si="16"/>
        <v>CABINA PRINCIPALE</v>
      </c>
      <c r="Z73" t="str">
        <f t="shared" si="17"/>
        <v>10.220.80.16</v>
      </c>
    </row>
    <row r="74" spans="1:26" x14ac:dyDescent="0.25">
      <c r="A74" t="s">
        <v>10</v>
      </c>
      <c r="B74" t="s">
        <v>11</v>
      </c>
      <c r="C74" t="s">
        <v>89</v>
      </c>
      <c r="D74" t="s">
        <v>49</v>
      </c>
      <c r="E74">
        <v>40</v>
      </c>
      <c r="F74" t="s">
        <v>14</v>
      </c>
      <c r="G74" t="s">
        <v>21</v>
      </c>
      <c r="H74" t="s">
        <v>22</v>
      </c>
      <c r="I74" t="s">
        <v>189</v>
      </c>
      <c r="J74" t="s">
        <v>190</v>
      </c>
      <c r="K74" t="str">
        <f t="shared" si="9"/>
        <v>1004.7</v>
      </c>
      <c r="N74" t="str">
        <f t="shared" si="10"/>
        <v>HOLDING REGISTER</v>
      </c>
      <c r="O74" t="str">
        <f t="shared" si="11"/>
        <v>BOOL</v>
      </c>
      <c r="P74" t="str">
        <f t="shared" si="12"/>
        <v>INTERRUTTORE 40</v>
      </c>
      <c r="R74" t="str">
        <f t="shared" si="13"/>
        <v>QGBT1 -INTERRUTTORE RISERVA CHIUSO</v>
      </c>
      <c r="U74" t="str">
        <f t="shared" si="14"/>
        <v>Stato</v>
      </c>
      <c r="V74" t="str">
        <f t="shared" si="15"/>
        <v>QGBT1</v>
      </c>
      <c r="W74" t="str">
        <f t="shared" si="16"/>
        <v>CABINA PRINCIPALE</v>
      </c>
      <c r="Z74" t="str">
        <f t="shared" si="17"/>
        <v>10.220.80.16</v>
      </c>
    </row>
    <row r="75" spans="1:26" x14ac:dyDescent="0.25">
      <c r="A75" t="s">
        <v>10</v>
      </c>
      <c r="B75" t="s">
        <v>11</v>
      </c>
      <c r="C75" t="s">
        <v>89</v>
      </c>
      <c r="D75" t="s">
        <v>49</v>
      </c>
      <c r="E75">
        <v>40</v>
      </c>
      <c r="F75" t="s">
        <v>14</v>
      </c>
      <c r="G75" t="s">
        <v>28</v>
      </c>
      <c r="H75" t="s">
        <v>22</v>
      </c>
      <c r="I75" t="s">
        <v>191</v>
      </c>
      <c r="J75" t="s">
        <v>192</v>
      </c>
      <c r="K75" t="str">
        <f t="shared" si="9"/>
        <v>1004.8</v>
      </c>
      <c r="N75" t="str">
        <f t="shared" si="10"/>
        <v>HOLDING REGISTER</v>
      </c>
      <c r="O75" t="str">
        <f t="shared" si="11"/>
        <v>BOOL</v>
      </c>
      <c r="P75" t="str">
        <f t="shared" si="12"/>
        <v>INTERRUTTORE 40</v>
      </c>
      <c r="R75" t="str">
        <f t="shared" si="13"/>
        <v>QGBT1 -INTERRUTTORE RISERVA SCATTATO</v>
      </c>
      <c r="U75" t="str">
        <f t="shared" si="14"/>
        <v>Allarme</v>
      </c>
      <c r="V75" t="str">
        <f t="shared" si="15"/>
        <v>QGBT1</v>
      </c>
      <c r="W75" t="str">
        <f t="shared" si="16"/>
        <v>CABINA PRINCIPALE</v>
      </c>
      <c r="Z75" t="str">
        <f t="shared" si="17"/>
        <v>10.220.80.16</v>
      </c>
    </row>
    <row r="76" spans="1:26" x14ac:dyDescent="0.25">
      <c r="A76" t="s">
        <v>10</v>
      </c>
      <c r="B76" t="s">
        <v>11</v>
      </c>
      <c r="C76" t="s">
        <v>89</v>
      </c>
      <c r="D76" t="s">
        <v>49</v>
      </c>
      <c r="E76">
        <v>41</v>
      </c>
      <c r="F76" t="s">
        <v>14</v>
      </c>
      <c r="G76" t="s">
        <v>21</v>
      </c>
      <c r="H76" t="s">
        <v>22</v>
      </c>
      <c r="I76" t="s">
        <v>193</v>
      </c>
      <c r="J76" t="s">
        <v>190</v>
      </c>
      <c r="K76" t="str">
        <f t="shared" si="9"/>
        <v>1004.9</v>
      </c>
      <c r="N76" t="str">
        <f t="shared" si="10"/>
        <v>HOLDING REGISTER</v>
      </c>
      <c r="O76" t="str">
        <f t="shared" si="11"/>
        <v>BOOL</v>
      </c>
      <c r="P76" t="str">
        <f t="shared" si="12"/>
        <v>INTERRUTTORE 41</v>
      </c>
      <c r="R76" t="str">
        <f t="shared" si="13"/>
        <v>QGBT1 -INTERRUTTORE RISERVA CHIUSO</v>
      </c>
      <c r="U76" t="str">
        <f t="shared" si="14"/>
        <v>Stato</v>
      </c>
      <c r="V76" t="str">
        <f t="shared" si="15"/>
        <v>QGBT1</v>
      </c>
      <c r="W76" t="str">
        <f t="shared" si="16"/>
        <v>CABINA PRINCIPALE</v>
      </c>
      <c r="Z76" t="str">
        <f t="shared" si="17"/>
        <v>10.220.80.16</v>
      </c>
    </row>
    <row r="77" spans="1:26" x14ac:dyDescent="0.25">
      <c r="A77" t="s">
        <v>10</v>
      </c>
      <c r="B77" t="s">
        <v>11</v>
      </c>
      <c r="C77" t="s">
        <v>89</v>
      </c>
      <c r="D77" t="s">
        <v>49</v>
      </c>
      <c r="E77">
        <v>41</v>
      </c>
      <c r="F77" t="s">
        <v>14</v>
      </c>
      <c r="G77" t="s">
        <v>28</v>
      </c>
      <c r="H77" t="s">
        <v>22</v>
      </c>
      <c r="I77" t="s">
        <v>194</v>
      </c>
      <c r="J77" t="s">
        <v>192</v>
      </c>
      <c r="K77" t="str">
        <f t="shared" si="9"/>
        <v>1004.10</v>
      </c>
      <c r="N77" t="str">
        <f t="shared" si="10"/>
        <v>HOLDING REGISTER</v>
      </c>
      <c r="O77" t="str">
        <f t="shared" si="11"/>
        <v>BOOL</v>
      </c>
      <c r="P77" t="str">
        <f t="shared" si="12"/>
        <v>INTERRUTTORE 41</v>
      </c>
      <c r="R77" t="str">
        <f t="shared" si="13"/>
        <v>QGBT1 -INTERRUTTORE RISERVA SCATTATO</v>
      </c>
      <c r="U77" t="str">
        <f t="shared" si="14"/>
        <v>Allarme</v>
      </c>
      <c r="V77" t="str">
        <f t="shared" si="15"/>
        <v>QGBT1</v>
      </c>
      <c r="W77" t="str">
        <f t="shared" si="16"/>
        <v>CABINA PRINCIPALE</v>
      </c>
      <c r="Z77" t="str">
        <f t="shared" si="17"/>
        <v>10.220.80.16</v>
      </c>
    </row>
    <row r="78" spans="1:26" x14ac:dyDescent="0.25">
      <c r="A78" t="s">
        <v>10</v>
      </c>
      <c r="B78" t="s">
        <v>11</v>
      </c>
      <c r="C78" t="s">
        <v>89</v>
      </c>
      <c r="D78" t="s">
        <v>77</v>
      </c>
      <c r="E78" t="s">
        <v>195</v>
      </c>
      <c r="F78" t="s">
        <v>14</v>
      </c>
      <c r="G78" t="s">
        <v>28</v>
      </c>
      <c r="H78" t="s">
        <v>22</v>
      </c>
      <c r="I78" t="s">
        <v>196</v>
      </c>
      <c r="J78" t="s">
        <v>197</v>
      </c>
      <c r="K78" t="str">
        <f t="shared" si="9"/>
        <v>1004.11</v>
      </c>
      <c r="N78" t="str">
        <f t="shared" si="10"/>
        <v>HOLDING REGISTER</v>
      </c>
      <c r="O78" t="str">
        <f t="shared" si="11"/>
        <v>BOOL</v>
      </c>
      <c r="P78" t="str">
        <f t="shared" si="12"/>
        <v>CENTRALINA CONTROLLO TEMPERATURA TR3</v>
      </c>
      <c r="R78" t="str">
        <f t="shared" si="13"/>
        <v>QGBT1 -Guasto Centralina Temperatura TR3</v>
      </c>
      <c r="U78" t="str">
        <f t="shared" si="14"/>
        <v>Allarme</v>
      </c>
      <c r="V78" t="str">
        <f t="shared" si="15"/>
        <v>QGBT1</v>
      </c>
      <c r="W78" t="str">
        <f t="shared" si="16"/>
        <v>CABINA PRINCIPALE</v>
      </c>
      <c r="Z78" t="str">
        <f t="shared" si="17"/>
        <v>10.220.80.16</v>
      </c>
    </row>
    <row r="79" spans="1:26" x14ac:dyDescent="0.25">
      <c r="A79" t="s">
        <v>10</v>
      </c>
      <c r="B79" t="s">
        <v>11</v>
      </c>
      <c r="C79" t="s">
        <v>89</v>
      </c>
      <c r="D79" t="s">
        <v>77</v>
      </c>
      <c r="E79" t="s">
        <v>195</v>
      </c>
      <c r="F79" t="s">
        <v>14</v>
      </c>
      <c r="G79" t="s">
        <v>28</v>
      </c>
      <c r="H79" t="s">
        <v>22</v>
      </c>
      <c r="I79" t="s">
        <v>198</v>
      </c>
      <c r="J79" t="s">
        <v>199</v>
      </c>
      <c r="K79" t="str">
        <f t="shared" si="9"/>
        <v>1004.12</v>
      </c>
      <c r="N79" t="str">
        <f t="shared" si="10"/>
        <v>HOLDING REGISTER</v>
      </c>
      <c r="O79" t="str">
        <f t="shared" si="11"/>
        <v>BOOL</v>
      </c>
      <c r="P79" t="str">
        <f t="shared" si="12"/>
        <v>CENTRALINA CONTROLLO TEMPERATURA TR3</v>
      </c>
      <c r="R79" t="str">
        <f t="shared" si="13"/>
        <v>QGBT1 -Allarme Temperatura TR3</v>
      </c>
      <c r="U79" t="str">
        <f t="shared" si="14"/>
        <v>Allarme</v>
      </c>
      <c r="V79" t="str">
        <f t="shared" si="15"/>
        <v>QGBT1</v>
      </c>
      <c r="W79" t="str">
        <f t="shared" si="16"/>
        <v>CABINA PRINCIPALE</v>
      </c>
      <c r="Z79" t="str">
        <f t="shared" si="17"/>
        <v>10.220.80.16</v>
      </c>
    </row>
    <row r="80" spans="1:26" x14ac:dyDescent="0.25">
      <c r="A80" t="s">
        <v>10</v>
      </c>
      <c r="B80" t="s">
        <v>11</v>
      </c>
      <c r="C80" t="s">
        <v>89</v>
      </c>
      <c r="D80" t="s">
        <v>77</v>
      </c>
      <c r="E80" t="s">
        <v>200</v>
      </c>
      <c r="F80" t="s">
        <v>14</v>
      </c>
      <c r="G80" t="s">
        <v>28</v>
      </c>
      <c r="H80" t="s">
        <v>22</v>
      </c>
      <c r="I80" t="s">
        <v>201</v>
      </c>
      <c r="J80" t="s">
        <v>202</v>
      </c>
      <c r="K80" t="str">
        <f t="shared" si="9"/>
        <v>1004.13</v>
      </c>
      <c r="N80" t="str">
        <f t="shared" si="10"/>
        <v>HOLDING REGISTER</v>
      </c>
      <c r="O80" t="str">
        <f t="shared" si="11"/>
        <v>BOOL</v>
      </c>
      <c r="P80" t="str">
        <f t="shared" si="12"/>
        <v>CENTRALINA CONTROLLO TEMPERATURA TR4</v>
      </c>
      <c r="R80" t="str">
        <f t="shared" si="13"/>
        <v>QGBT1 -Guasto Centralina Temperatura TR4</v>
      </c>
      <c r="U80" t="str">
        <f t="shared" si="14"/>
        <v>Allarme</v>
      </c>
      <c r="V80" t="str">
        <f t="shared" si="15"/>
        <v>QGBT1</v>
      </c>
      <c r="W80" t="str">
        <f t="shared" si="16"/>
        <v>CABINA PRINCIPALE</v>
      </c>
      <c r="Z80" t="str">
        <f t="shared" si="17"/>
        <v>10.220.80.16</v>
      </c>
    </row>
    <row r="81" spans="1:26" x14ac:dyDescent="0.25">
      <c r="A81" t="s">
        <v>10</v>
      </c>
      <c r="B81" t="s">
        <v>11</v>
      </c>
      <c r="C81" t="s">
        <v>89</v>
      </c>
      <c r="D81" t="s">
        <v>77</v>
      </c>
      <c r="E81" t="s">
        <v>200</v>
      </c>
      <c r="F81" t="s">
        <v>14</v>
      </c>
      <c r="G81" t="s">
        <v>28</v>
      </c>
      <c r="H81" t="s">
        <v>22</v>
      </c>
      <c r="I81" t="s">
        <v>203</v>
      </c>
      <c r="J81" t="s">
        <v>204</v>
      </c>
      <c r="K81" t="str">
        <f t="shared" si="9"/>
        <v>1004.14</v>
      </c>
      <c r="N81" t="str">
        <f t="shared" si="10"/>
        <v>HOLDING REGISTER</v>
      </c>
      <c r="O81" t="str">
        <f t="shared" si="11"/>
        <v>BOOL</v>
      </c>
      <c r="P81" t="str">
        <f t="shared" si="12"/>
        <v>CENTRALINA CONTROLLO TEMPERATURA TR4</v>
      </c>
      <c r="R81" t="str">
        <f t="shared" si="13"/>
        <v>QGBT1 -Allarme Temperatura TR4</v>
      </c>
      <c r="U81" t="str">
        <f t="shared" si="14"/>
        <v>Allarme</v>
      </c>
      <c r="V81" t="str">
        <f t="shared" si="15"/>
        <v>QGBT1</v>
      </c>
      <c r="W81" t="str">
        <f t="shared" si="16"/>
        <v>CABINA PRINCIPALE</v>
      </c>
      <c r="Z81" t="str">
        <f t="shared" si="17"/>
        <v>10.220.80.16</v>
      </c>
    </row>
    <row r="82" spans="1:26" x14ac:dyDescent="0.25">
      <c r="A82" t="s">
        <v>10</v>
      </c>
      <c r="B82" t="s">
        <v>11</v>
      </c>
      <c r="C82" t="s">
        <v>89</v>
      </c>
      <c r="D82" t="s">
        <v>205</v>
      </c>
      <c r="E82" t="s">
        <v>206</v>
      </c>
      <c r="F82" t="s">
        <v>14</v>
      </c>
      <c r="G82" t="s">
        <v>28</v>
      </c>
      <c r="H82" t="s">
        <v>22</v>
      </c>
      <c r="I82" t="s">
        <v>207</v>
      </c>
      <c r="J82" t="s">
        <v>208</v>
      </c>
      <c r="K82" t="str">
        <f t="shared" si="9"/>
        <v>1004.15</v>
      </c>
      <c r="N82" t="str">
        <f t="shared" si="10"/>
        <v>HOLDING REGISTER</v>
      </c>
      <c r="O82" t="str">
        <f t="shared" si="11"/>
        <v>BOOL</v>
      </c>
      <c r="P82" t="str">
        <f t="shared" si="12"/>
        <v>REMOTE I/O RIO</v>
      </c>
      <c r="R82" t="str">
        <f t="shared" si="13"/>
        <v>QGBT1 -ERRORE DI COMUNICAZIONE CON RIO</v>
      </c>
      <c r="U82" t="str">
        <f t="shared" si="14"/>
        <v>Allarme</v>
      </c>
      <c r="V82" t="str">
        <f t="shared" si="15"/>
        <v>QGBT1</v>
      </c>
      <c r="W82" t="str">
        <f t="shared" si="16"/>
        <v>CABINA PRINCIPALE</v>
      </c>
      <c r="Z82" t="str">
        <f t="shared" si="17"/>
        <v>10.220.80.16</v>
      </c>
    </row>
    <row r="83" spans="1:26" x14ac:dyDescent="0.25">
      <c r="A83" t="s">
        <v>10</v>
      </c>
      <c r="B83" t="s">
        <v>11</v>
      </c>
      <c r="C83" t="s">
        <v>209</v>
      </c>
      <c r="D83" t="s">
        <v>49</v>
      </c>
      <c r="E83">
        <v>1</v>
      </c>
      <c r="F83" t="s">
        <v>14</v>
      </c>
      <c r="G83" t="s">
        <v>21</v>
      </c>
      <c r="H83" t="s">
        <v>22</v>
      </c>
      <c r="I83" t="s">
        <v>210</v>
      </c>
      <c r="J83" t="s">
        <v>211</v>
      </c>
      <c r="K83" t="str">
        <f t="shared" si="9"/>
        <v>1005.0</v>
      </c>
      <c r="N83" t="str">
        <f t="shared" si="10"/>
        <v>HOLDING REGISTER</v>
      </c>
      <c r="O83" t="str">
        <f t="shared" si="11"/>
        <v>BOOL</v>
      </c>
      <c r="P83" t="str">
        <f t="shared" si="12"/>
        <v>INTERRUTTORE 1</v>
      </c>
      <c r="R83" t="str">
        <f t="shared" si="13"/>
        <v>QGBT2 -SEZIONATORE GENERALE QUADRO CHIUSO</v>
      </c>
      <c r="U83" t="str">
        <f t="shared" si="14"/>
        <v>Stato</v>
      </c>
      <c r="V83" t="str">
        <f t="shared" si="15"/>
        <v>QGBT2</v>
      </c>
      <c r="W83" t="str">
        <f t="shared" si="16"/>
        <v>CABINA PRINCIPALE</v>
      </c>
      <c r="Z83" t="str">
        <f t="shared" si="17"/>
        <v>10.220.80.16</v>
      </c>
    </row>
    <row r="84" spans="1:26" x14ac:dyDescent="0.25">
      <c r="A84" t="s">
        <v>10</v>
      </c>
      <c r="B84" t="s">
        <v>11</v>
      </c>
      <c r="C84" t="s">
        <v>209</v>
      </c>
      <c r="D84" t="s">
        <v>94</v>
      </c>
      <c r="E84" t="s">
        <v>95</v>
      </c>
      <c r="F84" t="s">
        <v>14</v>
      </c>
      <c r="G84" t="s">
        <v>28</v>
      </c>
      <c r="H84" t="s">
        <v>22</v>
      </c>
      <c r="I84" t="s">
        <v>212</v>
      </c>
      <c r="J84" t="s">
        <v>213</v>
      </c>
      <c r="K84" t="str">
        <f t="shared" si="9"/>
        <v>1005.1</v>
      </c>
      <c r="N84" t="str">
        <f t="shared" si="10"/>
        <v>HOLDING REGISTER</v>
      </c>
      <c r="O84" t="str">
        <f t="shared" si="11"/>
        <v>BOOL</v>
      </c>
      <c r="P84" t="str">
        <f t="shared" si="12"/>
        <v>SCARICATORE SOVRATENSIONI SPD1</v>
      </c>
      <c r="R84" t="str">
        <f t="shared" si="13"/>
        <v>QGBT2 -LIMITATORE DI SOVRATENSIONE INTERVENUTO</v>
      </c>
      <c r="U84" t="str">
        <f t="shared" si="14"/>
        <v>Allarme</v>
      </c>
      <c r="V84" t="str">
        <f t="shared" si="15"/>
        <v>QGBT2</v>
      </c>
      <c r="W84" t="str">
        <f t="shared" si="16"/>
        <v>CABINA PRINCIPALE</v>
      </c>
      <c r="Z84" t="str">
        <f t="shared" si="17"/>
        <v>10.220.80.16</v>
      </c>
    </row>
    <row r="85" spans="1:26" x14ac:dyDescent="0.25">
      <c r="A85" t="s">
        <v>10</v>
      </c>
      <c r="B85" t="s">
        <v>11</v>
      </c>
      <c r="C85" t="s">
        <v>209</v>
      </c>
      <c r="D85" t="s">
        <v>49</v>
      </c>
      <c r="E85">
        <v>4</v>
      </c>
      <c r="F85" t="s">
        <v>14</v>
      </c>
      <c r="G85" t="s">
        <v>21</v>
      </c>
      <c r="H85" t="s">
        <v>22</v>
      </c>
      <c r="I85" t="s">
        <v>214</v>
      </c>
      <c r="J85" t="s">
        <v>215</v>
      </c>
      <c r="K85" t="str">
        <f t="shared" si="9"/>
        <v>1005.2</v>
      </c>
      <c r="N85" t="str">
        <f t="shared" si="10"/>
        <v>HOLDING REGISTER</v>
      </c>
      <c r="O85" t="str">
        <f t="shared" si="11"/>
        <v>BOOL</v>
      </c>
      <c r="P85" t="str">
        <f t="shared" si="12"/>
        <v>INTERRUTTORE 4</v>
      </c>
      <c r="R85" t="str">
        <f t="shared" si="13"/>
        <v>QGBT2 -INTERRUTTORE GENERALE TRAFO 1 690Vac CHIUSO</v>
      </c>
      <c r="U85" t="str">
        <f t="shared" si="14"/>
        <v>Stato</v>
      </c>
      <c r="V85" t="str">
        <f t="shared" si="15"/>
        <v>QGBT2</v>
      </c>
      <c r="W85" t="str">
        <f t="shared" si="16"/>
        <v>CABINA PRINCIPALE</v>
      </c>
      <c r="Z85" t="str">
        <f t="shared" si="17"/>
        <v>10.220.80.16</v>
      </c>
    </row>
    <row r="86" spans="1:26" x14ac:dyDescent="0.25">
      <c r="A86" t="s">
        <v>10</v>
      </c>
      <c r="B86" t="s">
        <v>11</v>
      </c>
      <c r="C86" t="s">
        <v>209</v>
      </c>
      <c r="D86" t="s">
        <v>49</v>
      </c>
      <c r="E86">
        <v>4</v>
      </c>
      <c r="F86" t="s">
        <v>14</v>
      </c>
      <c r="G86" t="s">
        <v>28</v>
      </c>
      <c r="H86" t="s">
        <v>22</v>
      </c>
      <c r="I86" t="s">
        <v>216</v>
      </c>
      <c r="J86" t="s">
        <v>217</v>
      </c>
      <c r="K86" t="str">
        <f t="shared" si="9"/>
        <v>1005.3</v>
      </c>
      <c r="N86" t="str">
        <f t="shared" si="10"/>
        <v>HOLDING REGISTER</v>
      </c>
      <c r="O86" t="str">
        <f t="shared" si="11"/>
        <v>BOOL</v>
      </c>
      <c r="P86" t="str">
        <f t="shared" si="12"/>
        <v>INTERRUTTORE 4</v>
      </c>
      <c r="R86" t="str">
        <f t="shared" si="13"/>
        <v>QGBT2 -INTERRUTTORE GENERALE TRAFO 1 690Vac SCATTATO</v>
      </c>
      <c r="U86" t="str">
        <f t="shared" si="14"/>
        <v>Allarme</v>
      </c>
      <c r="V86" t="str">
        <f t="shared" si="15"/>
        <v>QGBT2</v>
      </c>
      <c r="W86" t="str">
        <f t="shared" si="16"/>
        <v>CABINA PRINCIPALE</v>
      </c>
      <c r="Z86" t="str">
        <f t="shared" si="17"/>
        <v>10.220.80.16</v>
      </c>
    </row>
    <row r="87" spans="1:26" x14ac:dyDescent="0.25">
      <c r="A87" t="s">
        <v>10</v>
      </c>
      <c r="B87" t="s">
        <v>11</v>
      </c>
      <c r="C87" t="s">
        <v>209</v>
      </c>
      <c r="D87" t="s">
        <v>49</v>
      </c>
      <c r="E87">
        <v>5</v>
      </c>
      <c r="F87" t="s">
        <v>14</v>
      </c>
      <c r="G87" t="s">
        <v>21</v>
      </c>
      <c r="H87" t="s">
        <v>22</v>
      </c>
      <c r="I87" t="s">
        <v>218</v>
      </c>
      <c r="J87" t="s">
        <v>219</v>
      </c>
      <c r="K87" t="str">
        <f t="shared" si="9"/>
        <v>1005.4</v>
      </c>
      <c r="N87" t="str">
        <f t="shared" si="10"/>
        <v>HOLDING REGISTER</v>
      </c>
      <c r="O87" t="str">
        <f t="shared" si="11"/>
        <v>BOOL</v>
      </c>
      <c r="P87" t="str">
        <f t="shared" si="12"/>
        <v>INTERRUTTORE 5</v>
      </c>
      <c r="R87" t="str">
        <f t="shared" si="13"/>
        <v>QGBT2 -INTERRUTTORE GENERALE TRAFO 2 690Vac CHIUSO</v>
      </c>
      <c r="U87" t="str">
        <f t="shared" si="14"/>
        <v>Stato</v>
      </c>
      <c r="V87" t="str">
        <f t="shared" si="15"/>
        <v>QGBT2</v>
      </c>
      <c r="W87" t="str">
        <f t="shared" si="16"/>
        <v>CABINA PRINCIPALE</v>
      </c>
      <c r="Z87" t="str">
        <f t="shared" si="17"/>
        <v>10.220.80.16</v>
      </c>
    </row>
    <row r="88" spans="1:26" x14ac:dyDescent="0.25">
      <c r="A88" t="s">
        <v>10</v>
      </c>
      <c r="B88" t="s">
        <v>11</v>
      </c>
      <c r="C88" t="s">
        <v>209</v>
      </c>
      <c r="D88" t="s">
        <v>49</v>
      </c>
      <c r="E88">
        <v>5</v>
      </c>
      <c r="F88" t="s">
        <v>14</v>
      </c>
      <c r="G88" t="s">
        <v>28</v>
      </c>
      <c r="H88" t="s">
        <v>22</v>
      </c>
      <c r="I88" t="s">
        <v>220</v>
      </c>
      <c r="J88" t="s">
        <v>221</v>
      </c>
      <c r="K88" t="str">
        <f t="shared" si="9"/>
        <v>1005.5</v>
      </c>
      <c r="N88" t="str">
        <f t="shared" si="10"/>
        <v>HOLDING REGISTER</v>
      </c>
      <c r="O88" t="str">
        <f t="shared" si="11"/>
        <v>BOOL</v>
      </c>
      <c r="P88" t="str">
        <f t="shared" si="12"/>
        <v>INTERRUTTORE 5</v>
      </c>
      <c r="R88" t="str">
        <f t="shared" si="13"/>
        <v>QGBT2 -INTERRUTTORE GENERALE TRAFO 2 690Vac SCATTATO</v>
      </c>
      <c r="U88" t="str">
        <f t="shared" si="14"/>
        <v>Allarme</v>
      </c>
      <c r="V88" t="str">
        <f t="shared" si="15"/>
        <v>QGBT2</v>
      </c>
      <c r="W88" t="str">
        <f t="shared" si="16"/>
        <v>CABINA PRINCIPALE</v>
      </c>
      <c r="Z88" t="str">
        <f t="shared" si="17"/>
        <v>10.220.80.16</v>
      </c>
    </row>
    <row r="89" spans="1:26" x14ac:dyDescent="0.25">
      <c r="A89" t="s">
        <v>10</v>
      </c>
      <c r="B89" t="s">
        <v>11</v>
      </c>
      <c r="C89" t="s">
        <v>209</v>
      </c>
      <c r="D89" t="s">
        <v>49</v>
      </c>
      <c r="E89">
        <v>8</v>
      </c>
      <c r="F89" t="s">
        <v>14</v>
      </c>
      <c r="G89" t="s">
        <v>21</v>
      </c>
      <c r="H89" t="s">
        <v>22</v>
      </c>
      <c r="I89" t="s">
        <v>222</v>
      </c>
      <c r="J89" t="s">
        <v>223</v>
      </c>
      <c r="K89" t="str">
        <f t="shared" si="9"/>
        <v>1005.6</v>
      </c>
      <c r="N89" t="str">
        <f t="shared" si="10"/>
        <v>HOLDING REGISTER</v>
      </c>
      <c r="O89" t="str">
        <f t="shared" si="11"/>
        <v>BOOL</v>
      </c>
      <c r="P89" t="str">
        <f t="shared" si="12"/>
        <v>INTERRUTTORE 8</v>
      </c>
      <c r="R89" t="str">
        <f t="shared" si="13"/>
        <v>QGBT2 -INTERRUTTORE AUX QVENT2 CHIUSO</v>
      </c>
      <c r="U89" t="str">
        <f t="shared" si="14"/>
        <v>Stato</v>
      </c>
      <c r="V89" t="str">
        <f t="shared" si="15"/>
        <v>QGBT2</v>
      </c>
      <c r="W89" t="str">
        <f t="shared" si="16"/>
        <v>CABINA PRINCIPALE</v>
      </c>
      <c r="Z89" t="str">
        <f t="shared" si="17"/>
        <v>10.220.80.16</v>
      </c>
    </row>
    <row r="90" spans="1:26" x14ac:dyDescent="0.25">
      <c r="A90" t="s">
        <v>10</v>
      </c>
      <c r="B90" t="s">
        <v>11</v>
      </c>
      <c r="C90" t="s">
        <v>209</v>
      </c>
      <c r="D90" t="s">
        <v>49</v>
      </c>
      <c r="E90">
        <v>8</v>
      </c>
      <c r="F90" t="s">
        <v>14</v>
      </c>
      <c r="G90" t="s">
        <v>28</v>
      </c>
      <c r="H90" t="s">
        <v>22</v>
      </c>
      <c r="I90" t="s">
        <v>224</v>
      </c>
      <c r="J90" t="s">
        <v>225</v>
      </c>
      <c r="K90" t="str">
        <f t="shared" si="9"/>
        <v>1005.7</v>
      </c>
      <c r="N90" t="str">
        <f t="shared" si="10"/>
        <v>HOLDING REGISTER</v>
      </c>
      <c r="O90" t="str">
        <f t="shared" si="11"/>
        <v>BOOL</v>
      </c>
      <c r="P90" t="str">
        <f t="shared" si="12"/>
        <v>INTERRUTTORE 8</v>
      </c>
      <c r="R90" t="str">
        <f t="shared" si="13"/>
        <v>QGBT2 -INTERRUTTORE AUX QVENT2 SCATTATO</v>
      </c>
      <c r="U90" t="str">
        <f t="shared" si="14"/>
        <v>Allarme</v>
      </c>
      <c r="V90" t="str">
        <f t="shared" si="15"/>
        <v>QGBT2</v>
      </c>
      <c r="W90" t="str">
        <f t="shared" si="16"/>
        <v>CABINA PRINCIPALE</v>
      </c>
      <c r="Z90" t="str">
        <f t="shared" si="17"/>
        <v>10.220.80.16</v>
      </c>
    </row>
    <row r="91" spans="1:26" x14ac:dyDescent="0.25">
      <c r="A91" t="s">
        <v>10</v>
      </c>
      <c r="B91" t="s">
        <v>11</v>
      </c>
      <c r="C91" t="s">
        <v>209</v>
      </c>
      <c r="D91" t="s">
        <v>49</v>
      </c>
      <c r="E91">
        <v>9</v>
      </c>
      <c r="F91" t="s">
        <v>14</v>
      </c>
      <c r="G91" t="s">
        <v>21</v>
      </c>
      <c r="H91" t="s">
        <v>22</v>
      </c>
      <c r="I91" t="s">
        <v>226</v>
      </c>
      <c r="J91" t="s">
        <v>227</v>
      </c>
      <c r="K91" t="str">
        <f t="shared" si="9"/>
        <v>1005.8</v>
      </c>
      <c r="N91" t="str">
        <f t="shared" si="10"/>
        <v>HOLDING REGISTER</v>
      </c>
      <c r="O91" t="str">
        <f t="shared" si="11"/>
        <v>BOOL</v>
      </c>
      <c r="P91" t="str">
        <f t="shared" si="12"/>
        <v>INTERRUTTORE 9</v>
      </c>
      <c r="R91" t="str">
        <f t="shared" si="13"/>
        <v>QGBT2 -INTERRUTTORE Q_VES SEZIONE PRIVILEGIATA CHIUSO</v>
      </c>
      <c r="U91" t="str">
        <f t="shared" si="14"/>
        <v>Stato</v>
      </c>
      <c r="V91" t="str">
        <f t="shared" si="15"/>
        <v>QGBT2</v>
      </c>
      <c r="W91" t="str">
        <f t="shared" si="16"/>
        <v>CABINA PRINCIPALE</v>
      </c>
      <c r="Z91" t="str">
        <f t="shared" si="17"/>
        <v>10.220.80.16</v>
      </c>
    </row>
    <row r="92" spans="1:26" x14ac:dyDescent="0.25">
      <c r="A92" t="s">
        <v>10</v>
      </c>
      <c r="B92" t="s">
        <v>11</v>
      </c>
      <c r="C92" t="s">
        <v>209</v>
      </c>
      <c r="D92" t="s">
        <v>49</v>
      </c>
      <c r="E92">
        <v>9</v>
      </c>
      <c r="F92" t="s">
        <v>14</v>
      </c>
      <c r="G92" t="s">
        <v>28</v>
      </c>
      <c r="H92" t="s">
        <v>22</v>
      </c>
      <c r="I92" t="s">
        <v>228</v>
      </c>
      <c r="J92" t="s">
        <v>229</v>
      </c>
      <c r="K92" t="str">
        <f t="shared" si="9"/>
        <v>1005.9</v>
      </c>
      <c r="N92" t="str">
        <f t="shared" si="10"/>
        <v>HOLDING REGISTER</v>
      </c>
      <c r="O92" t="str">
        <f t="shared" si="11"/>
        <v>BOOL</v>
      </c>
      <c r="P92" t="str">
        <f t="shared" si="12"/>
        <v>INTERRUTTORE 9</v>
      </c>
      <c r="R92" t="str">
        <f t="shared" si="13"/>
        <v>QGBT2 -INTERRUTTORE Q_VES SEZIONE PRIVILEGIATA SCATTATO</v>
      </c>
      <c r="U92" t="str">
        <f t="shared" si="14"/>
        <v>Allarme</v>
      </c>
      <c r="V92" t="str">
        <f t="shared" si="15"/>
        <v>QGBT2</v>
      </c>
      <c r="W92" t="str">
        <f t="shared" si="16"/>
        <v>CABINA PRINCIPALE</v>
      </c>
      <c r="Z92" t="str">
        <f t="shared" si="17"/>
        <v>10.220.80.16</v>
      </c>
    </row>
    <row r="93" spans="1:26" x14ac:dyDescent="0.25">
      <c r="A93" t="s">
        <v>10</v>
      </c>
      <c r="B93" t="s">
        <v>11</v>
      </c>
      <c r="C93" t="s">
        <v>209</v>
      </c>
      <c r="D93" t="s">
        <v>49</v>
      </c>
      <c r="E93">
        <v>10</v>
      </c>
      <c r="F93" t="s">
        <v>14</v>
      </c>
      <c r="G93" t="s">
        <v>21</v>
      </c>
      <c r="H93" t="s">
        <v>22</v>
      </c>
      <c r="I93" t="s">
        <v>230</v>
      </c>
      <c r="J93" t="s">
        <v>231</v>
      </c>
      <c r="K93" t="str">
        <f t="shared" si="9"/>
        <v>1005.10</v>
      </c>
      <c r="N93" t="str">
        <f t="shared" si="10"/>
        <v>HOLDING REGISTER</v>
      </c>
      <c r="O93" t="str">
        <f t="shared" si="11"/>
        <v>BOOL</v>
      </c>
      <c r="P93" t="str">
        <f t="shared" si="12"/>
        <v>INTERRUTTORE 10</v>
      </c>
      <c r="R93" t="str">
        <f t="shared" si="13"/>
        <v>QGBT2 -INTERRUTTORE Q_PIAZZOLA SEZIONE PRIVILEGIATA CHIUSO</v>
      </c>
      <c r="U93" t="str">
        <f t="shared" si="14"/>
        <v>Stato</v>
      </c>
      <c r="V93" t="str">
        <f t="shared" si="15"/>
        <v>QGBT2</v>
      </c>
      <c r="W93" t="str">
        <f t="shared" si="16"/>
        <v>CABINA PRINCIPALE</v>
      </c>
      <c r="Z93" t="str">
        <f t="shared" si="17"/>
        <v>10.220.80.16</v>
      </c>
    </row>
    <row r="94" spans="1:26" x14ac:dyDescent="0.25">
      <c r="A94" t="s">
        <v>10</v>
      </c>
      <c r="B94" t="s">
        <v>11</v>
      </c>
      <c r="C94" t="s">
        <v>209</v>
      </c>
      <c r="D94" t="s">
        <v>49</v>
      </c>
      <c r="E94">
        <v>10</v>
      </c>
      <c r="F94" t="s">
        <v>14</v>
      </c>
      <c r="G94" t="s">
        <v>28</v>
      </c>
      <c r="H94" t="s">
        <v>22</v>
      </c>
      <c r="I94" t="s">
        <v>232</v>
      </c>
      <c r="J94" t="s">
        <v>233</v>
      </c>
      <c r="K94" t="str">
        <f t="shared" si="9"/>
        <v>1005.11</v>
      </c>
      <c r="N94" t="str">
        <f t="shared" si="10"/>
        <v>HOLDING REGISTER</v>
      </c>
      <c r="O94" t="str">
        <f t="shared" si="11"/>
        <v>BOOL</v>
      </c>
      <c r="P94" t="str">
        <f t="shared" si="12"/>
        <v>INTERRUTTORE 10</v>
      </c>
      <c r="R94" t="str">
        <f t="shared" si="13"/>
        <v>QGBT2 -INTERRUTTORE Q_PIAZZOLA SEZIONE PRIVILEGIATA SCATTATO</v>
      </c>
      <c r="U94" t="str">
        <f t="shared" si="14"/>
        <v>Allarme</v>
      </c>
      <c r="V94" t="str">
        <f t="shared" si="15"/>
        <v>QGBT2</v>
      </c>
      <c r="W94" t="str">
        <f t="shared" si="16"/>
        <v>CABINA PRINCIPALE</v>
      </c>
      <c r="Z94" t="str">
        <f t="shared" si="17"/>
        <v>10.220.80.16</v>
      </c>
    </row>
    <row r="95" spans="1:26" x14ac:dyDescent="0.25">
      <c r="A95" t="s">
        <v>10</v>
      </c>
      <c r="B95" t="s">
        <v>11</v>
      </c>
      <c r="C95" t="s">
        <v>209</v>
      </c>
      <c r="D95" t="s">
        <v>49</v>
      </c>
      <c r="E95">
        <v>12</v>
      </c>
      <c r="F95" t="s">
        <v>14</v>
      </c>
      <c r="G95" t="s">
        <v>21</v>
      </c>
      <c r="H95" t="s">
        <v>22</v>
      </c>
      <c r="I95" t="s">
        <v>234</v>
      </c>
      <c r="J95" t="s">
        <v>235</v>
      </c>
      <c r="K95" t="str">
        <f t="shared" si="9"/>
        <v>1005.12</v>
      </c>
      <c r="N95" t="str">
        <f t="shared" si="10"/>
        <v>HOLDING REGISTER</v>
      </c>
      <c r="O95" t="str">
        <f t="shared" si="11"/>
        <v>BOOL</v>
      </c>
      <c r="P95" t="str">
        <f t="shared" si="12"/>
        <v>INTERRUTTORE 12</v>
      </c>
      <c r="R95" t="str">
        <f t="shared" si="13"/>
        <v>QGBT2 -INTERRUTTORE Q_ACCESSI1 SEZIONE PRIVILEGIATA CHIUSO</v>
      </c>
      <c r="U95" t="str">
        <f t="shared" si="14"/>
        <v>Stato</v>
      </c>
      <c r="V95" t="str">
        <f t="shared" si="15"/>
        <v>QGBT2</v>
      </c>
      <c r="W95" t="str">
        <f t="shared" si="16"/>
        <v>CABINA PRINCIPALE</v>
      </c>
      <c r="Z95" t="str">
        <f t="shared" si="17"/>
        <v>10.220.80.16</v>
      </c>
    </row>
    <row r="96" spans="1:26" x14ac:dyDescent="0.25">
      <c r="A96" t="s">
        <v>10</v>
      </c>
      <c r="B96" t="s">
        <v>11</v>
      </c>
      <c r="C96" t="s">
        <v>209</v>
      </c>
      <c r="D96" t="s">
        <v>49</v>
      </c>
      <c r="E96">
        <v>12</v>
      </c>
      <c r="F96" t="s">
        <v>14</v>
      </c>
      <c r="G96" t="s">
        <v>28</v>
      </c>
      <c r="H96" t="s">
        <v>22</v>
      </c>
      <c r="I96" t="s">
        <v>236</v>
      </c>
      <c r="J96" t="s">
        <v>237</v>
      </c>
      <c r="K96" t="str">
        <f t="shared" si="9"/>
        <v>1005.13</v>
      </c>
      <c r="N96" t="str">
        <f t="shared" si="10"/>
        <v>HOLDING REGISTER</v>
      </c>
      <c r="O96" t="str">
        <f t="shared" si="11"/>
        <v>BOOL</v>
      </c>
      <c r="P96" t="str">
        <f t="shared" si="12"/>
        <v>INTERRUTTORE 12</v>
      </c>
      <c r="R96" t="str">
        <f t="shared" si="13"/>
        <v>QGBT2 -INTERRUTTORE Q_ACCESSI1 SEZIONE PRIVILEGIATA SCATTATO</v>
      </c>
      <c r="U96" t="str">
        <f t="shared" si="14"/>
        <v>Allarme</v>
      </c>
      <c r="V96" t="str">
        <f t="shared" si="15"/>
        <v>QGBT2</v>
      </c>
      <c r="W96" t="str">
        <f t="shared" si="16"/>
        <v>CABINA PRINCIPALE</v>
      </c>
      <c r="Z96" t="str">
        <f t="shared" si="17"/>
        <v>10.220.80.16</v>
      </c>
    </row>
    <row r="97" spans="1:26" x14ac:dyDescent="0.25">
      <c r="A97" t="s">
        <v>10</v>
      </c>
      <c r="B97" t="s">
        <v>11</v>
      </c>
      <c r="C97" t="s">
        <v>209</v>
      </c>
      <c r="D97" t="s">
        <v>49</v>
      </c>
      <c r="E97">
        <v>13</v>
      </c>
      <c r="F97" t="s">
        <v>14</v>
      </c>
      <c r="G97" t="s">
        <v>21</v>
      </c>
      <c r="H97" t="s">
        <v>22</v>
      </c>
      <c r="I97" t="s">
        <v>238</v>
      </c>
      <c r="J97" t="s">
        <v>239</v>
      </c>
      <c r="K97" t="str">
        <f t="shared" si="9"/>
        <v>1005.14</v>
      </c>
      <c r="N97" t="str">
        <f t="shared" si="10"/>
        <v>HOLDING REGISTER</v>
      </c>
      <c r="O97" t="str">
        <f t="shared" si="11"/>
        <v>BOOL</v>
      </c>
      <c r="P97" t="str">
        <f t="shared" si="12"/>
        <v>INTERRUTTORE 13</v>
      </c>
      <c r="R97" t="str">
        <f t="shared" si="13"/>
        <v>QGBT2 -INTERRUTTORE Q_ACCESSI2 SEZIONE PRIVILEGIATA CHIUSO</v>
      </c>
      <c r="U97" t="str">
        <f t="shared" si="14"/>
        <v>Stato</v>
      </c>
      <c r="V97" t="str">
        <f t="shared" si="15"/>
        <v>QGBT2</v>
      </c>
      <c r="W97" t="str">
        <f t="shared" si="16"/>
        <v>CABINA PRINCIPALE</v>
      </c>
      <c r="Z97" t="str">
        <f t="shared" si="17"/>
        <v>10.220.80.16</v>
      </c>
    </row>
    <row r="98" spans="1:26" x14ac:dyDescent="0.25">
      <c r="A98" t="s">
        <v>10</v>
      </c>
      <c r="B98" t="s">
        <v>11</v>
      </c>
      <c r="C98" t="s">
        <v>209</v>
      </c>
      <c r="D98" t="s">
        <v>49</v>
      </c>
      <c r="E98">
        <v>13</v>
      </c>
      <c r="F98" t="s">
        <v>14</v>
      </c>
      <c r="G98" t="s">
        <v>28</v>
      </c>
      <c r="H98" t="s">
        <v>22</v>
      </c>
      <c r="I98" t="s">
        <v>240</v>
      </c>
      <c r="J98" t="s">
        <v>241</v>
      </c>
      <c r="K98" t="str">
        <f t="shared" si="9"/>
        <v>1005.15</v>
      </c>
      <c r="N98" t="str">
        <f t="shared" si="10"/>
        <v>HOLDING REGISTER</v>
      </c>
      <c r="O98" t="str">
        <f t="shared" si="11"/>
        <v>BOOL</v>
      </c>
      <c r="P98" t="str">
        <f t="shared" si="12"/>
        <v>INTERRUTTORE 13</v>
      </c>
      <c r="R98" t="str">
        <f t="shared" si="13"/>
        <v>QGBT2 -INTERRUTTORE Q_ACCESSI2 SEZIONE PRIVILEGIATA SCATTATO</v>
      </c>
      <c r="U98" t="str">
        <f t="shared" si="14"/>
        <v>Allarme</v>
      </c>
      <c r="V98" t="str">
        <f t="shared" si="15"/>
        <v>QGBT2</v>
      </c>
      <c r="W98" t="str">
        <f t="shared" si="16"/>
        <v>CABINA PRINCIPALE</v>
      </c>
      <c r="Z98" t="str">
        <f t="shared" si="17"/>
        <v>10.220.80.16</v>
      </c>
    </row>
    <row r="99" spans="1:26" x14ac:dyDescent="0.25">
      <c r="A99" t="s">
        <v>10</v>
      </c>
      <c r="B99" t="s">
        <v>11</v>
      </c>
      <c r="C99" t="s">
        <v>209</v>
      </c>
      <c r="D99" t="s">
        <v>49</v>
      </c>
      <c r="E99">
        <v>15</v>
      </c>
      <c r="F99" t="s">
        <v>14</v>
      </c>
      <c r="G99" t="s">
        <v>21</v>
      </c>
      <c r="H99" t="s">
        <v>22</v>
      </c>
      <c r="I99" t="s">
        <v>242</v>
      </c>
      <c r="J99" t="s">
        <v>243</v>
      </c>
      <c r="K99" t="str">
        <f t="shared" si="9"/>
        <v>1006.0</v>
      </c>
      <c r="N99" t="str">
        <f t="shared" si="10"/>
        <v>HOLDING REGISTER</v>
      </c>
      <c r="O99" t="str">
        <f t="shared" si="11"/>
        <v>BOOL</v>
      </c>
      <c r="P99" t="str">
        <f t="shared" si="12"/>
        <v>INTERRUTTORE 15</v>
      </c>
      <c r="R99" t="str">
        <f t="shared" si="13"/>
        <v>QGBT2 -INTERRUTTORE UPS CHIUSO</v>
      </c>
      <c r="U99" t="str">
        <f t="shared" si="14"/>
        <v>Stato</v>
      </c>
      <c r="V99" t="str">
        <f t="shared" si="15"/>
        <v>QGBT2</v>
      </c>
      <c r="W99" t="str">
        <f t="shared" si="16"/>
        <v>CABINA PRINCIPALE</v>
      </c>
      <c r="Z99" t="str">
        <f t="shared" si="17"/>
        <v>10.220.80.16</v>
      </c>
    </row>
    <row r="100" spans="1:26" x14ac:dyDescent="0.25">
      <c r="A100" t="s">
        <v>10</v>
      </c>
      <c r="B100" t="s">
        <v>11</v>
      </c>
      <c r="C100" t="s">
        <v>209</v>
      </c>
      <c r="D100" t="s">
        <v>49</v>
      </c>
      <c r="E100">
        <v>15</v>
      </c>
      <c r="F100" t="s">
        <v>14</v>
      </c>
      <c r="G100" t="s">
        <v>28</v>
      </c>
      <c r="H100" t="s">
        <v>22</v>
      </c>
      <c r="I100" t="s">
        <v>244</v>
      </c>
      <c r="J100" t="s">
        <v>245</v>
      </c>
      <c r="K100" t="str">
        <f t="shared" si="9"/>
        <v>1006.1</v>
      </c>
      <c r="N100" t="str">
        <f t="shared" si="10"/>
        <v>HOLDING REGISTER</v>
      </c>
      <c r="O100" t="str">
        <f t="shared" si="11"/>
        <v>BOOL</v>
      </c>
      <c r="P100" t="str">
        <f t="shared" si="12"/>
        <v>INTERRUTTORE 15</v>
      </c>
      <c r="R100" t="str">
        <f t="shared" si="13"/>
        <v>QGBT2 -INTERRUTTORE UPS SCATTATO</v>
      </c>
      <c r="U100" t="str">
        <f t="shared" si="14"/>
        <v>Allarme</v>
      </c>
      <c r="V100" t="str">
        <f t="shared" si="15"/>
        <v>QGBT2</v>
      </c>
      <c r="W100" t="str">
        <f t="shared" si="16"/>
        <v>CABINA PRINCIPALE</v>
      </c>
      <c r="Z100" t="str">
        <f t="shared" si="17"/>
        <v>10.220.80.16</v>
      </c>
    </row>
    <row r="101" spans="1:26" x14ac:dyDescent="0.25">
      <c r="A101" t="s">
        <v>10</v>
      </c>
      <c r="B101" t="s">
        <v>11</v>
      </c>
      <c r="C101" t="s">
        <v>209</v>
      </c>
      <c r="D101" t="s">
        <v>49</v>
      </c>
      <c r="E101">
        <v>20</v>
      </c>
      <c r="F101" t="s">
        <v>14</v>
      </c>
      <c r="G101" t="s">
        <v>21</v>
      </c>
      <c r="H101" t="s">
        <v>22</v>
      </c>
      <c r="I101" t="s">
        <v>246</v>
      </c>
      <c r="J101" t="s">
        <v>247</v>
      </c>
      <c r="K101" t="str">
        <f t="shared" si="9"/>
        <v>1006.2</v>
      </c>
      <c r="N101" t="str">
        <f t="shared" si="10"/>
        <v>HOLDING REGISTER</v>
      </c>
      <c r="O101" t="str">
        <f t="shared" si="11"/>
        <v>BOOL</v>
      </c>
      <c r="P101" t="str">
        <f t="shared" si="12"/>
        <v>INTERRUTTORE 20</v>
      </c>
      <c r="R101" t="str">
        <f t="shared" si="13"/>
        <v>QGBT2 -INTERRUTTORE RISERVA CHIUSO</v>
      </c>
      <c r="U101" t="str">
        <f t="shared" si="14"/>
        <v>Stato</v>
      </c>
      <c r="V101" t="str">
        <f t="shared" si="15"/>
        <v>QGBT2</v>
      </c>
      <c r="W101" t="str">
        <f t="shared" si="16"/>
        <v>CABINA PRINCIPALE</v>
      </c>
      <c r="Z101" t="str">
        <f t="shared" si="17"/>
        <v>10.220.80.16</v>
      </c>
    </row>
    <row r="102" spans="1:26" x14ac:dyDescent="0.25">
      <c r="A102" t="s">
        <v>10</v>
      </c>
      <c r="B102" t="s">
        <v>11</v>
      </c>
      <c r="C102" t="s">
        <v>209</v>
      </c>
      <c r="D102" t="s">
        <v>49</v>
      </c>
      <c r="E102">
        <v>20</v>
      </c>
      <c r="F102" t="s">
        <v>14</v>
      </c>
      <c r="G102" t="s">
        <v>28</v>
      </c>
      <c r="H102" t="s">
        <v>22</v>
      </c>
      <c r="I102" t="s">
        <v>248</v>
      </c>
      <c r="J102" t="s">
        <v>249</v>
      </c>
      <c r="K102" t="str">
        <f t="shared" si="9"/>
        <v>1006.3</v>
      </c>
      <c r="N102" t="str">
        <f t="shared" si="10"/>
        <v>HOLDING REGISTER</v>
      </c>
      <c r="O102" t="str">
        <f t="shared" si="11"/>
        <v>BOOL</v>
      </c>
      <c r="P102" t="str">
        <f t="shared" si="12"/>
        <v>INTERRUTTORE 20</v>
      </c>
      <c r="R102" t="str">
        <f t="shared" si="13"/>
        <v>QGBT2 -INTERRUTTORE RISERVA SCATTATO</v>
      </c>
      <c r="U102" t="str">
        <f t="shared" si="14"/>
        <v>Allarme</v>
      </c>
      <c r="V102" t="str">
        <f t="shared" si="15"/>
        <v>QGBT2</v>
      </c>
      <c r="W102" t="str">
        <f t="shared" si="16"/>
        <v>CABINA PRINCIPALE</v>
      </c>
      <c r="Z102" t="str">
        <f t="shared" si="17"/>
        <v>10.220.80.16</v>
      </c>
    </row>
    <row r="103" spans="1:26" x14ac:dyDescent="0.25">
      <c r="A103" t="s">
        <v>10</v>
      </c>
      <c r="B103" t="s">
        <v>11</v>
      </c>
      <c r="C103" t="s">
        <v>209</v>
      </c>
      <c r="D103" t="s">
        <v>49</v>
      </c>
      <c r="E103">
        <v>21</v>
      </c>
      <c r="F103" t="s">
        <v>14</v>
      </c>
      <c r="G103" t="s">
        <v>21</v>
      </c>
      <c r="H103" t="s">
        <v>22</v>
      </c>
      <c r="I103" t="s">
        <v>250</v>
      </c>
      <c r="J103" t="s">
        <v>247</v>
      </c>
      <c r="K103" t="str">
        <f t="shared" si="9"/>
        <v>1006.4</v>
      </c>
      <c r="N103" t="str">
        <f t="shared" si="10"/>
        <v>HOLDING REGISTER</v>
      </c>
      <c r="O103" t="str">
        <f t="shared" si="11"/>
        <v>BOOL</v>
      </c>
      <c r="P103" t="str">
        <f t="shared" si="12"/>
        <v>INTERRUTTORE 21</v>
      </c>
      <c r="R103" t="str">
        <f t="shared" si="13"/>
        <v>QGBT2 -INTERRUTTORE RISERVA CHIUSO</v>
      </c>
      <c r="U103" t="str">
        <f t="shared" si="14"/>
        <v>Stato</v>
      </c>
      <c r="V103" t="str">
        <f t="shared" si="15"/>
        <v>QGBT2</v>
      </c>
      <c r="W103" t="str">
        <f t="shared" si="16"/>
        <v>CABINA PRINCIPALE</v>
      </c>
      <c r="Z103" t="str">
        <f t="shared" si="17"/>
        <v>10.220.80.16</v>
      </c>
    </row>
    <row r="104" spans="1:26" x14ac:dyDescent="0.25">
      <c r="A104" t="s">
        <v>10</v>
      </c>
      <c r="B104" t="s">
        <v>11</v>
      </c>
      <c r="C104" t="s">
        <v>209</v>
      </c>
      <c r="D104" t="s">
        <v>49</v>
      </c>
      <c r="E104">
        <v>21</v>
      </c>
      <c r="F104" t="s">
        <v>14</v>
      </c>
      <c r="G104" t="s">
        <v>28</v>
      </c>
      <c r="H104" t="s">
        <v>22</v>
      </c>
      <c r="I104" t="s">
        <v>251</v>
      </c>
      <c r="J104" t="s">
        <v>249</v>
      </c>
      <c r="K104" t="str">
        <f t="shared" si="9"/>
        <v>1006.5</v>
      </c>
      <c r="N104" t="str">
        <f t="shared" si="10"/>
        <v>HOLDING REGISTER</v>
      </c>
      <c r="O104" t="str">
        <f t="shared" si="11"/>
        <v>BOOL</v>
      </c>
      <c r="P104" t="str">
        <f t="shared" si="12"/>
        <v>INTERRUTTORE 21</v>
      </c>
      <c r="R104" t="str">
        <f t="shared" si="13"/>
        <v>QGBT2 -INTERRUTTORE RISERVA SCATTATO</v>
      </c>
      <c r="U104" t="str">
        <f t="shared" si="14"/>
        <v>Allarme</v>
      </c>
      <c r="V104" t="str">
        <f t="shared" si="15"/>
        <v>QGBT2</v>
      </c>
      <c r="W104" t="str">
        <f t="shared" si="16"/>
        <v>CABINA PRINCIPALE</v>
      </c>
      <c r="Z104" t="str">
        <f t="shared" si="17"/>
        <v>10.220.80.16</v>
      </c>
    </row>
    <row r="105" spans="1:26" x14ac:dyDescent="0.25">
      <c r="A105" t="s">
        <v>10</v>
      </c>
      <c r="B105" t="s">
        <v>11</v>
      </c>
      <c r="C105" t="s">
        <v>209</v>
      </c>
      <c r="D105" t="s">
        <v>77</v>
      </c>
      <c r="E105" t="s">
        <v>252</v>
      </c>
      <c r="F105" t="s">
        <v>14</v>
      </c>
      <c r="G105" t="s">
        <v>28</v>
      </c>
      <c r="H105" t="s">
        <v>22</v>
      </c>
      <c r="I105" t="s">
        <v>253</v>
      </c>
      <c r="J105" t="s">
        <v>254</v>
      </c>
      <c r="K105" t="str">
        <f t="shared" si="9"/>
        <v>1006.6</v>
      </c>
      <c r="N105" t="str">
        <f t="shared" si="10"/>
        <v>HOLDING REGISTER</v>
      </c>
      <c r="O105" t="str">
        <f t="shared" si="11"/>
        <v>BOOL</v>
      </c>
      <c r="P105" t="str">
        <f t="shared" si="12"/>
        <v>CENTRALINA CONTROLLO TEMPERATURA TR5_ALL</v>
      </c>
      <c r="R105" t="str">
        <f t="shared" si="13"/>
        <v>QGBT2 -Allarme Temperatura TR5</v>
      </c>
      <c r="U105" t="str">
        <f t="shared" si="14"/>
        <v>Allarme</v>
      </c>
      <c r="V105" t="str">
        <f t="shared" si="15"/>
        <v>QGBT2</v>
      </c>
      <c r="W105" t="str">
        <f t="shared" si="16"/>
        <v>CABINA PRINCIPALE</v>
      </c>
      <c r="Z105" t="str">
        <f t="shared" si="17"/>
        <v>10.220.80.16</v>
      </c>
    </row>
    <row r="106" spans="1:26" x14ac:dyDescent="0.25">
      <c r="A106" t="s">
        <v>10</v>
      </c>
      <c r="B106" t="s">
        <v>11</v>
      </c>
      <c r="C106" t="s">
        <v>209</v>
      </c>
      <c r="D106" t="s">
        <v>77</v>
      </c>
      <c r="E106" t="s">
        <v>255</v>
      </c>
      <c r="F106" t="s">
        <v>14</v>
      </c>
      <c r="G106" t="s">
        <v>28</v>
      </c>
      <c r="H106" t="s">
        <v>22</v>
      </c>
      <c r="I106" t="s">
        <v>256</v>
      </c>
      <c r="J106" t="s">
        <v>257</v>
      </c>
      <c r="K106" t="str">
        <f t="shared" si="9"/>
        <v>1006.7</v>
      </c>
      <c r="N106" t="str">
        <f t="shared" si="10"/>
        <v>HOLDING REGISTER</v>
      </c>
      <c r="O106" t="str">
        <f t="shared" si="11"/>
        <v>BOOL</v>
      </c>
      <c r="P106" t="str">
        <f t="shared" si="12"/>
        <v>CENTRALINA CONTROLLO TEMPERATURA TR5_FAULT</v>
      </c>
      <c r="R106" t="str">
        <f t="shared" si="13"/>
        <v>QGBT2 -Guasto Centralina Temperatura TR5</v>
      </c>
      <c r="U106" t="str">
        <f t="shared" si="14"/>
        <v>Allarme</v>
      </c>
      <c r="V106" t="str">
        <f t="shared" si="15"/>
        <v>QGBT2</v>
      </c>
      <c r="W106" t="str">
        <f t="shared" si="16"/>
        <v>CABINA PRINCIPALE</v>
      </c>
      <c r="Z106" t="str">
        <f t="shared" si="17"/>
        <v>10.220.80.16</v>
      </c>
    </row>
    <row r="107" spans="1:26" x14ac:dyDescent="0.25">
      <c r="A107" t="s">
        <v>10</v>
      </c>
      <c r="B107" t="s">
        <v>11</v>
      </c>
      <c r="C107" t="s">
        <v>209</v>
      </c>
      <c r="D107" t="s">
        <v>77</v>
      </c>
      <c r="E107" t="s">
        <v>258</v>
      </c>
      <c r="F107" t="s">
        <v>14</v>
      </c>
      <c r="G107" t="s">
        <v>28</v>
      </c>
      <c r="H107" t="s">
        <v>22</v>
      </c>
      <c r="I107" t="s">
        <v>259</v>
      </c>
      <c r="J107" t="s">
        <v>260</v>
      </c>
      <c r="K107" t="str">
        <f t="shared" si="9"/>
        <v>1006.8</v>
      </c>
      <c r="N107" t="str">
        <f t="shared" si="10"/>
        <v>HOLDING REGISTER</v>
      </c>
      <c r="O107" t="str">
        <f t="shared" si="11"/>
        <v>BOOL</v>
      </c>
      <c r="P107" t="str">
        <f t="shared" si="12"/>
        <v>CENTRALINA CONTROLLO TEMPERATURA TR6_ALL</v>
      </c>
      <c r="R107" t="str">
        <f t="shared" si="13"/>
        <v>QGBT2 -Allarme Temperatura TR6</v>
      </c>
      <c r="U107" t="str">
        <f t="shared" si="14"/>
        <v>Allarme</v>
      </c>
      <c r="V107" t="str">
        <f t="shared" si="15"/>
        <v>QGBT2</v>
      </c>
      <c r="W107" t="str">
        <f t="shared" si="16"/>
        <v>CABINA PRINCIPALE</v>
      </c>
      <c r="Z107" t="str">
        <f t="shared" si="17"/>
        <v>10.220.80.16</v>
      </c>
    </row>
    <row r="108" spans="1:26" x14ac:dyDescent="0.25">
      <c r="A108" t="s">
        <v>10</v>
      </c>
      <c r="B108" t="s">
        <v>11</v>
      </c>
      <c r="C108" t="s">
        <v>209</v>
      </c>
      <c r="D108" t="s">
        <v>77</v>
      </c>
      <c r="E108" t="s">
        <v>261</v>
      </c>
      <c r="F108" t="s">
        <v>14</v>
      </c>
      <c r="G108" t="s">
        <v>28</v>
      </c>
      <c r="H108" t="s">
        <v>22</v>
      </c>
      <c r="I108" t="s">
        <v>262</v>
      </c>
      <c r="J108" t="s">
        <v>263</v>
      </c>
      <c r="K108" t="str">
        <f t="shared" si="9"/>
        <v>1006.9</v>
      </c>
      <c r="N108" t="str">
        <f t="shared" si="10"/>
        <v>HOLDING REGISTER</v>
      </c>
      <c r="O108" t="str">
        <f t="shared" si="11"/>
        <v>BOOL</v>
      </c>
      <c r="P108" t="str">
        <f t="shared" si="12"/>
        <v>CENTRALINA CONTROLLO TEMPERATURA TR6_FAULT</v>
      </c>
      <c r="R108" t="str">
        <f t="shared" si="13"/>
        <v>QGBT2 -Guasto Centralina Temperatura TR6</v>
      </c>
      <c r="U108" t="str">
        <f t="shared" si="14"/>
        <v>Allarme</v>
      </c>
      <c r="V108" t="str">
        <f t="shared" si="15"/>
        <v>QGBT2</v>
      </c>
      <c r="W108" t="str">
        <f t="shared" si="16"/>
        <v>CABINA PRINCIPALE</v>
      </c>
      <c r="Z108" t="str">
        <f t="shared" si="17"/>
        <v>10.220.80.16</v>
      </c>
    </row>
    <row r="109" spans="1:26" x14ac:dyDescent="0.25">
      <c r="A109" t="s">
        <v>10</v>
      </c>
      <c r="B109" t="s">
        <v>11</v>
      </c>
      <c r="C109" t="s">
        <v>209</v>
      </c>
      <c r="D109" t="s">
        <v>205</v>
      </c>
      <c r="E109" t="s">
        <v>206</v>
      </c>
      <c r="F109" t="s">
        <v>14</v>
      </c>
      <c r="G109" t="s">
        <v>28</v>
      </c>
      <c r="H109" t="s">
        <v>22</v>
      </c>
      <c r="I109" t="s">
        <v>264</v>
      </c>
      <c r="J109" t="s">
        <v>265</v>
      </c>
      <c r="K109" t="str">
        <f t="shared" si="9"/>
        <v>1006.10</v>
      </c>
      <c r="N109" t="str">
        <f t="shared" si="10"/>
        <v>HOLDING REGISTER</v>
      </c>
      <c r="O109" t="str">
        <f t="shared" si="11"/>
        <v>BOOL</v>
      </c>
      <c r="P109" t="str">
        <f t="shared" si="12"/>
        <v>REMOTE I/O RIO</v>
      </c>
      <c r="R109" t="str">
        <f t="shared" si="13"/>
        <v>QGBT2 -ERRORE DI COMUNICAZIONE CON RIO</v>
      </c>
      <c r="U109" t="str">
        <f t="shared" si="14"/>
        <v>Allarme</v>
      </c>
      <c r="V109" t="str">
        <f t="shared" si="15"/>
        <v>QGBT2</v>
      </c>
      <c r="W109" t="str">
        <f t="shared" si="16"/>
        <v>CABINA PRINCIPALE</v>
      </c>
      <c r="Z109" t="str">
        <f t="shared" si="17"/>
        <v>10.220.80.16</v>
      </c>
    </row>
    <row r="110" spans="1:26" x14ac:dyDescent="0.25">
      <c r="A110" t="s">
        <v>10</v>
      </c>
      <c r="B110" t="s">
        <v>11</v>
      </c>
      <c r="C110" t="s">
        <v>266</v>
      </c>
      <c r="D110" t="s">
        <v>49</v>
      </c>
      <c r="E110">
        <v>1</v>
      </c>
      <c r="F110" t="s">
        <v>14</v>
      </c>
      <c r="G110" t="s">
        <v>21</v>
      </c>
      <c r="H110" t="s">
        <v>22</v>
      </c>
      <c r="I110" t="s">
        <v>267</v>
      </c>
      <c r="J110" t="s">
        <v>268</v>
      </c>
      <c r="K110" t="str">
        <f t="shared" si="9"/>
        <v>1006.11</v>
      </c>
      <c r="N110" t="str">
        <f t="shared" si="10"/>
        <v>HOLDING REGISTER</v>
      </c>
      <c r="O110" t="str">
        <f t="shared" si="11"/>
        <v>BOOL</v>
      </c>
      <c r="P110" t="str">
        <f t="shared" si="12"/>
        <v>INTERRUTTORE 1</v>
      </c>
      <c r="R110" t="str">
        <f t="shared" si="13"/>
        <v>QSC -SEZIONATORE GENERALE QUADRO CHIUSO</v>
      </c>
      <c r="U110" t="str">
        <f t="shared" si="14"/>
        <v>Stato</v>
      </c>
      <c r="V110" t="str">
        <f t="shared" si="15"/>
        <v>QSC</v>
      </c>
      <c r="W110" t="str">
        <f t="shared" si="16"/>
        <v>CABINA PRINCIPALE</v>
      </c>
      <c r="Z110" t="str">
        <f t="shared" si="17"/>
        <v>10.220.80.16</v>
      </c>
    </row>
    <row r="111" spans="1:26" x14ac:dyDescent="0.25">
      <c r="A111" t="s">
        <v>10</v>
      </c>
      <c r="B111" t="s">
        <v>11</v>
      </c>
      <c r="C111" t="s">
        <v>266</v>
      </c>
      <c r="D111" t="s">
        <v>94</v>
      </c>
      <c r="E111" t="s">
        <v>95</v>
      </c>
      <c r="F111" t="s">
        <v>14</v>
      </c>
      <c r="G111" t="s">
        <v>28</v>
      </c>
      <c r="H111" t="s">
        <v>22</v>
      </c>
      <c r="I111" t="s">
        <v>269</v>
      </c>
      <c r="J111" t="s">
        <v>270</v>
      </c>
      <c r="K111" t="str">
        <f t="shared" si="9"/>
        <v>1006.12</v>
      </c>
      <c r="N111" t="str">
        <f t="shared" si="10"/>
        <v>HOLDING REGISTER</v>
      </c>
      <c r="O111" t="str">
        <f t="shared" si="11"/>
        <v>BOOL</v>
      </c>
      <c r="P111" t="str">
        <f t="shared" si="12"/>
        <v>SCARICATORE SOVRATENSIONI SPD1</v>
      </c>
      <c r="R111" t="str">
        <f t="shared" si="13"/>
        <v>QSC -LIMITATORE DI SOVRATENSIONE INTERVENUTO SEZ. NORMALE</v>
      </c>
      <c r="U111" t="str">
        <f t="shared" si="14"/>
        <v>Allarme</v>
      </c>
      <c r="V111" t="str">
        <f t="shared" si="15"/>
        <v>QSC</v>
      </c>
      <c r="W111" t="str">
        <f t="shared" si="16"/>
        <v>CABINA PRINCIPALE</v>
      </c>
      <c r="Z111" t="str">
        <f t="shared" si="17"/>
        <v>10.220.80.16</v>
      </c>
    </row>
    <row r="112" spans="1:26" x14ac:dyDescent="0.25">
      <c r="A112" t="s">
        <v>10</v>
      </c>
      <c r="B112" t="s">
        <v>11</v>
      </c>
      <c r="C112" t="s">
        <v>266</v>
      </c>
      <c r="D112" t="s">
        <v>49</v>
      </c>
      <c r="E112">
        <v>3</v>
      </c>
      <c r="F112" t="s">
        <v>14</v>
      </c>
      <c r="G112" t="s">
        <v>21</v>
      </c>
      <c r="H112" t="s">
        <v>22</v>
      </c>
      <c r="I112" t="s">
        <v>271</v>
      </c>
      <c r="J112" t="s">
        <v>272</v>
      </c>
      <c r="K112" t="str">
        <f t="shared" si="9"/>
        <v>1006.13</v>
      </c>
      <c r="N112" t="str">
        <f t="shared" si="10"/>
        <v>HOLDING REGISTER</v>
      </c>
      <c r="O112" t="str">
        <f t="shared" si="11"/>
        <v>BOOL</v>
      </c>
      <c r="P112" t="str">
        <f t="shared" si="12"/>
        <v>INTERRUTTORE 3</v>
      </c>
      <c r="R112" t="str">
        <f t="shared" si="13"/>
        <v>QSC -INTERRUTTORE QSBT CHIUSO</v>
      </c>
      <c r="U112" t="str">
        <f t="shared" si="14"/>
        <v>Stato</v>
      </c>
      <c r="V112" t="str">
        <f t="shared" si="15"/>
        <v>QSC</v>
      </c>
      <c r="W112" t="str">
        <f t="shared" si="16"/>
        <v>CABINA PRINCIPALE</v>
      </c>
      <c r="Z112" t="str">
        <f t="shared" si="17"/>
        <v>10.220.80.16</v>
      </c>
    </row>
    <row r="113" spans="1:26" x14ac:dyDescent="0.25">
      <c r="A113" t="s">
        <v>10</v>
      </c>
      <c r="B113" t="s">
        <v>11</v>
      </c>
      <c r="C113" t="s">
        <v>266</v>
      </c>
      <c r="D113" t="s">
        <v>49</v>
      </c>
      <c r="E113">
        <v>3</v>
      </c>
      <c r="F113" t="s">
        <v>14</v>
      </c>
      <c r="G113" t="s">
        <v>28</v>
      </c>
      <c r="H113" t="s">
        <v>22</v>
      </c>
      <c r="I113" t="s">
        <v>273</v>
      </c>
      <c r="J113" t="s">
        <v>274</v>
      </c>
      <c r="K113" t="str">
        <f t="shared" si="9"/>
        <v>1006.14</v>
      </c>
      <c r="N113" t="str">
        <f t="shared" si="10"/>
        <v>HOLDING REGISTER</v>
      </c>
      <c r="O113" t="str">
        <f t="shared" si="11"/>
        <v>BOOL</v>
      </c>
      <c r="P113" t="str">
        <f t="shared" si="12"/>
        <v>INTERRUTTORE 3</v>
      </c>
      <c r="R113" t="str">
        <f t="shared" si="13"/>
        <v>QSC -INTERRUTTORE QSBT SCATTATO</v>
      </c>
      <c r="U113" t="str">
        <f t="shared" si="14"/>
        <v>Allarme</v>
      </c>
      <c r="V113" t="str">
        <f t="shared" si="15"/>
        <v>QSC</v>
      </c>
      <c r="W113" t="str">
        <f t="shared" si="16"/>
        <v>CABINA PRINCIPALE</v>
      </c>
      <c r="Z113" t="str">
        <f t="shared" si="17"/>
        <v>10.220.80.16</v>
      </c>
    </row>
    <row r="114" spans="1:26" x14ac:dyDescent="0.25">
      <c r="A114" t="s">
        <v>10</v>
      </c>
      <c r="B114" t="s">
        <v>11</v>
      </c>
      <c r="C114" t="s">
        <v>266</v>
      </c>
      <c r="D114" t="s">
        <v>49</v>
      </c>
      <c r="E114">
        <v>4</v>
      </c>
      <c r="F114" t="s">
        <v>14</v>
      </c>
      <c r="G114" t="s">
        <v>21</v>
      </c>
      <c r="H114" t="s">
        <v>22</v>
      </c>
      <c r="I114" t="s">
        <v>275</v>
      </c>
      <c r="J114" t="s">
        <v>276</v>
      </c>
      <c r="K114" t="str">
        <f t="shared" si="9"/>
        <v>1006.15</v>
      </c>
      <c r="N114" t="str">
        <f t="shared" si="10"/>
        <v>HOLDING REGISTER</v>
      </c>
      <c r="O114" t="str">
        <f t="shared" si="11"/>
        <v>BOOL</v>
      </c>
      <c r="P114" t="str">
        <f t="shared" si="12"/>
        <v>INTERRUTTORE 4</v>
      </c>
      <c r="R114" t="str">
        <f t="shared" si="13"/>
        <v>QSC -INTERRUTTORE QSMT CHIUSO</v>
      </c>
      <c r="U114" t="str">
        <f t="shared" si="14"/>
        <v>Stato</v>
      </c>
      <c r="V114" t="str">
        <f t="shared" si="15"/>
        <v>QSC</v>
      </c>
      <c r="W114" t="str">
        <f t="shared" si="16"/>
        <v>CABINA PRINCIPALE</v>
      </c>
      <c r="Z114" t="str">
        <f t="shared" si="17"/>
        <v>10.220.80.16</v>
      </c>
    </row>
    <row r="115" spans="1:26" x14ac:dyDescent="0.25">
      <c r="A115" t="s">
        <v>10</v>
      </c>
      <c r="B115" t="s">
        <v>11</v>
      </c>
      <c r="C115" t="s">
        <v>266</v>
      </c>
      <c r="D115" t="s">
        <v>49</v>
      </c>
      <c r="E115">
        <v>4</v>
      </c>
      <c r="F115" t="s">
        <v>14</v>
      </c>
      <c r="G115" t="s">
        <v>28</v>
      </c>
      <c r="H115" t="s">
        <v>22</v>
      </c>
      <c r="I115" t="s">
        <v>277</v>
      </c>
      <c r="J115" t="s">
        <v>278</v>
      </c>
      <c r="K115" t="str">
        <f t="shared" si="9"/>
        <v>1007.0</v>
      </c>
      <c r="N115" t="str">
        <f t="shared" si="10"/>
        <v>HOLDING REGISTER</v>
      </c>
      <c r="O115" t="str">
        <f t="shared" si="11"/>
        <v>BOOL</v>
      </c>
      <c r="P115" t="str">
        <f t="shared" si="12"/>
        <v>INTERRUTTORE 4</v>
      </c>
      <c r="R115" t="str">
        <f t="shared" si="13"/>
        <v>QSC -INTERRUTTORE QSMT SCATTATO</v>
      </c>
      <c r="U115" t="str">
        <f t="shared" si="14"/>
        <v>Allarme</v>
      </c>
      <c r="V115" t="str">
        <f t="shared" si="15"/>
        <v>QSC</v>
      </c>
      <c r="W115" t="str">
        <f t="shared" si="16"/>
        <v>CABINA PRINCIPALE</v>
      </c>
      <c r="Z115" t="str">
        <f t="shared" si="17"/>
        <v>10.220.80.16</v>
      </c>
    </row>
    <row r="116" spans="1:26" x14ac:dyDescent="0.25">
      <c r="A116" t="s">
        <v>10</v>
      </c>
      <c r="B116" t="s">
        <v>11</v>
      </c>
      <c r="C116" t="s">
        <v>266</v>
      </c>
      <c r="D116" t="s">
        <v>49</v>
      </c>
      <c r="E116">
        <v>5</v>
      </c>
      <c r="F116" t="s">
        <v>14</v>
      </c>
      <c r="G116" t="s">
        <v>21</v>
      </c>
      <c r="H116" t="s">
        <v>22</v>
      </c>
      <c r="I116" t="s">
        <v>279</v>
      </c>
      <c r="J116" t="s">
        <v>280</v>
      </c>
      <c r="K116" t="str">
        <f t="shared" si="9"/>
        <v>1007.1</v>
      </c>
      <c r="N116" t="str">
        <f t="shared" si="10"/>
        <v>HOLDING REGISTER</v>
      </c>
      <c r="O116" t="str">
        <f t="shared" si="11"/>
        <v>BOOL</v>
      </c>
      <c r="P116" t="str">
        <f t="shared" si="12"/>
        <v>INTERRUTTORE 5</v>
      </c>
      <c r="R116" t="str">
        <f t="shared" si="13"/>
        <v>QSC -INTERRUTTORE QSGE CHIUSO</v>
      </c>
      <c r="U116" t="str">
        <f t="shared" si="14"/>
        <v>Stato</v>
      </c>
      <c r="V116" t="str">
        <f t="shared" si="15"/>
        <v>QSC</v>
      </c>
      <c r="W116" t="str">
        <f t="shared" si="16"/>
        <v>CABINA PRINCIPALE</v>
      </c>
      <c r="Z116" t="str">
        <f t="shared" si="17"/>
        <v>10.220.80.16</v>
      </c>
    </row>
    <row r="117" spans="1:26" x14ac:dyDescent="0.25">
      <c r="A117" t="s">
        <v>10</v>
      </c>
      <c r="B117" t="s">
        <v>11</v>
      </c>
      <c r="C117" t="s">
        <v>266</v>
      </c>
      <c r="D117" t="s">
        <v>49</v>
      </c>
      <c r="E117">
        <v>5</v>
      </c>
      <c r="F117" t="s">
        <v>14</v>
      </c>
      <c r="G117" t="s">
        <v>28</v>
      </c>
      <c r="H117" t="s">
        <v>22</v>
      </c>
      <c r="I117" t="s">
        <v>281</v>
      </c>
      <c r="J117" t="s">
        <v>282</v>
      </c>
      <c r="K117" t="str">
        <f t="shared" si="9"/>
        <v>1007.2</v>
      </c>
      <c r="N117" t="str">
        <f t="shared" si="10"/>
        <v>HOLDING REGISTER</v>
      </c>
      <c r="O117" t="str">
        <f t="shared" si="11"/>
        <v>BOOL</v>
      </c>
      <c r="P117" t="str">
        <f t="shared" si="12"/>
        <v>INTERRUTTORE 5</v>
      </c>
      <c r="R117" t="str">
        <f t="shared" si="13"/>
        <v>QSC -INTERRUTTORE QSGE SCATTATO</v>
      </c>
      <c r="U117" t="str">
        <f t="shared" si="14"/>
        <v>Allarme</v>
      </c>
      <c r="V117" t="str">
        <f t="shared" si="15"/>
        <v>QSC</v>
      </c>
      <c r="W117" t="str">
        <f t="shared" si="16"/>
        <v>CABINA PRINCIPALE</v>
      </c>
      <c r="Z117" t="str">
        <f t="shared" si="17"/>
        <v>10.220.80.16</v>
      </c>
    </row>
    <row r="118" spans="1:26" x14ac:dyDescent="0.25">
      <c r="A118" t="s">
        <v>10</v>
      </c>
      <c r="B118" t="s">
        <v>11</v>
      </c>
      <c r="C118" t="s">
        <v>266</v>
      </c>
      <c r="D118" t="s">
        <v>49</v>
      </c>
      <c r="E118">
        <v>6</v>
      </c>
      <c r="F118" t="s">
        <v>14</v>
      </c>
      <c r="G118" t="s">
        <v>21</v>
      </c>
      <c r="H118" t="s">
        <v>22</v>
      </c>
      <c r="I118" t="s">
        <v>283</v>
      </c>
      <c r="J118" t="s">
        <v>284</v>
      </c>
      <c r="K118" t="str">
        <f t="shared" si="9"/>
        <v>1007.3</v>
      </c>
      <c r="N118" t="str">
        <f t="shared" si="10"/>
        <v>HOLDING REGISTER</v>
      </c>
      <c r="O118" t="str">
        <f t="shared" si="11"/>
        <v>BOOL</v>
      </c>
      <c r="P118" t="str">
        <f t="shared" si="12"/>
        <v>INTERRUTTORE 6</v>
      </c>
      <c r="R118" t="str">
        <f t="shared" si="13"/>
        <v>QSC -INTERRUTTORE QESP CHIUSO</v>
      </c>
      <c r="U118" t="str">
        <f t="shared" si="14"/>
        <v>Stato</v>
      </c>
      <c r="V118" t="str">
        <f t="shared" si="15"/>
        <v>QSC</v>
      </c>
      <c r="W118" t="str">
        <f t="shared" si="16"/>
        <v>CABINA PRINCIPALE</v>
      </c>
      <c r="Z118" t="str">
        <f t="shared" si="17"/>
        <v>10.220.80.16</v>
      </c>
    </row>
    <row r="119" spans="1:26" x14ac:dyDescent="0.25">
      <c r="A119" t="s">
        <v>10</v>
      </c>
      <c r="B119" t="s">
        <v>11</v>
      </c>
      <c r="C119" t="s">
        <v>266</v>
      </c>
      <c r="D119" t="s">
        <v>49</v>
      </c>
      <c r="E119">
        <v>6</v>
      </c>
      <c r="F119" t="s">
        <v>14</v>
      </c>
      <c r="G119" t="s">
        <v>28</v>
      </c>
      <c r="H119" t="s">
        <v>22</v>
      </c>
      <c r="I119" t="s">
        <v>285</v>
      </c>
      <c r="J119" t="s">
        <v>286</v>
      </c>
      <c r="K119" t="str">
        <f t="shared" si="9"/>
        <v>1007.4</v>
      </c>
      <c r="N119" t="str">
        <f t="shared" si="10"/>
        <v>HOLDING REGISTER</v>
      </c>
      <c r="O119" t="str">
        <f t="shared" si="11"/>
        <v>BOOL</v>
      </c>
      <c r="P119" t="str">
        <f t="shared" si="12"/>
        <v>INTERRUTTORE 6</v>
      </c>
      <c r="R119" t="str">
        <f t="shared" si="13"/>
        <v>QSC -INTERRUTTORE QESP SCATTATO</v>
      </c>
      <c r="U119" t="str">
        <f t="shared" si="14"/>
        <v>Allarme</v>
      </c>
      <c r="V119" t="str">
        <f t="shared" si="15"/>
        <v>QSC</v>
      </c>
      <c r="W119" t="str">
        <f t="shared" si="16"/>
        <v>CABINA PRINCIPALE</v>
      </c>
      <c r="Z119" t="str">
        <f t="shared" si="17"/>
        <v>10.220.80.16</v>
      </c>
    </row>
    <row r="120" spans="1:26" x14ac:dyDescent="0.25">
      <c r="A120" t="s">
        <v>10</v>
      </c>
      <c r="B120" t="s">
        <v>11</v>
      </c>
      <c r="C120" t="s">
        <v>266</v>
      </c>
      <c r="D120" t="s">
        <v>49</v>
      </c>
      <c r="E120">
        <v>7</v>
      </c>
      <c r="F120" t="s">
        <v>14</v>
      </c>
      <c r="G120" t="s">
        <v>21</v>
      </c>
      <c r="H120" t="s">
        <v>22</v>
      </c>
      <c r="I120" t="s">
        <v>287</v>
      </c>
      <c r="J120" t="s">
        <v>288</v>
      </c>
      <c r="K120" t="str">
        <f t="shared" si="9"/>
        <v>1007.5</v>
      </c>
      <c r="N120" t="str">
        <f t="shared" si="10"/>
        <v>HOLDING REGISTER</v>
      </c>
      <c r="O120" t="str">
        <f t="shared" si="11"/>
        <v>BOOL</v>
      </c>
      <c r="P120" t="str">
        <f t="shared" si="12"/>
        <v>INTERRUTTORE 7</v>
      </c>
      <c r="R120" t="str">
        <f t="shared" si="13"/>
        <v>QSC -INTERRUTTORE QSCO CHIUSO</v>
      </c>
      <c r="U120" t="str">
        <f t="shared" si="14"/>
        <v>Stato</v>
      </c>
      <c r="V120" t="str">
        <f t="shared" si="15"/>
        <v>QSC</v>
      </c>
      <c r="W120" t="str">
        <f t="shared" si="16"/>
        <v>CABINA PRINCIPALE</v>
      </c>
      <c r="Z120" t="str">
        <f t="shared" si="17"/>
        <v>10.220.80.16</v>
      </c>
    </row>
    <row r="121" spans="1:26" x14ac:dyDescent="0.25">
      <c r="A121" t="s">
        <v>10</v>
      </c>
      <c r="B121" t="s">
        <v>11</v>
      </c>
      <c r="C121" t="s">
        <v>266</v>
      </c>
      <c r="D121" t="s">
        <v>49</v>
      </c>
      <c r="E121">
        <v>7</v>
      </c>
      <c r="F121" t="s">
        <v>14</v>
      </c>
      <c r="G121" t="s">
        <v>28</v>
      </c>
      <c r="H121" t="s">
        <v>22</v>
      </c>
      <c r="I121" t="s">
        <v>289</v>
      </c>
      <c r="J121" t="s">
        <v>290</v>
      </c>
      <c r="K121" t="str">
        <f t="shared" si="9"/>
        <v>1007.6</v>
      </c>
      <c r="N121" t="str">
        <f t="shared" si="10"/>
        <v>HOLDING REGISTER</v>
      </c>
      <c r="O121" t="str">
        <f t="shared" si="11"/>
        <v>BOOL</v>
      </c>
      <c r="P121" t="str">
        <f t="shared" si="12"/>
        <v>INTERRUTTORE 7</v>
      </c>
      <c r="R121" t="str">
        <f t="shared" si="13"/>
        <v>QSC -INTERRUTTORE QSCO SCATTATO</v>
      </c>
      <c r="U121" t="str">
        <f t="shared" si="14"/>
        <v>Allarme</v>
      </c>
      <c r="V121" t="str">
        <f t="shared" si="15"/>
        <v>QSC</v>
      </c>
      <c r="W121" t="str">
        <f t="shared" si="16"/>
        <v>CABINA PRINCIPALE</v>
      </c>
      <c r="Z121" t="str">
        <f t="shared" si="17"/>
        <v>10.220.80.16</v>
      </c>
    </row>
    <row r="122" spans="1:26" x14ac:dyDescent="0.25">
      <c r="A122" t="s">
        <v>10</v>
      </c>
      <c r="B122" t="s">
        <v>11</v>
      </c>
      <c r="C122" t="s">
        <v>266</v>
      </c>
      <c r="D122" t="s">
        <v>49</v>
      </c>
      <c r="E122">
        <v>10</v>
      </c>
      <c r="F122" t="s">
        <v>14</v>
      </c>
      <c r="G122" t="s">
        <v>21</v>
      </c>
      <c r="H122" t="s">
        <v>22</v>
      </c>
      <c r="I122" t="s">
        <v>291</v>
      </c>
      <c r="J122" t="s">
        <v>292</v>
      </c>
      <c r="K122" t="str">
        <f t="shared" si="9"/>
        <v>1007.7</v>
      </c>
      <c r="N122" t="str">
        <f t="shared" si="10"/>
        <v>HOLDING REGISTER</v>
      </c>
      <c r="O122" t="str">
        <f t="shared" si="11"/>
        <v>BOOL</v>
      </c>
      <c r="P122" t="str">
        <f t="shared" si="12"/>
        <v>INTERRUTTORE 10</v>
      </c>
      <c r="R122" t="str">
        <f t="shared" si="13"/>
        <v>QSC -INTERRUTTORE ILLUMINAZIONE PIAZZALE CHIUSO</v>
      </c>
      <c r="U122" t="str">
        <f t="shared" si="14"/>
        <v>Stato</v>
      </c>
      <c r="V122" t="str">
        <f t="shared" si="15"/>
        <v>QSC</v>
      </c>
      <c r="W122" t="str">
        <f t="shared" si="16"/>
        <v>CABINA PRINCIPALE</v>
      </c>
      <c r="Z122" t="str">
        <f t="shared" si="17"/>
        <v>10.220.80.16</v>
      </c>
    </row>
    <row r="123" spans="1:26" x14ac:dyDescent="0.25">
      <c r="A123" t="s">
        <v>10</v>
      </c>
      <c r="B123" t="s">
        <v>11</v>
      </c>
      <c r="C123" t="s">
        <v>266</v>
      </c>
      <c r="D123" t="s">
        <v>49</v>
      </c>
      <c r="E123">
        <v>10</v>
      </c>
      <c r="F123" t="s">
        <v>14</v>
      </c>
      <c r="G123" t="s">
        <v>28</v>
      </c>
      <c r="H123" t="s">
        <v>22</v>
      </c>
      <c r="I123" t="s">
        <v>293</v>
      </c>
      <c r="J123" t="s">
        <v>294</v>
      </c>
      <c r="K123" t="str">
        <f t="shared" si="9"/>
        <v>1007.8</v>
      </c>
      <c r="N123" t="str">
        <f t="shared" si="10"/>
        <v>HOLDING REGISTER</v>
      </c>
      <c r="O123" t="str">
        <f t="shared" si="11"/>
        <v>BOOL</v>
      </c>
      <c r="P123" t="str">
        <f t="shared" si="12"/>
        <v>INTERRUTTORE 10</v>
      </c>
      <c r="R123" t="str">
        <f t="shared" si="13"/>
        <v>QSC -INTERRUTTORE ILLUMINAZIONE PIAZZALE SCATTATO</v>
      </c>
      <c r="U123" t="str">
        <f t="shared" si="14"/>
        <v>Allarme</v>
      </c>
      <c r="V123" t="str">
        <f t="shared" si="15"/>
        <v>QSC</v>
      </c>
      <c r="W123" t="str">
        <f t="shared" si="16"/>
        <v>CABINA PRINCIPALE</v>
      </c>
      <c r="Z123" t="str">
        <f t="shared" si="17"/>
        <v>10.220.80.16</v>
      </c>
    </row>
    <row r="124" spans="1:26" x14ac:dyDescent="0.25">
      <c r="A124" t="s">
        <v>10</v>
      </c>
      <c r="B124" t="s">
        <v>11</v>
      </c>
      <c r="C124" t="s">
        <v>266</v>
      </c>
      <c r="D124" t="s">
        <v>49</v>
      </c>
      <c r="E124" t="s">
        <v>295</v>
      </c>
      <c r="F124" t="s">
        <v>14</v>
      </c>
      <c r="G124" t="s">
        <v>28</v>
      </c>
      <c r="H124" t="s">
        <v>22</v>
      </c>
      <c r="I124" t="s">
        <v>296</v>
      </c>
      <c r="J124" t="s">
        <v>297</v>
      </c>
      <c r="K124" t="str">
        <f t="shared" si="9"/>
        <v>1007.9</v>
      </c>
      <c r="N124" t="str">
        <f t="shared" si="10"/>
        <v>HOLDING REGISTER</v>
      </c>
      <c r="O124" t="str">
        <f t="shared" si="11"/>
        <v>BOOL</v>
      </c>
      <c r="P124" t="str">
        <f t="shared" si="12"/>
        <v>INTERRUTTORE 2K1</v>
      </c>
      <c r="R124" t="str">
        <f t="shared" si="13"/>
        <v>QSC -Contattore ILLUMINAZIONE PIAZZALE Attivo</v>
      </c>
      <c r="U124" t="str">
        <f t="shared" si="14"/>
        <v>Allarme</v>
      </c>
      <c r="V124" t="str">
        <f t="shared" si="15"/>
        <v>QSC</v>
      </c>
      <c r="W124" t="str">
        <f t="shared" si="16"/>
        <v>CABINA PRINCIPALE</v>
      </c>
      <c r="Z124" t="str">
        <f t="shared" si="17"/>
        <v>10.220.80.16</v>
      </c>
    </row>
    <row r="125" spans="1:26" x14ac:dyDescent="0.25">
      <c r="A125" t="s">
        <v>10</v>
      </c>
      <c r="B125" t="s">
        <v>11</v>
      </c>
      <c r="C125" t="s">
        <v>266</v>
      </c>
      <c r="D125" t="s">
        <v>49</v>
      </c>
      <c r="E125" t="s">
        <v>106</v>
      </c>
      <c r="F125" t="s">
        <v>14</v>
      </c>
      <c r="G125" t="s">
        <v>28</v>
      </c>
      <c r="H125" t="s">
        <v>22</v>
      </c>
      <c r="I125" t="s">
        <v>298</v>
      </c>
      <c r="J125" t="s">
        <v>299</v>
      </c>
      <c r="K125" t="str">
        <f t="shared" si="9"/>
        <v>1007.10</v>
      </c>
      <c r="N125" t="str">
        <f t="shared" si="10"/>
        <v>HOLDING REGISTER</v>
      </c>
      <c r="O125" t="str">
        <f t="shared" si="11"/>
        <v>BOOL</v>
      </c>
      <c r="P125" t="str">
        <f t="shared" si="12"/>
        <v>INTERRUTTORE SPD2</v>
      </c>
      <c r="R125" t="str">
        <f t="shared" si="13"/>
        <v>QSC -LIMITATORE DI SOVRATENSIONE INTERVENUTO SEZ. UPS</v>
      </c>
      <c r="U125" t="str">
        <f t="shared" si="14"/>
        <v>Allarme</v>
      </c>
      <c r="V125" t="str">
        <f t="shared" si="15"/>
        <v>QSC</v>
      </c>
      <c r="W125" t="str">
        <f t="shared" si="16"/>
        <v>CABINA PRINCIPALE</v>
      </c>
      <c r="Z125" t="str">
        <f t="shared" si="17"/>
        <v>10.220.80.16</v>
      </c>
    </row>
    <row r="126" spans="1:26" x14ac:dyDescent="0.25">
      <c r="A126" t="s">
        <v>10</v>
      </c>
      <c r="B126" t="s">
        <v>11</v>
      </c>
      <c r="C126" t="s">
        <v>266</v>
      </c>
      <c r="D126" t="s">
        <v>49</v>
      </c>
      <c r="E126">
        <v>22</v>
      </c>
      <c r="F126" t="s">
        <v>14</v>
      </c>
      <c r="G126" t="s">
        <v>21</v>
      </c>
      <c r="H126" t="s">
        <v>22</v>
      </c>
      <c r="I126" t="s">
        <v>300</v>
      </c>
      <c r="J126" t="s">
        <v>301</v>
      </c>
      <c r="K126" t="str">
        <f t="shared" si="9"/>
        <v>1007.11</v>
      </c>
      <c r="N126" t="str">
        <f t="shared" si="10"/>
        <v>HOLDING REGISTER</v>
      </c>
      <c r="O126" t="str">
        <f t="shared" si="11"/>
        <v>BOOL</v>
      </c>
      <c r="P126" t="str">
        <f t="shared" si="12"/>
        <v>INTERRUTTORE 22</v>
      </c>
      <c r="R126" t="str">
        <f t="shared" si="13"/>
        <v>QSC -INTERRUTTORE CENTR.RIL. INCENDI GALL. S.GIULIANO CHIUSO</v>
      </c>
      <c r="U126" t="str">
        <f t="shared" si="14"/>
        <v>Stato</v>
      </c>
      <c r="V126" t="str">
        <f t="shared" si="15"/>
        <v>QSC</v>
      </c>
      <c r="W126" t="str">
        <f t="shared" si="16"/>
        <v>CABINA PRINCIPALE</v>
      </c>
      <c r="Z126" t="str">
        <f t="shared" si="17"/>
        <v>10.220.80.16</v>
      </c>
    </row>
    <row r="127" spans="1:26" x14ac:dyDescent="0.25">
      <c r="A127" t="s">
        <v>10</v>
      </c>
      <c r="B127" t="s">
        <v>11</v>
      </c>
      <c r="C127" t="s">
        <v>266</v>
      </c>
      <c r="D127" t="s">
        <v>49</v>
      </c>
      <c r="E127">
        <v>22</v>
      </c>
      <c r="F127" t="s">
        <v>14</v>
      </c>
      <c r="G127" t="s">
        <v>28</v>
      </c>
      <c r="H127" t="s">
        <v>22</v>
      </c>
      <c r="I127" t="s">
        <v>302</v>
      </c>
      <c r="J127" t="s">
        <v>303</v>
      </c>
      <c r="K127" t="str">
        <f t="shared" si="9"/>
        <v>1007.12</v>
      </c>
      <c r="N127" t="str">
        <f t="shared" si="10"/>
        <v>HOLDING REGISTER</v>
      </c>
      <c r="O127" t="str">
        <f t="shared" si="11"/>
        <v>BOOL</v>
      </c>
      <c r="P127" t="str">
        <f t="shared" si="12"/>
        <v>INTERRUTTORE 22</v>
      </c>
      <c r="R127" t="str">
        <f t="shared" si="13"/>
        <v>QSC -INTERRUTTORE CENTR.RIL. INCENDI GALL. S.GIULIANO SCATTATO</v>
      </c>
      <c r="U127" t="str">
        <f t="shared" si="14"/>
        <v>Allarme</v>
      </c>
      <c r="V127" t="str">
        <f t="shared" si="15"/>
        <v>QSC</v>
      </c>
      <c r="W127" t="str">
        <f t="shared" si="16"/>
        <v>CABINA PRINCIPALE</v>
      </c>
      <c r="Z127" t="str">
        <f t="shared" si="17"/>
        <v>10.220.80.16</v>
      </c>
    </row>
    <row r="128" spans="1:26" x14ac:dyDescent="0.25">
      <c r="A128" t="s">
        <v>10</v>
      </c>
      <c r="B128" t="s">
        <v>11</v>
      </c>
      <c r="C128" t="s">
        <v>266</v>
      </c>
      <c r="D128" t="s">
        <v>49</v>
      </c>
      <c r="E128">
        <v>23</v>
      </c>
      <c r="F128" t="s">
        <v>14</v>
      </c>
      <c r="G128" t="s">
        <v>21</v>
      </c>
      <c r="H128" t="s">
        <v>22</v>
      </c>
      <c r="I128" t="s">
        <v>304</v>
      </c>
      <c r="J128" t="s">
        <v>305</v>
      </c>
      <c r="K128" t="str">
        <f t="shared" si="9"/>
        <v>1007.13</v>
      </c>
      <c r="N128" t="str">
        <f t="shared" si="10"/>
        <v>HOLDING REGISTER</v>
      </c>
      <c r="O128" t="str">
        <f t="shared" si="11"/>
        <v>BOOL</v>
      </c>
      <c r="P128" t="str">
        <f t="shared" si="12"/>
        <v>INTERRUTTORE 23</v>
      </c>
      <c r="R128" t="str">
        <f t="shared" si="13"/>
        <v>QSC -INTERRUTTORE CENTR.RIL. INCENDI GALL. CASOLA CHIUSO</v>
      </c>
      <c r="U128" t="str">
        <f t="shared" si="14"/>
        <v>Stato</v>
      </c>
      <c r="V128" t="str">
        <f t="shared" si="15"/>
        <v>QSC</v>
      </c>
      <c r="W128" t="str">
        <f t="shared" si="16"/>
        <v>CABINA PRINCIPALE</v>
      </c>
      <c r="Z128" t="str">
        <f t="shared" si="17"/>
        <v>10.220.80.16</v>
      </c>
    </row>
    <row r="129" spans="1:26" x14ac:dyDescent="0.25">
      <c r="A129" t="s">
        <v>10</v>
      </c>
      <c r="B129" t="s">
        <v>11</v>
      </c>
      <c r="C129" t="s">
        <v>266</v>
      </c>
      <c r="D129" t="s">
        <v>49</v>
      </c>
      <c r="E129">
        <v>23</v>
      </c>
      <c r="F129" t="s">
        <v>14</v>
      </c>
      <c r="G129" t="s">
        <v>28</v>
      </c>
      <c r="H129" t="s">
        <v>22</v>
      </c>
      <c r="I129" t="s">
        <v>306</v>
      </c>
      <c r="J129" t="s">
        <v>307</v>
      </c>
      <c r="K129" t="str">
        <f t="shared" si="9"/>
        <v>1007.14</v>
      </c>
      <c r="N129" t="str">
        <f t="shared" si="10"/>
        <v>HOLDING REGISTER</v>
      </c>
      <c r="O129" t="str">
        <f t="shared" si="11"/>
        <v>BOOL</v>
      </c>
      <c r="P129" t="str">
        <f t="shared" si="12"/>
        <v>INTERRUTTORE 23</v>
      </c>
      <c r="R129" t="str">
        <f t="shared" si="13"/>
        <v>QSC -INTERRUTTORE CENTR.RIL. INCENDI GALL. CASOLA SCATTATO</v>
      </c>
      <c r="U129" t="str">
        <f t="shared" si="14"/>
        <v>Allarme</v>
      </c>
      <c r="V129" t="str">
        <f t="shared" si="15"/>
        <v>QSC</v>
      </c>
      <c r="W129" t="str">
        <f t="shared" si="16"/>
        <v>CABINA PRINCIPALE</v>
      </c>
      <c r="Z129" t="str">
        <f t="shared" si="17"/>
        <v>10.220.80.16</v>
      </c>
    </row>
    <row r="130" spans="1:26" x14ac:dyDescent="0.25">
      <c r="A130" t="s">
        <v>10</v>
      </c>
      <c r="B130" t="s">
        <v>11</v>
      </c>
      <c r="C130" t="s">
        <v>266</v>
      </c>
      <c r="D130" t="s">
        <v>49</v>
      </c>
      <c r="E130">
        <v>25</v>
      </c>
      <c r="F130" t="s">
        <v>14</v>
      </c>
      <c r="G130" t="s">
        <v>21</v>
      </c>
      <c r="H130" t="s">
        <v>22</v>
      </c>
      <c r="I130" t="s">
        <v>308</v>
      </c>
      <c r="J130" t="s">
        <v>309</v>
      </c>
      <c r="K130" t="str">
        <f t="shared" si="9"/>
        <v>1007.15</v>
      </c>
      <c r="N130" t="str">
        <f t="shared" si="10"/>
        <v>HOLDING REGISTER</v>
      </c>
      <c r="O130" t="str">
        <f t="shared" si="11"/>
        <v>BOOL</v>
      </c>
      <c r="P130" t="str">
        <f t="shared" si="12"/>
        <v>INTERRUTTORE 25</v>
      </c>
      <c r="R130" t="str">
        <f t="shared" si="13"/>
        <v>QSC -INTERRUTTORE Q.RACK TVCC CHIUSO</v>
      </c>
      <c r="U130" t="str">
        <f t="shared" si="14"/>
        <v>Stato</v>
      </c>
      <c r="V130" t="str">
        <f t="shared" si="15"/>
        <v>QSC</v>
      </c>
      <c r="W130" t="str">
        <f t="shared" si="16"/>
        <v>CABINA PRINCIPALE</v>
      </c>
      <c r="Z130" t="str">
        <f t="shared" si="17"/>
        <v>10.220.80.16</v>
      </c>
    </row>
    <row r="131" spans="1:26" x14ac:dyDescent="0.25">
      <c r="A131" t="s">
        <v>10</v>
      </c>
      <c r="B131" t="s">
        <v>11</v>
      </c>
      <c r="C131" t="s">
        <v>266</v>
      </c>
      <c r="D131" t="s">
        <v>49</v>
      </c>
      <c r="E131">
        <v>25</v>
      </c>
      <c r="F131" t="s">
        <v>14</v>
      </c>
      <c r="G131" t="s">
        <v>28</v>
      </c>
      <c r="H131" t="s">
        <v>22</v>
      </c>
      <c r="I131" t="s">
        <v>310</v>
      </c>
      <c r="J131" t="s">
        <v>311</v>
      </c>
      <c r="K131" t="str">
        <f t="shared" ref="K131:K194" si="18">IF(I131="","",I131)</f>
        <v>1008.0</v>
      </c>
      <c r="N131" t="str">
        <f t="shared" ref="N131:N194" si="19">IF(F131="","",F131)</f>
        <v>HOLDING REGISTER</v>
      </c>
      <c r="O131" t="str">
        <f t="shared" ref="O131:O194" si="20">IF(H131="","",H131)</f>
        <v>BOOL</v>
      </c>
      <c r="P131" t="str">
        <f t="shared" ref="P131:P194" si="21">_xlfn.CONCAT(D131," ",E131)</f>
        <v>INTERRUTTORE 25</v>
      </c>
      <c r="R131" t="str">
        <f t="shared" ref="R131:R194" si="22">IF(J131="","",J131)</f>
        <v>QSC -INTERRUTTORE Q.RACK TVCC SCATTATO</v>
      </c>
      <c r="U131" t="str">
        <f t="shared" ref="U131:U194" si="23">IF(G131="","",G131)</f>
        <v>Allarme</v>
      </c>
      <c r="V131" t="str">
        <f t="shared" ref="V131:V194" si="24">IF(C131="","",C131)</f>
        <v>QSC</v>
      </c>
      <c r="W131" t="str">
        <f t="shared" ref="W131:W194" si="25">IF(B131="","",B131)</f>
        <v>CABINA PRINCIPALE</v>
      </c>
      <c r="Z131" t="str">
        <f t="shared" ref="Z131:Z194" si="26">IF(A131="","",A131)</f>
        <v>10.220.80.16</v>
      </c>
    </row>
    <row r="132" spans="1:26" x14ac:dyDescent="0.25">
      <c r="A132" t="s">
        <v>10</v>
      </c>
      <c r="B132" t="s">
        <v>11</v>
      </c>
      <c r="C132" t="s">
        <v>266</v>
      </c>
      <c r="D132" t="s">
        <v>49</v>
      </c>
      <c r="E132">
        <v>26</v>
      </c>
      <c r="F132" t="s">
        <v>14</v>
      </c>
      <c r="G132" t="s">
        <v>21</v>
      </c>
      <c r="H132" t="s">
        <v>22</v>
      </c>
      <c r="I132" t="s">
        <v>312</v>
      </c>
      <c r="J132" t="s">
        <v>313</v>
      </c>
      <c r="K132" t="str">
        <f t="shared" si="18"/>
        <v>1008.1</v>
      </c>
      <c r="N132" t="str">
        <f t="shared" si="19"/>
        <v>HOLDING REGISTER</v>
      </c>
      <c r="O132" t="str">
        <f t="shared" si="20"/>
        <v>BOOL</v>
      </c>
      <c r="P132" t="str">
        <f t="shared" si="21"/>
        <v>INTERRUTTORE 26</v>
      </c>
      <c r="R132" t="str">
        <f t="shared" si="22"/>
        <v>QSC -INTERRUTTORE Q.RACK RETE DATI CHIUSO</v>
      </c>
      <c r="U132" t="str">
        <f t="shared" si="23"/>
        <v>Stato</v>
      </c>
      <c r="V132" t="str">
        <f t="shared" si="24"/>
        <v>QSC</v>
      </c>
      <c r="W132" t="str">
        <f t="shared" si="25"/>
        <v>CABINA PRINCIPALE</v>
      </c>
      <c r="Z132" t="str">
        <f t="shared" si="26"/>
        <v>10.220.80.16</v>
      </c>
    </row>
    <row r="133" spans="1:26" x14ac:dyDescent="0.25">
      <c r="A133" t="s">
        <v>10</v>
      </c>
      <c r="B133" t="s">
        <v>11</v>
      </c>
      <c r="C133" t="s">
        <v>266</v>
      </c>
      <c r="D133" t="s">
        <v>49</v>
      </c>
      <c r="E133">
        <v>26</v>
      </c>
      <c r="F133" t="s">
        <v>14</v>
      </c>
      <c r="G133" t="s">
        <v>28</v>
      </c>
      <c r="H133" t="s">
        <v>22</v>
      </c>
      <c r="I133" t="s">
        <v>314</v>
      </c>
      <c r="J133" t="s">
        <v>315</v>
      </c>
      <c r="K133" t="str">
        <f t="shared" si="18"/>
        <v>1008.2</v>
      </c>
      <c r="N133" t="str">
        <f t="shared" si="19"/>
        <v>HOLDING REGISTER</v>
      </c>
      <c r="O133" t="str">
        <f t="shared" si="20"/>
        <v>BOOL</v>
      </c>
      <c r="P133" t="str">
        <f t="shared" si="21"/>
        <v>INTERRUTTORE 26</v>
      </c>
      <c r="R133" t="str">
        <f t="shared" si="22"/>
        <v>QSC -INTERRUTTORE Q.RACK RETE DATI SCATTATO</v>
      </c>
      <c r="U133" t="str">
        <f t="shared" si="23"/>
        <v>Allarme</v>
      </c>
      <c r="V133" t="str">
        <f t="shared" si="24"/>
        <v>QSC</v>
      </c>
      <c r="W133" t="str">
        <f t="shared" si="25"/>
        <v>CABINA PRINCIPALE</v>
      </c>
      <c r="Z133" t="str">
        <f t="shared" si="26"/>
        <v>10.220.80.16</v>
      </c>
    </row>
    <row r="134" spans="1:26" x14ac:dyDescent="0.25">
      <c r="A134" t="s">
        <v>10</v>
      </c>
      <c r="B134" t="s">
        <v>11</v>
      </c>
      <c r="C134" t="s">
        <v>266</v>
      </c>
      <c r="D134" t="s">
        <v>49</v>
      </c>
      <c r="E134">
        <v>27</v>
      </c>
      <c r="F134" t="s">
        <v>14</v>
      </c>
      <c r="G134" t="s">
        <v>21</v>
      </c>
      <c r="H134" t="s">
        <v>22</v>
      </c>
      <c r="I134" t="s">
        <v>316</v>
      </c>
      <c r="J134" t="s">
        <v>317</v>
      </c>
      <c r="K134" t="str">
        <f t="shared" si="18"/>
        <v>1008.3</v>
      </c>
      <c r="N134" t="str">
        <f t="shared" si="19"/>
        <v>HOLDING REGISTER</v>
      </c>
      <c r="O134" t="str">
        <f t="shared" si="20"/>
        <v>BOOL</v>
      </c>
      <c r="P134" t="str">
        <f t="shared" si="21"/>
        <v>INTERRUTTORE 27</v>
      </c>
      <c r="R134" t="str">
        <f t="shared" si="22"/>
        <v>QSC -INTERRUTTORE Q.RACK RADIO CHIUSO</v>
      </c>
      <c r="U134" t="str">
        <f t="shared" si="23"/>
        <v>Stato</v>
      </c>
      <c r="V134" t="str">
        <f t="shared" si="24"/>
        <v>QSC</v>
      </c>
      <c r="W134" t="str">
        <f t="shared" si="25"/>
        <v>CABINA PRINCIPALE</v>
      </c>
      <c r="Z134" t="str">
        <f t="shared" si="26"/>
        <v>10.220.80.16</v>
      </c>
    </row>
    <row r="135" spans="1:26" x14ac:dyDescent="0.25">
      <c r="A135" t="s">
        <v>10</v>
      </c>
      <c r="B135" t="s">
        <v>11</v>
      </c>
      <c r="C135" t="s">
        <v>266</v>
      </c>
      <c r="D135" t="s">
        <v>49</v>
      </c>
      <c r="E135">
        <v>27</v>
      </c>
      <c r="F135" t="s">
        <v>14</v>
      </c>
      <c r="G135" t="s">
        <v>28</v>
      </c>
      <c r="H135" t="s">
        <v>22</v>
      </c>
      <c r="I135" t="s">
        <v>318</v>
      </c>
      <c r="J135" t="s">
        <v>319</v>
      </c>
      <c r="K135" t="str">
        <f t="shared" si="18"/>
        <v>1008.4</v>
      </c>
      <c r="N135" t="str">
        <f t="shared" si="19"/>
        <v>HOLDING REGISTER</v>
      </c>
      <c r="O135" t="str">
        <f t="shared" si="20"/>
        <v>BOOL</v>
      </c>
      <c r="P135" t="str">
        <f t="shared" si="21"/>
        <v>INTERRUTTORE 27</v>
      </c>
      <c r="R135" t="str">
        <f t="shared" si="22"/>
        <v>QSC -INTERRUTTORE Q.RACK RADIO SCATTATO</v>
      </c>
      <c r="U135" t="str">
        <f t="shared" si="23"/>
        <v>Allarme</v>
      </c>
      <c r="V135" t="str">
        <f t="shared" si="24"/>
        <v>QSC</v>
      </c>
      <c r="W135" t="str">
        <f t="shared" si="25"/>
        <v>CABINA PRINCIPALE</v>
      </c>
      <c r="Z135" t="str">
        <f t="shared" si="26"/>
        <v>10.220.80.16</v>
      </c>
    </row>
    <row r="136" spans="1:26" x14ac:dyDescent="0.25">
      <c r="A136" t="s">
        <v>10</v>
      </c>
      <c r="B136" t="s">
        <v>11</v>
      </c>
      <c r="C136" t="s">
        <v>266</v>
      </c>
      <c r="D136" t="s">
        <v>49</v>
      </c>
      <c r="E136">
        <v>29</v>
      </c>
      <c r="F136" t="s">
        <v>14</v>
      </c>
      <c r="G136" t="s">
        <v>21</v>
      </c>
      <c r="H136" t="s">
        <v>22</v>
      </c>
      <c r="I136" t="s">
        <v>320</v>
      </c>
      <c r="J136" t="s">
        <v>321</v>
      </c>
      <c r="K136" t="str">
        <f t="shared" si="18"/>
        <v>1008.5</v>
      </c>
      <c r="N136" t="str">
        <f t="shared" si="19"/>
        <v>HOLDING REGISTER</v>
      </c>
      <c r="O136" t="str">
        <f t="shared" si="20"/>
        <v>BOOL</v>
      </c>
      <c r="P136" t="str">
        <f t="shared" si="21"/>
        <v>INTERRUTTORE 29</v>
      </c>
      <c r="R136" t="str">
        <f t="shared" si="22"/>
        <v>QSC -INTERRUTTORE RISERVA CHIUSO</v>
      </c>
      <c r="U136" t="str">
        <f t="shared" si="23"/>
        <v>Stato</v>
      </c>
      <c r="V136" t="str">
        <f t="shared" si="24"/>
        <v>QSC</v>
      </c>
      <c r="W136" t="str">
        <f t="shared" si="25"/>
        <v>CABINA PRINCIPALE</v>
      </c>
      <c r="Z136" t="str">
        <f t="shared" si="26"/>
        <v>10.220.80.16</v>
      </c>
    </row>
    <row r="137" spans="1:26" x14ac:dyDescent="0.25">
      <c r="A137" t="s">
        <v>10</v>
      </c>
      <c r="B137" t="s">
        <v>11</v>
      </c>
      <c r="C137" t="s">
        <v>266</v>
      </c>
      <c r="D137" t="s">
        <v>49</v>
      </c>
      <c r="E137">
        <v>29</v>
      </c>
      <c r="F137" t="s">
        <v>14</v>
      </c>
      <c r="G137" t="s">
        <v>28</v>
      </c>
      <c r="H137" t="s">
        <v>22</v>
      </c>
      <c r="I137" t="s">
        <v>322</v>
      </c>
      <c r="J137" t="s">
        <v>323</v>
      </c>
      <c r="K137" t="str">
        <f t="shared" si="18"/>
        <v>1008.6</v>
      </c>
      <c r="N137" t="str">
        <f t="shared" si="19"/>
        <v>HOLDING REGISTER</v>
      </c>
      <c r="O137" t="str">
        <f t="shared" si="20"/>
        <v>BOOL</v>
      </c>
      <c r="P137" t="str">
        <f t="shared" si="21"/>
        <v>INTERRUTTORE 29</v>
      </c>
      <c r="R137" t="str">
        <f t="shared" si="22"/>
        <v>QSC -INTERRUTTORE RISERVA SCATTATO</v>
      </c>
      <c r="U137" t="str">
        <f t="shared" si="23"/>
        <v>Allarme</v>
      </c>
      <c r="V137" t="str">
        <f t="shared" si="24"/>
        <v>QSC</v>
      </c>
      <c r="W137" t="str">
        <f t="shared" si="25"/>
        <v>CABINA PRINCIPALE</v>
      </c>
      <c r="Z137" t="str">
        <f t="shared" si="26"/>
        <v>10.220.80.16</v>
      </c>
    </row>
    <row r="138" spans="1:26" x14ac:dyDescent="0.25">
      <c r="A138" t="s">
        <v>10</v>
      </c>
      <c r="B138" t="s">
        <v>11</v>
      </c>
      <c r="C138" t="s">
        <v>266</v>
      </c>
      <c r="D138" t="s">
        <v>49</v>
      </c>
      <c r="E138">
        <v>30</v>
      </c>
      <c r="F138" t="s">
        <v>14</v>
      </c>
      <c r="G138" t="s">
        <v>21</v>
      </c>
      <c r="H138" t="s">
        <v>22</v>
      </c>
      <c r="I138" t="s">
        <v>324</v>
      </c>
      <c r="J138" t="s">
        <v>321</v>
      </c>
      <c r="K138" t="str">
        <f t="shared" si="18"/>
        <v>1008.7</v>
      </c>
      <c r="N138" t="str">
        <f t="shared" si="19"/>
        <v>HOLDING REGISTER</v>
      </c>
      <c r="O138" t="str">
        <f t="shared" si="20"/>
        <v>BOOL</v>
      </c>
      <c r="P138" t="str">
        <f t="shared" si="21"/>
        <v>INTERRUTTORE 30</v>
      </c>
      <c r="R138" t="str">
        <f t="shared" si="22"/>
        <v>QSC -INTERRUTTORE RISERVA CHIUSO</v>
      </c>
      <c r="U138" t="str">
        <f t="shared" si="23"/>
        <v>Stato</v>
      </c>
      <c r="V138" t="str">
        <f t="shared" si="24"/>
        <v>QSC</v>
      </c>
      <c r="W138" t="str">
        <f t="shared" si="25"/>
        <v>CABINA PRINCIPALE</v>
      </c>
      <c r="Z138" t="str">
        <f t="shared" si="26"/>
        <v>10.220.80.16</v>
      </c>
    </row>
    <row r="139" spans="1:26" x14ac:dyDescent="0.25">
      <c r="A139" t="s">
        <v>10</v>
      </c>
      <c r="B139" t="s">
        <v>11</v>
      </c>
      <c r="C139" t="s">
        <v>266</v>
      </c>
      <c r="D139" t="s">
        <v>49</v>
      </c>
      <c r="E139">
        <v>30</v>
      </c>
      <c r="F139" t="s">
        <v>14</v>
      </c>
      <c r="G139" t="s">
        <v>28</v>
      </c>
      <c r="H139" t="s">
        <v>22</v>
      </c>
      <c r="I139" t="s">
        <v>325</v>
      </c>
      <c r="J139" t="s">
        <v>323</v>
      </c>
      <c r="K139" t="str">
        <f t="shared" si="18"/>
        <v>1008.8</v>
      </c>
      <c r="N139" t="str">
        <f t="shared" si="19"/>
        <v>HOLDING REGISTER</v>
      </c>
      <c r="O139" t="str">
        <f t="shared" si="20"/>
        <v>BOOL</v>
      </c>
      <c r="P139" t="str">
        <f t="shared" si="21"/>
        <v>INTERRUTTORE 30</v>
      </c>
      <c r="R139" t="str">
        <f t="shared" si="22"/>
        <v>QSC -INTERRUTTORE RISERVA SCATTATO</v>
      </c>
      <c r="U139" t="str">
        <f t="shared" si="23"/>
        <v>Allarme</v>
      </c>
      <c r="V139" t="str">
        <f t="shared" si="24"/>
        <v>QSC</v>
      </c>
      <c r="W139" t="str">
        <f t="shared" si="25"/>
        <v>CABINA PRINCIPALE</v>
      </c>
      <c r="Z139" t="str">
        <f t="shared" si="26"/>
        <v>10.220.80.16</v>
      </c>
    </row>
    <row r="140" spans="1:26" x14ac:dyDescent="0.25">
      <c r="A140" t="s">
        <v>10</v>
      </c>
      <c r="B140" t="s">
        <v>11</v>
      </c>
      <c r="C140" t="s">
        <v>266</v>
      </c>
      <c r="D140" t="s">
        <v>49</v>
      </c>
      <c r="E140">
        <v>32</v>
      </c>
      <c r="F140" t="s">
        <v>14</v>
      </c>
      <c r="G140" t="s">
        <v>21</v>
      </c>
      <c r="H140" t="s">
        <v>22</v>
      </c>
      <c r="I140" t="s">
        <v>326</v>
      </c>
      <c r="J140" t="s">
        <v>327</v>
      </c>
      <c r="K140" t="str">
        <f t="shared" si="18"/>
        <v>1008.9</v>
      </c>
      <c r="N140" t="str">
        <f t="shared" si="19"/>
        <v>HOLDING REGISTER</v>
      </c>
      <c r="O140" t="str">
        <f t="shared" si="20"/>
        <v>BOOL</v>
      </c>
      <c r="P140" t="str">
        <f t="shared" si="21"/>
        <v>INTERRUTTORE 32</v>
      </c>
      <c r="R140" t="str">
        <f t="shared" si="22"/>
        <v>QSC -INTERRUTTORE Q_MOTOPOMPA GR.PRESS.NE CHIUSO</v>
      </c>
      <c r="U140" t="str">
        <f t="shared" si="23"/>
        <v>Stato</v>
      </c>
      <c r="V140" t="str">
        <f t="shared" si="24"/>
        <v>QSC</v>
      </c>
      <c r="W140" t="str">
        <f t="shared" si="25"/>
        <v>CABINA PRINCIPALE</v>
      </c>
      <c r="Z140" t="str">
        <f t="shared" si="26"/>
        <v>10.220.80.16</v>
      </c>
    </row>
    <row r="141" spans="1:26" x14ac:dyDescent="0.25">
      <c r="A141" t="s">
        <v>10</v>
      </c>
      <c r="B141" t="s">
        <v>11</v>
      </c>
      <c r="C141" t="s">
        <v>266</v>
      </c>
      <c r="D141" t="s">
        <v>49</v>
      </c>
      <c r="E141">
        <v>32</v>
      </c>
      <c r="F141" t="s">
        <v>14</v>
      </c>
      <c r="G141" t="s">
        <v>28</v>
      </c>
      <c r="H141" t="s">
        <v>22</v>
      </c>
      <c r="I141" t="s">
        <v>328</v>
      </c>
      <c r="J141" t="s">
        <v>329</v>
      </c>
      <c r="K141" t="str">
        <f t="shared" si="18"/>
        <v>1008.10</v>
      </c>
      <c r="N141" t="str">
        <f t="shared" si="19"/>
        <v>HOLDING REGISTER</v>
      </c>
      <c r="O141" t="str">
        <f t="shared" si="20"/>
        <v>BOOL</v>
      </c>
      <c r="P141" t="str">
        <f t="shared" si="21"/>
        <v>INTERRUTTORE 32</v>
      </c>
      <c r="R141" t="str">
        <f t="shared" si="22"/>
        <v>QSC -INTERRUTTORE Q_MOTOPOMPA GR.PRESS.NE SCATTATO</v>
      </c>
      <c r="U141" t="str">
        <f t="shared" si="23"/>
        <v>Allarme</v>
      </c>
      <c r="V141" t="str">
        <f t="shared" si="24"/>
        <v>QSC</v>
      </c>
      <c r="W141" t="str">
        <f t="shared" si="25"/>
        <v>CABINA PRINCIPALE</v>
      </c>
      <c r="Z141" t="str">
        <f t="shared" si="26"/>
        <v>10.220.80.16</v>
      </c>
    </row>
    <row r="142" spans="1:26" x14ac:dyDescent="0.25">
      <c r="A142" t="s">
        <v>10</v>
      </c>
      <c r="B142" t="s">
        <v>11</v>
      </c>
      <c r="C142" t="s">
        <v>266</v>
      </c>
      <c r="D142" t="s">
        <v>49</v>
      </c>
      <c r="E142">
        <v>33</v>
      </c>
      <c r="F142" t="s">
        <v>14</v>
      </c>
      <c r="G142" t="s">
        <v>21</v>
      </c>
      <c r="H142" t="s">
        <v>22</v>
      </c>
      <c r="I142" t="s">
        <v>330</v>
      </c>
      <c r="J142" t="s">
        <v>331</v>
      </c>
      <c r="K142" t="str">
        <f t="shared" si="18"/>
        <v>1008.11</v>
      </c>
      <c r="N142" t="str">
        <f t="shared" si="19"/>
        <v>HOLDING REGISTER</v>
      </c>
      <c r="O142" t="str">
        <f t="shared" si="20"/>
        <v>BOOL</v>
      </c>
      <c r="P142" t="str">
        <f t="shared" si="21"/>
        <v>INTERRUTTORE 33</v>
      </c>
      <c r="R142" t="str">
        <f t="shared" si="22"/>
        <v>QSC -INTERRUTTORE Q_POMPA PILOTA GR.PRESS.NE CHIUSO</v>
      </c>
      <c r="U142" t="str">
        <f t="shared" si="23"/>
        <v>Stato</v>
      </c>
      <c r="V142" t="str">
        <f t="shared" si="24"/>
        <v>QSC</v>
      </c>
      <c r="W142" t="str">
        <f t="shared" si="25"/>
        <v>CABINA PRINCIPALE</v>
      </c>
      <c r="Z142" t="str">
        <f t="shared" si="26"/>
        <v>10.220.80.16</v>
      </c>
    </row>
    <row r="143" spans="1:26" x14ac:dyDescent="0.25">
      <c r="A143" t="s">
        <v>10</v>
      </c>
      <c r="B143" t="s">
        <v>11</v>
      </c>
      <c r="C143" t="s">
        <v>266</v>
      </c>
      <c r="D143" t="s">
        <v>49</v>
      </c>
      <c r="E143">
        <v>33</v>
      </c>
      <c r="F143" t="s">
        <v>14</v>
      </c>
      <c r="G143" t="s">
        <v>28</v>
      </c>
      <c r="H143" t="s">
        <v>22</v>
      </c>
      <c r="I143" t="s">
        <v>332</v>
      </c>
      <c r="J143" t="s">
        <v>333</v>
      </c>
      <c r="K143" t="str">
        <f t="shared" si="18"/>
        <v>1008.12</v>
      </c>
      <c r="N143" t="str">
        <f t="shared" si="19"/>
        <v>HOLDING REGISTER</v>
      </c>
      <c r="O143" t="str">
        <f t="shared" si="20"/>
        <v>BOOL</v>
      </c>
      <c r="P143" t="str">
        <f t="shared" si="21"/>
        <v>INTERRUTTORE 33</v>
      </c>
      <c r="R143" t="str">
        <f t="shared" si="22"/>
        <v>QSC -INTERRUTTORE Q_POMPA PILOTA GR.PRESS.NE SCATTATO</v>
      </c>
      <c r="U143" t="str">
        <f t="shared" si="23"/>
        <v>Allarme</v>
      </c>
      <c r="V143" t="str">
        <f t="shared" si="24"/>
        <v>QSC</v>
      </c>
      <c r="W143" t="str">
        <f t="shared" si="25"/>
        <v>CABINA PRINCIPALE</v>
      </c>
      <c r="Z143" t="str">
        <f t="shared" si="26"/>
        <v>10.220.80.16</v>
      </c>
    </row>
    <row r="144" spans="1:26" x14ac:dyDescent="0.25">
      <c r="A144" t="s">
        <v>10</v>
      </c>
      <c r="B144" t="s">
        <v>11</v>
      </c>
      <c r="C144" t="s">
        <v>266</v>
      </c>
      <c r="D144" t="s">
        <v>49</v>
      </c>
      <c r="E144">
        <v>34</v>
      </c>
      <c r="F144" t="s">
        <v>14</v>
      </c>
      <c r="G144" t="s">
        <v>21</v>
      </c>
      <c r="H144" t="s">
        <v>22</v>
      </c>
      <c r="I144" t="s">
        <v>334</v>
      </c>
      <c r="J144" t="s">
        <v>335</v>
      </c>
      <c r="K144" t="str">
        <f t="shared" si="18"/>
        <v>1008.13</v>
      </c>
      <c r="N144" t="str">
        <f t="shared" si="19"/>
        <v>HOLDING REGISTER</v>
      </c>
      <c r="O144" t="str">
        <f t="shared" si="20"/>
        <v>BOOL</v>
      </c>
      <c r="P144" t="str">
        <f t="shared" si="21"/>
        <v>INTERRUTTORE 34</v>
      </c>
      <c r="R144" t="str">
        <f t="shared" si="22"/>
        <v>QSC -INTERRUTTORE Q_SERVIZI GR.PRESS.NE CHIUSO</v>
      </c>
      <c r="U144" t="str">
        <f t="shared" si="23"/>
        <v>Stato</v>
      </c>
      <c r="V144" t="str">
        <f t="shared" si="24"/>
        <v>QSC</v>
      </c>
      <c r="W144" t="str">
        <f t="shared" si="25"/>
        <v>CABINA PRINCIPALE</v>
      </c>
      <c r="Z144" t="str">
        <f t="shared" si="26"/>
        <v>10.220.80.16</v>
      </c>
    </row>
    <row r="145" spans="1:26" x14ac:dyDescent="0.25">
      <c r="A145" t="s">
        <v>10</v>
      </c>
      <c r="B145" t="s">
        <v>11</v>
      </c>
      <c r="C145" t="s">
        <v>266</v>
      </c>
      <c r="D145" t="s">
        <v>49</v>
      </c>
      <c r="E145">
        <v>34</v>
      </c>
      <c r="F145" t="s">
        <v>14</v>
      </c>
      <c r="G145" t="s">
        <v>28</v>
      </c>
      <c r="H145" t="s">
        <v>22</v>
      </c>
      <c r="I145" t="s">
        <v>336</v>
      </c>
      <c r="J145" t="s">
        <v>337</v>
      </c>
      <c r="K145" t="str">
        <f t="shared" si="18"/>
        <v>1008.14</v>
      </c>
      <c r="N145" t="str">
        <f t="shared" si="19"/>
        <v>HOLDING REGISTER</v>
      </c>
      <c r="O145" t="str">
        <f t="shared" si="20"/>
        <v>BOOL</v>
      </c>
      <c r="P145" t="str">
        <f t="shared" si="21"/>
        <v>INTERRUTTORE 34</v>
      </c>
      <c r="R145" t="str">
        <f t="shared" si="22"/>
        <v>QSC -INTERRUTTORE Q_SERVIZI GR.PRESS.NE SCATTATO</v>
      </c>
      <c r="U145" t="str">
        <f t="shared" si="23"/>
        <v>Allarme</v>
      </c>
      <c r="V145" t="str">
        <f t="shared" si="24"/>
        <v>QSC</v>
      </c>
      <c r="W145" t="str">
        <f t="shared" si="25"/>
        <v>CABINA PRINCIPALE</v>
      </c>
      <c r="Z145" t="str">
        <f t="shared" si="26"/>
        <v>10.220.80.16</v>
      </c>
    </row>
    <row r="146" spans="1:26" x14ac:dyDescent="0.25">
      <c r="A146" t="s">
        <v>10</v>
      </c>
      <c r="B146" t="s">
        <v>11</v>
      </c>
      <c r="C146" t="s">
        <v>266</v>
      </c>
      <c r="D146" t="s">
        <v>49</v>
      </c>
      <c r="E146">
        <v>36</v>
      </c>
      <c r="F146" t="s">
        <v>14</v>
      </c>
      <c r="G146" t="s">
        <v>21</v>
      </c>
      <c r="H146" t="s">
        <v>22</v>
      </c>
      <c r="I146" t="s">
        <v>338</v>
      </c>
      <c r="J146" t="s">
        <v>339</v>
      </c>
      <c r="K146" t="str">
        <f t="shared" si="18"/>
        <v>1008.15</v>
      </c>
      <c r="N146" t="str">
        <f t="shared" si="19"/>
        <v>HOLDING REGISTER</v>
      </c>
      <c r="O146" t="str">
        <f t="shared" si="20"/>
        <v>BOOL</v>
      </c>
      <c r="P146" t="str">
        <f t="shared" si="21"/>
        <v>INTERRUTTORE 36</v>
      </c>
      <c r="R146" t="str">
        <f t="shared" si="22"/>
        <v>QSC -INTERRUTTORE AUX QGBT1 CHIUSO</v>
      </c>
      <c r="U146" t="str">
        <f t="shared" si="23"/>
        <v>Stato</v>
      </c>
      <c r="V146" t="str">
        <f t="shared" si="24"/>
        <v>QSC</v>
      </c>
      <c r="W146" t="str">
        <f t="shared" si="25"/>
        <v>CABINA PRINCIPALE</v>
      </c>
      <c r="Z146" t="str">
        <f t="shared" si="26"/>
        <v>10.220.80.16</v>
      </c>
    </row>
    <row r="147" spans="1:26" x14ac:dyDescent="0.25">
      <c r="A147" t="s">
        <v>10</v>
      </c>
      <c r="B147" t="s">
        <v>11</v>
      </c>
      <c r="C147" t="s">
        <v>266</v>
      </c>
      <c r="D147" t="s">
        <v>49</v>
      </c>
      <c r="E147">
        <v>36</v>
      </c>
      <c r="F147" t="s">
        <v>14</v>
      </c>
      <c r="G147" t="s">
        <v>28</v>
      </c>
      <c r="H147" t="s">
        <v>22</v>
      </c>
      <c r="I147" t="s">
        <v>340</v>
      </c>
      <c r="J147" t="s">
        <v>341</v>
      </c>
      <c r="K147" t="str">
        <f t="shared" si="18"/>
        <v>1009.0</v>
      </c>
      <c r="N147" t="str">
        <f t="shared" si="19"/>
        <v>HOLDING REGISTER</v>
      </c>
      <c r="O147" t="str">
        <f t="shared" si="20"/>
        <v>BOOL</v>
      </c>
      <c r="P147" t="str">
        <f t="shared" si="21"/>
        <v>INTERRUTTORE 36</v>
      </c>
      <c r="R147" t="str">
        <f t="shared" si="22"/>
        <v>QSC -INTERRUTTORE AUX QGBT1 SCATTATO</v>
      </c>
      <c r="U147" t="str">
        <f t="shared" si="23"/>
        <v>Allarme</v>
      </c>
      <c r="V147" t="str">
        <f t="shared" si="24"/>
        <v>QSC</v>
      </c>
      <c r="W147" t="str">
        <f t="shared" si="25"/>
        <v>CABINA PRINCIPALE</v>
      </c>
      <c r="Z147" t="str">
        <f t="shared" si="26"/>
        <v>10.220.80.16</v>
      </c>
    </row>
    <row r="148" spans="1:26" x14ac:dyDescent="0.25">
      <c r="A148" t="s">
        <v>10</v>
      </c>
      <c r="B148" t="s">
        <v>11</v>
      </c>
      <c r="C148" t="s">
        <v>266</v>
      </c>
      <c r="D148" t="s">
        <v>49</v>
      </c>
      <c r="E148">
        <v>37</v>
      </c>
      <c r="F148" t="s">
        <v>14</v>
      </c>
      <c r="G148" t="s">
        <v>21</v>
      </c>
      <c r="H148" t="s">
        <v>22</v>
      </c>
      <c r="I148" t="s">
        <v>342</v>
      </c>
      <c r="J148" t="s">
        <v>343</v>
      </c>
      <c r="K148" t="str">
        <f t="shared" si="18"/>
        <v>1009.1</v>
      </c>
      <c r="N148" t="str">
        <f t="shared" si="19"/>
        <v>HOLDING REGISTER</v>
      </c>
      <c r="O148" t="str">
        <f t="shared" si="20"/>
        <v>BOOL</v>
      </c>
      <c r="P148" t="str">
        <f t="shared" si="21"/>
        <v>INTERRUTTORE 37</v>
      </c>
      <c r="R148" t="str">
        <f t="shared" si="22"/>
        <v>QSC -INTERRUTTORE AUX QGBT2 CHIUSO</v>
      </c>
      <c r="U148" t="str">
        <f t="shared" si="23"/>
        <v>Stato</v>
      </c>
      <c r="V148" t="str">
        <f t="shared" si="24"/>
        <v>QSC</v>
      </c>
      <c r="W148" t="str">
        <f t="shared" si="25"/>
        <v>CABINA PRINCIPALE</v>
      </c>
      <c r="Z148" t="str">
        <f t="shared" si="26"/>
        <v>10.220.80.16</v>
      </c>
    </row>
    <row r="149" spans="1:26" x14ac:dyDescent="0.25">
      <c r="A149" t="s">
        <v>10</v>
      </c>
      <c r="B149" t="s">
        <v>11</v>
      </c>
      <c r="C149" t="s">
        <v>266</v>
      </c>
      <c r="D149" t="s">
        <v>49</v>
      </c>
      <c r="E149">
        <v>37</v>
      </c>
      <c r="F149" t="s">
        <v>14</v>
      </c>
      <c r="G149" t="s">
        <v>28</v>
      </c>
      <c r="H149" t="s">
        <v>22</v>
      </c>
      <c r="I149" t="s">
        <v>344</v>
      </c>
      <c r="J149" t="s">
        <v>345</v>
      </c>
      <c r="K149" t="str">
        <f t="shared" si="18"/>
        <v>1009.2</v>
      </c>
      <c r="N149" t="str">
        <f t="shared" si="19"/>
        <v>HOLDING REGISTER</v>
      </c>
      <c r="O149" t="str">
        <f t="shared" si="20"/>
        <v>BOOL</v>
      </c>
      <c r="P149" t="str">
        <f t="shared" si="21"/>
        <v>INTERRUTTORE 37</v>
      </c>
      <c r="R149" t="str">
        <f t="shared" si="22"/>
        <v>QSC -INTERRUTTORE AUX QGBT2 SCATTATO</v>
      </c>
      <c r="U149" t="str">
        <f t="shared" si="23"/>
        <v>Allarme</v>
      </c>
      <c r="V149" t="str">
        <f t="shared" si="24"/>
        <v>QSC</v>
      </c>
      <c r="W149" t="str">
        <f t="shared" si="25"/>
        <v>CABINA PRINCIPALE</v>
      </c>
      <c r="Z149" t="str">
        <f t="shared" si="26"/>
        <v>10.220.80.16</v>
      </c>
    </row>
    <row r="150" spans="1:26" x14ac:dyDescent="0.25">
      <c r="A150" t="s">
        <v>10</v>
      </c>
      <c r="B150" t="s">
        <v>11</v>
      </c>
      <c r="C150" t="s">
        <v>266</v>
      </c>
      <c r="D150" t="s">
        <v>49</v>
      </c>
      <c r="E150">
        <v>38</v>
      </c>
      <c r="F150" t="s">
        <v>14</v>
      </c>
      <c r="G150" t="s">
        <v>21</v>
      </c>
      <c r="H150" t="s">
        <v>22</v>
      </c>
      <c r="I150" t="s">
        <v>346</v>
      </c>
      <c r="J150" t="s">
        <v>347</v>
      </c>
      <c r="K150" t="str">
        <f t="shared" si="18"/>
        <v>1009.3</v>
      </c>
      <c r="N150" t="str">
        <f t="shared" si="19"/>
        <v>HOLDING REGISTER</v>
      </c>
      <c r="O150" t="str">
        <f t="shared" si="20"/>
        <v>BOOL</v>
      </c>
      <c r="P150" t="str">
        <f t="shared" si="21"/>
        <v>INTERRUTTORE 38</v>
      </c>
      <c r="R150" t="str">
        <f t="shared" si="22"/>
        <v>QSC -INTERRUTTORE AUX QVENT1 CHIUSO</v>
      </c>
      <c r="U150" t="str">
        <f t="shared" si="23"/>
        <v>Stato</v>
      </c>
      <c r="V150" t="str">
        <f t="shared" si="24"/>
        <v>QSC</v>
      </c>
      <c r="W150" t="str">
        <f t="shared" si="25"/>
        <v>CABINA PRINCIPALE</v>
      </c>
      <c r="Z150" t="str">
        <f t="shared" si="26"/>
        <v>10.220.80.16</v>
      </c>
    </row>
    <row r="151" spans="1:26" x14ac:dyDescent="0.25">
      <c r="A151" t="s">
        <v>10</v>
      </c>
      <c r="B151" t="s">
        <v>11</v>
      </c>
      <c r="C151" t="s">
        <v>266</v>
      </c>
      <c r="D151" t="s">
        <v>49</v>
      </c>
      <c r="E151">
        <v>38</v>
      </c>
      <c r="F151" t="s">
        <v>14</v>
      </c>
      <c r="G151" t="s">
        <v>28</v>
      </c>
      <c r="H151" t="s">
        <v>22</v>
      </c>
      <c r="I151" t="s">
        <v>348</v>
      </c>
      <c r="J151" t="s">
        <v>349</v>
      </c>
      <c r="K151" t="str">
        <f t="shared" si="18"/>
        <v>1009.4</v>
      </c>
      <c r="N151" t="str">
        <f t="shared" si="19"/>
        <v>HOLDING REGISTER</v>
      </c>
      <c r="O151" t="str">
        <f t="shared" si="20"/>
        <v>BOOL</v>
      </c>
      <c r="P151" t="str">
        <f t="shared" si="21"/>
        <v>INTERRUTTORE 38</v>
      </c>
      <c r="R151" t="str">
        <f t="shared" si="22"/>
        <v>QSC -INTERRUTTORE AUX QVENT1 SCATTATO</v>
      </c>
      <c r="U151" t="str">
        <f t="shared" si="23"/>
        <v>Allarme</v>
      </c>
      <c r="V151" t="str">
        <f t="shared" si="24"/>
        <v>QSC</v>
      </c>
      <c r="W151" t="str">
        <f t="shared" si="25"/>
        <v>CABINA PRINCIPALE</v>
      </c>
      <c r="Z151" t="str">
        <f t="shared" si="26"/>
        <v>10.220.80.16</v>
      </c>
    </row>
    <row r="152" spans="1:26" x14ac:dyDescent="0.25">
      <c r="A152" t="s">
        <v>10</v>
      </c>
      <c r="B152" t="s">
        <v>11</v>
      </c>
      <c r="C152" t="s">
        <v>266</v>
      </c>
      <c r="D152" t="s">
        <v>49</v>
      </c>
      <c r="E152">
        <v>39</v>
      </c>
      <c r="F152" t="s">
        <v>14</v>
      </c>
      <c r="G152" t="s">
        <v>21</v>
      </c>
      <c r="H152" t="s">
        <v>22</v>
      </c>
      <c r="I152" t="s">
        <v>350</v>
      </c>
      <c r="J152" t="s">
        <v>351</v>
      </c>
      <c r="K152" t="str">
        <f t="shared" si="18"/>
        <v>1009.5</v>
      </c>
      <c r="N152" t="str">
        <f t="shared" si="19"/>
        <v>HOLDING REGISTER</v>
      </c>
      <c r="O152" t="str">
        <f t="shared" si="20"/>
        <v>BOOL</v>
      </c>
      <c r="P152" t="str">
        <f t="shared" si="21"/>
        <v>INTERRUTTORE 39</v>
      </c>
      <c r="R152" t="str">
        <f t="shared" si="22"/>
        <v>QSC -INTERRUTTORE AUX QVENT2 CHIUSO</v>
      </c>
      <c r="U152" t="str">
        <f t="shared" si="23"/>
        <v>Stato</v>
      </c>
      <c r="V152" t="str">
        <f t="shared" si="24"/>
        <v>QSC</v>
      </c>
      <c r="W152" t="str">
        <f t="shared" si="25"/>
        <v>CABINA PRINCIPALE</v>
      </c>
      <c r="Z152" t="str">
        <f t="shared" si="26"/>
        <v>10.220.80.16</v>
      </c>
    </row>
    <row r="153" spans="1:26" x14ac:dyDescent="0.25">
      <c r="A153" t="s">
        <v>10</v>
      </c>
      <c r="B153" t="s">
        <v>11</v>
      </c>
      <c r="C153" t="s">
        <v>266</v>
      </c>
      <c r="D153" t="s">
        <v>49</v>
      </c>
      <c r="E153">
        <v>39</v>
      </c>
      <c r="F153" t="s">
        <v>14</v>
      </c>
      <c r="G153" t="s">
        <v>28</v>
      </c>
      <c r="H153" t="s">
        <v>22</v>
      </c>
      <c r="I153" t="s">
        <v>352</v>
      </c>
      <c r="J153" t="s">
        <v>353</v>
      </c>
      <c r="K153" t="str">
        <f t="shared" si="18"/>
        <v>1009.6</v>
      </c>
      <c r="N153" t="str">
        <f t="shared" si="19"/>
        <v>HOLDING REGISTER</v>
      </c>
      <c r="O153" t="str">
        <f t="shared" si="20"/>
        <v>BOOL</v>
      </c>
      <c r="P153" t="str">
        <f t="shared" si="21"/>
        <v>INTERRUTTORE 39</v>
      </c>
      <c r="R153" t="str">
        <f t="shared" si="22"/>
        <v>QSC -INTERRUTTORE AUX QVENT2 SCATTATO</v>
      </c>
      <c r="U153" t="str">
        <f t="shared" si="23"/>
        <v>Allarme</v>
      </c>
      <c r="V153" t="str">
        <f t="shared" si="24"/>
        <v>QSC</v>
      </c>
      <c r="W153" t="str">
        <f t="shared" si="25"/>
        <v>CABINA PRINCIPALE</v>
      </c>
      <c r="Z153" t="str">
        <f t="shared" si="26"/>
        <v>10.220.80.16</v>
      </c>
    </row>
    <row r="154" spans="1:26" x14ac:dyDescent="0.25">
      <c r="A154" t="s">
        <v>10</v>
      </c>
      <c r="B154" t="s">
        <v>11</v>
      </c>
      <c r="C154" t="s">
        <v>266</v>
      </c>
      <c r="D154" t="s">
        <v>49</v>
      </c>
      <c r="E154">
        <v>40</v>
      </c>
      <c r="F154" t="s">
        <v>14</v>
      </c>
      <c r="G154" t="s">
        <v>21</v>
      </c>
      <c r="H154" t="s">
        <v>22</v>
      </c>
      <c r="I154" t="s">
        <v>354</v>
      </c>
      <c r="J154" t="s">
        <v>355</v>
      </c>
      <c r="K154" t="str">
        <f t="shared" si="18"/>
        <v>1009.7</v>
      </c>
      <c r="N154" t="str">
        <f t="shared" si="19"/>
        <v>HOLDING REGISTER</v>
      </c>
      <c r="O154" t="str">
        <f t="shared" si="20"/>
        <v>BOOL</v>
      </c>
      <c r="P154" t="str">
        <f t="shared" si="21"/>
        <v>INTERRUTTORE 40</v>
      </c>
      <c r="R154" t="str">
        <f t="shared" si="22"/>
        <v>QSC -INTERRUTTORE AUX G.E. CHIUSO</v>
      </c>
      <c r="U154" t="str">
        <f t="shared" si="23"/>
        <v>Stato</v>
      </c>
      <c r="V154" t="str">
        <f t="shared" si="24"/>
        <v>QSC</v>
      </c>
      <c r="W154" t="str">
        <f t="shared" si="25"/>
        <v>CABINA PRINCIPALE</v>
      </c>
      <c r="Z154" t="str">
        <f t="shared" si="26"/>
        <v>10.220.80.16</v>
      </c>
    </row>
    <row r="155" spans="1:26" x14ac:dyDescent="0.25">
      <c r="A155" t="s">
        <v>10</v>
      </c>
      <c r="B155" t="s">
        <v>11</v>
      </c>
      <c r="C155" t="s">
        <v>266</v>
      </c>
      <c r="D155" t="s">
        <v>49</v>
      </c>
      <c r="E155">
        <v>40</v>
      </c>
      <c r="F155" t="s">
        <v>14</v>
      </c>
      <c r="G155" t="s">
        <v>28</v>
      </c>
      <c r="H155" t="s">
        <v>22</v>
      </c>
      <c r="I155" t="s">
        <v>356</v>
      </c>
      <c r="J155" t="s">
        <v>357</v>
      </c>
      <c r="K155" t="str">
        <f t="shared" si="18"/>
        <v>1009.8</v>
      </c>
      <c r="N155" t="str">
        <f t="shared" si="19"/>
        <v>HOLDING REGISTER</v>
      </c>
      <c r="O155" t="str">
        <f t="shared" si="20"/>
        <v>BOOL</v>
      </c>
      <c r="P155" t="str">
        <f t="shared" si="21"/>
        <v>INTERRUTTORE 40</v>
      </c>
      <c r="R155" t="str">
        <f t="shared" si="22"/>
        <v>QSC -INTERRUTTORE AUX G.E. SCATTATO</v>
      </c>
      <c r="U155" t="str">
        <f t="shared" si="23"/>
        <v>Allarme</v>
      </c>
      <c r="V155" t="str">
        <f t="shared" si="24"/>
        <v>QSC</v>
      </c>
      <c r="W155" t="str">
        <f t="shared" si="25"/>
        <v>CABINA PRINCIPALE</v>
      </c>
      <c r="Z155" t="str">
        <f t="shared" si="26"/>
        <v>10.220.80.16</v>
      </c>
    </row>
    <row r="156" spans="1:26" x14ac:dyDescent="0.25">
      <c r="A156" t="s">
        <v>10</v>
      </c>
      <c r="B156" t="s">
        <v>11</v>
      </c>
      <c r="C156" t="s">
        <v>266</v>
      </c>
      <c r="D156" t="s">
        <v>49</v>
      </c>
      <c r="E156" t="s">
        <v>206</v>
      </c>
      <c r="F156" t="s">
        <v>14</v>
      </c>
      <c r="G156" t="s">
        <v>28</v>
      </c>
      <c r="H156" t="s">
        <v>22</v>
      </c>
      <c r="I156" t="s">
        <v>358</v>
      </c>
      <c r="J156" t="s">
        <v>359</v>
      </c>
      <c r="K156" t="str">
        <f t="shared" si="18"/>
        <v>1009.9</v>
      </c>
      <c r="N156" t="str">
        <f t="shared" si="19"/>
        <v>HOLDING REGISTER</v>
      </c>
      <c r="O156" t="str">
        <f t="shared" si="20"/>
        <v>BOOL</v>
      </c>
      <c r="P156" t="str">
        <f t="shared" si="21"/>
        <v>INTERRUTTORE RIO</v>
      </c>
      <c r="R156" t="str">
        <f t="shared" si="22"/>
        <v>QSC -ERRORE DI COMUNICAZIONE CON RIO</v>
      </c>
      <c r="U156" t="str">
        <f t="shared" si="23"/>
        <v>Allarme</v>
      </c>
      <c r="V156" t="str">
        <f t="shared" si="24"/>
        <v>QSC</v>
      </c>
      <c r="W156" t="str">
        <f t="shared" si="25"/>
        <v>CABINA PRINCIPALE</v>
      </c>
      <c r="Z156" t="str">
        <f t="shared" si="26"/>
        <v>10.220.80.16</v>
      </c>
    </row>
    <row r="157" spans="1:26" x14ac:dyDescent="0.25">
      <c r="A157" t="s">
        <v>10</v>
      </c>
      <c r="B157" t="s">
        <v>11</v>
      </c>
      <c r="C157" t="s">
        <v>360</v>
      </c>
      <c r="D157" t="s">
        <v>361</v>
      </c>
      <c r="E157">
        <v>1</v>
      </c>
      <c r="F157" t="s">
        <v>362</v>
      </c>
      <c r="G157" t="s">
        <v>362</v>
      </c>
      <c r="H157" t="s">
        <v>362</v>
      </c>
      <c r="I157" t="s">
        <v>362</v>
      </c>
      <c r="J157" t="s">
        <v>363</v>
      </c>
      <c r="K157" t="str">
        <f t="shared" si="18"/>
        <v>---</v>
      </c>
      <c r="N157" t="str">
        <f t="shared" si="19"/>
        <v>---</v>
      </c>
      <c r="O157" t="str">
        <f t="shared" si="20"/>
        <v>---</v>
      </c>
      <c r="P157" t="str">
        <f t="shared" si="21"/>
        <v>SEZIONATORE 1</v>
      </c>
      <c r="R157" t="str">
        <f t="shared" si="22"/>
        <v>GENERALE QUADRO SENZA DIAGNOSTICA</v>
      </c>
      <c r="U157" t="str">
        <f t="shared" si="23"/>
        <v>---</v>
      </c>
      <c r="V157" t="str">
        <f t="shared" si="24"/>
        <v>QIS1</v>
      </c>
      <c r="W157" t="str">
        <f t="shared" si="25"/>
        <v>CABINA PRINCIPALE</v>
      </c>
      <c r="Z157" t="str">
        <f t="shared" si="26"/>
        <v>10.220.80.16</v>
      </c>
    </row>
    <row r="158" spans="1:26" x14ac:dyDescent="0.25">
      <c r="A158" t="s">
        <v>10</v>
      </c>
      <c r="B158" t="s">
        <v>11</v>
      </c>
      <c r="C158" t="s">
        <v>360</v>
      </c>
      <c r="D158" t="s">
        <v>94</v>
      </c>
      <c r="E158" t="s">
        <v>95</v>
      </c>
      <c r="F158" t="s">
        <v>14</v>
      </c>
      <c r="G158" t="s">
        <v>28</v>
      </c>
      <c r="H158" t="s">
        <v>22</v>
      </c>
      <c r="I158" t="s">
        <v>364</v>
      </c>
      <c r="J158" t="s">
        <v>365</v>
      </c>
      <c r="K158" t="str">
        <f t="shared" si="18"/>
        <v>1009.10</v>
      </c>
      <c r="N158" t="str">
        <f t="shared" si="19"/>
        <v>HOLDING REGISTER</v>
      </c>
      <c r="O158" t="str">
        <f t="shared" si="20"/>
        <v>BOOL</v>
      </c>
      <c r="P158" t="str">
        <f t="shared" si="21"/>
        <v>SCARICATORE SOVRATENSIONI SPD1</v>
      </c>
      <c r="R158" t="str">
        <f t="shared" si="22"/>
        <v>QIS1 -LIMITATORE DI SOVRATENSIONE INTERVENUTO</v>
      </c>
      <c r="U158" t="str">
        <f t="shared" si="23"/>
        <v>Allarme</v>
      </c>
      <c r="V158" t="str">
        <f t="shared" si="24"/>
        <v>QIS1</v>
      </c>
      <c r="W158" t="str">
        <f t="shared" si="25"/>
        <v>CABINA PRINCIPALE</v>
      </c>
      <c r="Z158" t="str">
        <f t="shared" si="26"/>
        <v>10.220.80.16</v>
      </c>
    </row>
    <row r="159" spans="1:26" x14ac:dyDescent="0.25">
      <c r="A159" t="s">
        <v>10</v>
      </c>
      <c r="B159" t="s">
        <v>11</v>
      </c>
      <c r="C159" t="s">
        <v>360</v>
      </c>
      <c r="D159" t="s">
        <v>49</v>
      </c>
      <c r="E159">
        <v>3</v>
      </c>
      <c r="F159" t="s">
        <v>14</v>
      </c>
      <c r="G159" t="s">
        <v>21</v>
      </c>
      <c r="H159" t="s">
        <v>22</v>
      </c>
      <c r="I159" t="s">
        <v>366</v>
      </c>
      <c r="J159" t="s">
        <v>367</v>
      </c>
      <c r="K159" t="str">
        <f t="shared" si="18"/>
        <v>1009.11</v>
      </c>
      <c r="N159" t="str">
        <f t="shared" si="19"/>
        <v>HOLDING REGISTER</v>
      </c>
      <c r="O159" t="str">
        <f t="shared" si="20"/>
        <v>BOOL</v>
      </c>
      <c r="P159" t="str">
        <f t="shared" si="21"/>
        <v>INTERRUTTORE 3</v>
      </c>
      <c r="R159" t="str">
        <f t="shared" si="22"/>
        <v>QIS1 -INTERRUTTORE QILL1 SEZIONE UPS CHIUSO</v>
      </c>
      <c r="U159" t="str">
        <f t="shared" si="23"/>
        <v>Stato</v>
      </c>
      <c r="V159" t="str">
        <f t="shared" si="24"/>
        <v>QIS1</v>
      </c>
      <c r="W159" t="str">
        <f t="shared" si="25"/>
        <v>CABINA PRINCIPALE</v>
      </c>
      <c r="Z159" t="str">
        <f t="shared" si="26"/>
        <v>10.220.80.16</v>
      </c>
    </row>
    <row r="160" spans="1:26" x14ac:dyDescent="0.25">
      <c r="A160" t="s">
        <v>10</v>
      </c>
      <c r="B160" t="s">
        <v>11</v>
      </c>
      <c r="C160" t="s">
        <v>360</v>
      </c>
      <c r="D160" t="s">
        <v>49</v>
      </c>
      <c r="E160">
        <v>3</v>
      </c>
      <c r="F160" t="s">
        <v>14</v>
      </c>
      <c r="G160" t="s">
        <v>28</v>
      </c>
      <c r="H160" t="s">
        <v>22</v>
      </c>
      <c r="I160" t="s">
        <v>368</v>
      </c>
      <c r="J160" t="s">
        <v>369</v>
      </c>
      <c r="K160" t="str">
        <f t="shared" si="18"/>
        <v>1009.12</v>
      </c>
      <c r="N160" t="str">
        <f t="shared" si="19"/>
        <v>HOLDING REGISTER</v>
      </c>
      <c r="O160" t="str">
        <f t="shared" si="20"/>
        <v>BOOL</v>
      </c>
      <c r="P160" t="str">
        <f t="shared" si="21"/>
        <v>INTERRUTTORE 3</v>
      </c>
      <c r="R160" t="str">
        <f t="shared" si="22"/>
        <v>QIS1 -INTERRUTTORE QILL1 SEZIONE UPS SCATTATO</v>
      </c>
      <c r="U160" t="str">
        <f t="shared" si="23"/>
        <v>Allarme</v>
      </c>
      <c r="V160" t="str">
        <f t="shared" si="24"/>
        <v>QIS1</v>
      </c>
      <c r="W160" t="str">
        <f t="shared" si="25"/>
        <v>CABINA PRINCIPALE</v>
      </c>
      <c r="Z160" t="str">
        <f t="shared" si="26"/>
        <v>10.220.80.16</v>
      </c>
    </row>
    <row r="161" spans="1:26" x14ac:dyDescent="0.25">
      <c r="A161" t="s">
        <v>10</v>
      </c>
      <c r="B161" t="s">
        <v>11</v>
      </c>
      <c r="C161" t="s">
        <v>360</v>
      </c>
      <c r="D161" t="s">
        <v>49</v>
      </c>
      <c r="E161">
        <v>4</v>
      </c>
      <c r="F161" t="s">
        <v>14</v>
      </c>
      <c r="G161" t="s">
        <v>21</v>
      </c>
      <c r="H161" t="s">
        <v>22</v>
      </c>
      <c r="I161" t="s">
        <v>370</v>
      </c>
      <c r="J161" t="s">
        <v>371</v>
      </c>
      <c r="K161" t="str">
        <f t="shared" si="18"/>
        <v>1009.13</v>
      </c>
      <c r="N161" t="str">
        <f t="shared" si="19"/>
        <v>HOLDING REGISTER</v>
      </c>
      <c r="O161" t="str">
        <f t="shared" si="20"/>
        <v>BOOL</v>
      </c>
      <c r="P161" t="str">
        <f t="shared" si="21"/>
        <v>INTERRUTTORE 4</v>
      </c>
      <c r="R161" t="str">
        <f t="shared" si="22"/>
        <v>QIS1 -INTERRUTTORE QSC SEZIONE UPS CHIUSO</v>
      </c>
      <c r="U161" t="str">
        <f t="shared" si="23"/>
        <v>Stato</v>
      </c>
      <c r="V161" t="str">
        <f t="shared" si="24"/>
        <v>QIS1</v>
      </c>
      <c r="W161" t="str">
        <f t="shared" si="25"/>
        <v>CABINA PRINCIPALE</v>
      </c>
      <c r="Z161" t="str">
        <f t="shared" si="26"/>
        <v>10.220.80.16</v>
      </c>
    </row>
    <row r="162" spans="1:26" x14ac:dyDescent="0.25">
      <c r="A162" t="s">
        <v>10</v>
      </c>
      <c r="B162" t="s">
        <v>11</v>
      </c>
      <c r="C162" t="s">
        <v>360</v>
      </c>
      <c r="D162" t="s">
        <v>49</v>
      </c>
      <c r="E162">
        <v>4</v>
      </c>
      <c r="F162" t="s">
        <v>14</v>
      </c>
      <c r="G162" t="s">
        <v>28</v>
      </c>
      <c r="H162" t="s">
        <v>22</v>
      </c>
      <c r="I162" t="s">
        <v>372</v>
      </c>
      <c r="J162" t="s">
        <v>373</v>
      </c>
      <c r="K162" t="str">
        <f t="shared" si="18"/>
        <v>1009.14</v>
      </c>
      <c r="N162" t="str">
        <f t="shared" si="19"/>
        <v>HOLDING REGISTER</v>
      </c>
      <c r="O162" t="str">
        <f t="shared" si="20"/>
        <v>BOOL</v>
      </c>
      <c r="P162" t="str">
        <f t="shared" si="21"/>
        <v>INTERRUTTORE 4</v>
      </c>
      <c r="R162" t="str">
        <f t="shared" si="22"/>
        <v>QIS1 -INTERRUTTORE QSC SEZIONE UPS SCATTATO</v>
      </c>
      <c r="U162" t="str">
        <f t="shared" si="23"/>
        <v>Allarme</v>
      </c>
      <c r="V162" t="str">
        <f t="shared" si="24"/>
        <v>QIS1</v>
      </c>
      <c r="W162" t="str">
        <f t="shared" si="25"/>
        <v>CABINA PRINCIPALE</v>
      </c>
      <c r="Z162" t="str">
        <f t="shared" si="26"/>
        <v>10.220.80.16</v>
      </c>
    </row>
    <row r="163" spans="1:26" x14ac:dyDescent="0.25">
      <c r="A163" t="s">
        <v>10</v>
      </c>
      <c r="B163" t="s">
        <v>11</v>
      </c>
      <c r="C163" t="s">
        <v>360</v>
      </c>
      <c r="D163" t="s">
        <v>49</v>
      </c>
      <c r="E163">
        <v>6</v>
      </c>
      <c r="F163" t="s">
        <v>14</v>
      </c>
      <c r="G163" t="s">
        <v>21</v>
      </c>
      <c r="H163" t="s">
        <v>22</v>
      </c>
      <c r="I163" t="s">
        <v>374</v>
      </c>
      <c r="J163" t="s">
        <v>375</v>
      </c>
      <c r="K163" t="str">
        <f t="shared" si="18"/>
        <v>1009.15</v>
      </c>
      <c r="N163" t="str">
        <f t="shared" si="19"/>
        <v>HOLDING REGISTER</v>
      </c>
      <c r="O163" t="str">
        <f t="shared" si="20"/>
        <v>BOOL</v>
      </c>
      <c r="P163" t="str">
        <f t="shared" si="21"/>
        <v>INTERRUTTORE 6</v>
      </c>
      <c r="R163" t="str">
        <f t="shared" si="22"/>
        <v>QIS1 -INTERRUTTORE QPIAZZOLA SEZIONE UPS CHIUSO</v>
      </c>
      <c r="U163" t="str">
        <f t="shared" si="23"/>
        <v>Stato</v>
      </c>
      <c r="V163" t="str">
        <f t="shared" si="24"/>
        <v>QIS1</v>
      </c>
      <c r="W163" t="str">
        <f t="shared" si="25"/>
        <v>CABINA PRINCIPALE</v>
      </c>
      <c r="Z163" t="str">
        <f t="shared" si="26"/>
        <v>10.220.80.16</v>
      </c>
    </row>
    <row r="164" spans="1:26" x14ac:dyDescent="0.25">
      <c r="A164" t="s">
        <v>10</v>
      </c>
      <c r="B164" t="s">
        <v>11</v>
      </c>
      <c r="C164" t="s">
        <v>360</v>
      </c>
      <c r="D164" t="s">
        <v>49</v>
      </c>
      <c r="E164">
        <v>6</v>
      </c>
      <c r="F164" t="s">
        <v>14</v>
      </c>
      <c r="G164" t="s">
        <v>28</v>
      </c>
      <c r="H164" t="s">
        <v>22</v>
      </c>
      <c r="I164" t="s">
        <v>376</v>
      </c>
      <c r="J164" t="s">
        <v>377</v>
      </c>
      <c r="K164" t="str">
        <f t="shared" si="18"/>
        <v>1010.0</v>
      </c>
      <c r="N164" t="str">
        <f t="shared" si="19"/>
        <v>HOLDING REGISTER</v>
      </c>
      <c r="O164" t="str">
        <f t="shared" si="20"/>
        <v>BOOL</v>
      </c>
      <c r="P164" t="str">
        <f t="shared" si="21"/>
        <v>INTERRUTTORE 6</v>
      </c>
      <c r="R164" t="str">
        <f t="shared" si="22"/>
        <v>QIS1 -INTERRUTTORE QPIAZZOLA SEZIONE UPS SCATTATO</v>
      </c>
      <c r="U164" t="str">
        <f t="shared" si="23"/>
        <v>Allarme</v>
      </c>
      <c r="V164" t="str">
        <f t="shared" si="24"/>
        <v>QIS1</v>
      </c>
      <c r="W164" t="str">
        <f t="shared" si="25"/>
        <v>CABINA PRINCIPALE</v>
      </c>
      <c r="Z164" t="str">
        <f t="shared" si="26"/>
        <v>10.220.80.16</v>
      </c>
    </row>
    <row r="165" spans="1:26" x14ac:dyDescent="0.25">
      <c r="A165" t="s">
        <v>10</v>
      </c>
      <c r="B165" t="s">
        <v>11</v>
      </c>
      <c r="C165" t="s">
        <v>360</v>
      </c>
      <c r="D165" t="s">
        <v>49</v>
      </c>
      <c r="E165">
        <v>8</v>
      </c>
      <c r="F165" t="s">
        <v>14</v>
      </c>
      <c r="G165" t="s">
        <v>21</v>
      </c>
      <c r="H165" t="s">
        <v>22</v>
      </c>
      <c r="I165" t="s">
        <v>378</v>
      </c>
      <c r="J165" t="s">
        <v>379</v>
      </c>
      <c r="K165" t="str">
        <f t="shared" si="18"/>
        <v>1010.1</v>
      </c>
      <c r="N165" t="str">
        <f t="shared" si="19"/>
        <v>HOLDING REGISTER</v>
      </c>
      <c r="O165" t="str">
        <f t="shared" si="20"/>
        <v>BOOL</v>
      </c>
      <c r="P165" t="str">
        <f t="shared" si="21"/>
        <v>INTERRUTTORE 8</v>
      </c>
      <c r="R165" t="str">
        <f t="shared" si="22"/>
        <v>QIS1 -INTERRUTTORE Q_ACCESSI1 SEZIONE UPS CHIUSO</v>
      </c>
      <c r="U165" t="str">
        <f t="shared" si="23"/>
        <v>Stato</v>
      </c>
      <c r="V165" t="str">
        <f t="shared" si="24"/>
        <v>QIS1</v>
      </c>
      <c r="W165" t="str">
        <f t="shared" si="25"/>
        <v>CABINA PRINCIPALE</v>
      </c>
      <c r="Z165" t="str">
        <f t="shared" si="26"/>
        <v>10.220.80.16</v>
      </c>
    </row>
    <row r="166" spans="1:26" x14ac:dyDescent="0.25">
      <c r="A166" t="s">
        <v>10</v>
      </c>
      <c r="B166" t="s">
        <v>11</v>
      </c>
      <c r="C166" t="s">
        <v>360</v>
      </c>
      <c r="D166" t="s">
        <v>49</v>
      </c>
      <c r="E166">
        <v>8</v>
      </c>
      <c r="F166" t="s">
        <v>14</v>
      </c>
      <c r="G166" t="s">
        <v>28</v>
      </c>
      <c r="H166" t="s">
        <v>22</v>
      </c>
      <c r="I166" t="s">
        <v>380</v>
      </c>
      <c r="J166" t="s">
        <v>381</v>
      </c>
      <c r="K166" t="str">
        <f t="shared" si="18"/>
        <v>1010.2</v>
      </c>
      <c r="N166" t="str">
        <f t="shared" si="19"/>
        <v>HOLDING REGISTER</v>
      </c>
      <c r="O166" t="str">
        <f t="shared" si="20"/>
        <v>BOOL</v>
      </c>
      <c r="P166" t="str">
        <f t="shared" si="21"/>
        <v>INTERRUTTORE 8</v>
      </c>
      <c r="R166" t="str">
        <f t="shared" si="22"/>
        <v>QIS1 -INTERRUTTORE Q_ACCESSI1 SEZIONE UPS SCATTATO</v>
      </c>
      <c r="U166" t="str">
        <f t="shared" si="23"/>
        <v>Allarme</v>
      </c>
      <c r="V166" t="str">
        <f t="shared" si="24"/>
        <v>QIS1</v>
      </c>
      <c r="W166" t="str">
        <f t="shared" si="25"/>
        <v>CABINA PRINCIPALE</v>
      </c>
      <c r="Z166" t="str">
        <f t="shared" si="26"/>
        <v>10.220.80.16</v>
      </c>
    </row>
    <row r="167" spans="1:26" x14ac:dyDescent="0.25">
      <c r="A167" t="s">
        <v>10</v>
      </c>
      <c r="B167" t="s">
        <v>11</v>
      </c>
      <c r="C167" t="s">
        <v>360</v>
      </c>
      <c r="D167" t="s">
        <v>49</v>
      </c>
      <c r="E167">
        <v>9</v>
      </c>
      <c r="F167" t="s">
        <v>14</v>
      </c>
      <c r="G167" t="s">
        <v>21</v>
      </c>
      <c r="H167" t="s">
        <v>22</v>
      </c>
      <c r="I167" t="s">
        <v>382</v>
      </c>
      <c r="J167" t="s">
        <v>383</v>
      </c>
      <c r="K167" t="str">
        <f t="shared" si="18"/>
        <v>1010.3</v>
      </c>
      <c r="N167" t="str">
        <f t="shared" si="19"/>
        <v>HOLDING REGISTER</v>
      </c>
      <c r="O167" t="str">
        <f t="shared" si="20"/>
        <v>BOOL</v>
      </c>
      <c r="P167" t="str">
        <f t="shared" si="21"/>
        <v>INTERRUTTORE 9</v>
      </c>
      <c r="R167" t="str">
        <f t="shared" si="22"/>
        <v>QIS1 -INTERRUTTORE Q_ACCESSI2 SEZIONE UPS CHIUSO</v>
      </c>
      <c r="U167" t="str">
        <f t="shared" si="23"/>
        <v>Stato</v>
      </c>
      <c r="V167" t="str">
        <f t="shared" si="24"/>
        <v>QIS1</v>
      </c>
      <c r="W167" t="str">
        <f t="shared" si="25"/>
        <v>CABINA PRINCIPALE</v>
      </c>
      <c r="Z167" t="str">
        <f t="shared" si="26"/>
        <v>10.220.80.16</v>
      </c>
    </row>
    <row r="168" spans="1:26" x14ac:dyDescent="0.25">
      <c r="A168" t="s">
        <v>10</v>
      </c>
      <c r="B168" t="s">
        <v>11</v>
      </c>
      <c r="C168" t="s">
        <v>360</v>
      </c>
      <c r="D168" t="s">
        <v>49</v>
      </c>
      <c r="E168">
        <v>9</v>
      </c>
      <c r="F168" t="s">
        <v>14</v>
      </c>
      <c r="G168" t="s">
        <v>28</v>
      </c>
      <c r="H168" t="s">
        <v>22</v>
      </c>
      <c r="I168" t="s">
        <v>384</v>
      </c>
      <c r="J168" t="s">
        <v>385</v>
      </c>
      <c r="K168" t="str">
        <f t="shared" si="18"/>
        <v>1010.4</v>
      </c>
      <c r="N168" t="str">
        <f t="shared" si="19"/>
        <v>HOLDING REGISTER</v>
      </c>
      <c r="O168" t="str">
        <f t="shared" si="20"/>
        <v>BOOL</v>
      </c>
      <c r="P168" t="str">
        <f t="shared" si="21"/>
        <v>INTERRUTTORE 9</v>
      </c>
      <c r="R168" t="str">
        <f t="shared" si="22"/>
        <v>QIS1 -INTERRUTTORE Q_ACCESSI2 SEZIONE UPS SCATTATO</v>
      </c>
      <c r="U168" t="str">
        <f t="shared" si="23"/>
        <v>Allarme</v>
      </c>
      <c r="V168" t="str">
        <f t="shared" si="24"/>
        <v>QIS1</v>
      </c>
      <c r="W168" t="str">
        <f t="shared" si="25"/>
        <v>CABINA PRINCIPALE</v>
      </c>
      <c r="Z168" t="str">
        <f t="shared" si="26"/>
        <v>10.220.80.16</v>
      </c>
    </row>
    <row r="169" spans="1:26" x14ac:dyDescent="0.25">
      <c r="A169" t="s">
        <v>10</v>
      </c>
      <c r="B169" t="s">
        <v>11</v>
      </c>
      <c r="C169" t="s">
        <v>360</v>
      </c>
      <c r="D169" t="s">
        <v>49</v>
      </c>
      <c r="E169">
        <v>10</v>
      </c>
      <c r="F169" t="s">
        <v>14</v>
      </c>
      <c r="G169" t="s">
        <v>21</v>
      </c>
      <c r="H169" t="s">
        <v>22</v>
      </c>
      <c r="I169" t="s">
        <v>386</v>
      </c>
      <c r="J169" t="s">
        <v>387</v>
      </c>
      <c r="K169" t="str">
        <f t="shared" si="18"/>
        <v>1010.5</v>
      </c>
      <c r="N169" t="str">
        <f t="shared" si="19"/>
        <v>HOLDING REGISTER</v>
      </c>
      <c r="O169" t="str">
        <f t="shared" si="20"/>
        <v>BOOL</v>
      </c>
      <c r="P169" t="str">
        <f t="shared" si="21"/>
        <v>INTERRUTTORE 10</v>
      </c>
      <c r="R169" t="str">
        <f t="shared" si="22"/>
        <v>QIS1 -INTERRUTTORE Q_ACCESSI3 SEZIONE UPS CHIUSO</v>
      </c>
      <c r="U169" t="str">
        <f t="shared" si="23"/>
        <v>Stato</v>
      </c>
      <c r="V169" t="str">
        <f t="shared" si="24"/>
        <v>QIS1</v>
      </c>
      <c r="W169" t="str">
        <f t="shared" si="25"/>
        <v>CABINA PRINCIPALE</v>
      </c>
      <c r="Z169" t="str">
        <f t="shared" si="26"/>
        <v>10.220.80.16</v>
      </c>
    </row>
    <row r="170" spans="1:26" x14ac:dyDescent="0.25">
      <c r="A170" t="s">
        <v>10</v>
      </c>
      <c r="B170" t="s">
        <v>11</v>
      </c>
      <c r="C170" t="s">
        <v>360</v>
      </c>
      <c r="D170" t="s">
        <v>49</v>
      </c>
      <c r="E170">
        <v>10</v>
      </c>
      <c r="F170" t="s">
        <v>14</v>
      </c>
      <c r="G170" t="s">
        <v>28</v>
      </c>
      <c r="H170" t="s">
        <v>22</v>
      </c>
      <c r="I170" t="s">
        <v>388</v>
      </c>
      <c r="J170" t="s">
        <v>389</v>
      </c>
      <c r="K170" t="str">
        <f t="shared" si="18"/>
        <v>1010.6</v>
      </c>
      <c r="N170" t="str">
        <f t="shared" si="19"/>
        <v>HOLDING REGISTER</v>
      </c>
      <c r="O170" t="str">
        <f t="shared" si="20"/>
        <v>BOOL</v>
      </c>
      <c r="P170" t="str">
        <f t="shared" si="21"/>
        <v>INTERRUTTORE 10</v>
      </c>
      <c r="R170" t="str">
        <f t="shared" si="22"/>
        <v>QIS1 -INTERRUTTORE Q_ACCESSI3 SEZIONE UPS SCATTATO</v>
      </c>
      <c r="U170" t="str">
        <f t="shared" si="23"/>
        <v>Allarme</v>
      </c>
      <c r="V170" t="str">
        <f t="shared" si="24"/>
        <v>QIS1</v>
      </c>
      <c r="W170" t="str">
        <f t="shared" si="25"/>
        <v>CABINA PRINCIPALE</v>
      </c>
      <c r="Z170" t="str">
        <f t="shared" si="26"/>
        <v>10.220.80.16</v>
      </c>
    </row>
    <row r="171" spans="1:26" x14ac:dyDescent="0.25">
      <c r="A171" t="s">
        <v>10</v>
      </c>
      <c r="B171" t="s">
        <v>11</v>
      </c>
      <c r="C171" t="s">
        <v>360</v>
      </c>
      <c r="D171" t="s">
        <v>49</v>
      </c>
      <c r="E171">
        <v>12</v>
      </c>
      <c r="F171" t="s">
        <v>14</v>
      </c>
      <c r="G171" t="s">
        <v>21</v>
      </c>
      <c r="H171" t="s">
        <v>22</v>
      </c>
      <c r="I171" t="s">
        <v>390</v>
      </c>
      <c r="J171" t="s">
        <v>391</v>
      </c>
      <c r="K171" t="str">
        <f t="shared" si="18"/>
        <v>1010.7</v>
      </c>
      <c r="N171" t="str">
        <f t="shared" si="19"/>
        <v>HOLDING REGISTER</v>
      </c>
      <c r="O171" t="str">
        <f t="shared" si="20"/>
        <v>BOOL</v>
      </c>
      <c r="P171" t="str">
        <f t="shared" si="21"/>
        <v>INTERRUTTORE 12</v>
      </c>
      <c r="R171" t="str">
        <f t="shared" si="22"/>
        <v>QIS1 -INTERRUTTORE DORSALE DIR. NORD SOS CHIUSO</v>
      </c>
      <c r="U171" t="str">
        <f t="shared" si="23"/>
        <v>Stato</v>
      </c>
      <c r="V171" t="str">
        <f t="shared" si="24"/>
        <v>QIS1</v>
      </c>
      <c r="W171" t="str">
        <f t="shared" si="25"/>
        <v>CABINA PRINCIPALE</v>
      </c>
      <c r="Z171" t="str">
        <f t="shared" si="26"/>
        <v>10.220.80.16</v>
      </c>
    </row>
    <row r="172" spans="1:26" x14ac:dyDescent="0.25">
      <c r="A172" t="s">
        <v>10</v>
      </c>
      <c r="B172" t="s">
        <v>11</v>
      </c>
      <c r="C172" t="s">
        <v>360</v>
      </c>
      <c r="D172" t="s">
        <v>49</v>
      </c>
      <c r="E172">
        <v>12</v>
      </c>
      <c r="F172" t="s">
        <v>14</v>
      </c>
      <c r="G172" t="s">
        <v>28</v>
      </c>
      <c r="H172" t="s">
        <v>22</v>
      </c>
      <c r="I172" t="s">
        <v>392</v>
      </c>
      <c r="J172" t="s">
        <v>393</v>
      </c>
      <c r="K172" t="str">
        <f t="shared" si="18"/>
        <v>1010.8</v>
      </c>
      <c r="N172" t="str">
        <f t="shared" si="19"/>
        <v>HOLDING REGISTER</v>
      </c>
      <c r="O172" t="str">
        <f t="shared" si="20"/>
        <v>BOOL</v>
      </c>
      <c r="P172" t="str">
        <f t="shared" si="21"/>
        <v>INTERRUTTORE 12</v>
      </c>
      <c r="R172" t="str">
        <f t="shared" si="22"/>
        <v>QIS1 -INTERRUTTORE DORSALE DIR. NORD SOS SCATTATO</v>
      </c>
      <c r="U172" t="str">
        <f t="shared" si="23"/>
        <v>Allarme</v>
      </c>
      <c r="V172" t="str">
        <f t="shared" si="24"/>
        <v>QIS1</v>
      </c>
      <c r="W172" t="str">
        <f t="shared" si="25"/>
        <v>CABINA PRINCIPALE</v>
      </c>
      <c r="Z172" t="str">
        <f t="shared" si="26"/>
        <v>10.220.80.16</v>
      </c>
    </row>
    <row r="173" spans="1:26" x14ac:dyDescent="0.25">
      <c r="A173" t="s">
        <v>10</v>
      </c>
      <c r="B173" t="s">
        <v>11</v>
      </c>
      <c r="C173" t="s">
        <v>360</v>
      </c>
      <c r="D173" t="s">
        <v>49</v>
      </c>
      <c r="E173">
        <v>13</v>
      </c>
      <c r="F173" t="s">
        <v>14</v>
      </c>
      <c r="G173" t="s">
        <v>21</v>
      </c>
      <c r="H173" t="s">
        <v>22</v>
      </c>
      <c r="I173" t="s">
        <v>394</v>
      </c>
      <c r="J173" t="s">
        <v>395</v>
      </c>
      <c r="K173" t="str">
        <f t="shared" si="18"/>
        <v>1010.9</v>
      </c>
      <c r="N173" t="str">
        <f t="shared" si="19"/>
        <v>HOLDING REGISTER</v>
      </c>
      <c r="O173" t="str">
        <f t="shared" si="20"/>
        <v>BOOL</v>
      </c>
      <c r="P173" t="str">
        <f t="shared" si="21"/>
        <v>INTERRUTTORE 13</v>
      </c>
      <c r="R173" t="str">
        <f t="shared" si="22"/>
        <v>QIS1 -INTERRUTTORE DORSALE DIR. SUD SOS CHIUSO</v>
      </c>
      <c r="U173" t="str">
        <f t="shared" si="23"/>
        <v>Stato</v>
      </c>
      <c r="V173" t="str">
        <f t="shared" si="24"/>
        <v>QIS1</v>
      </c>
      <c r="W173" t="str">
        <f t="shared" si="25"/>
        <v>CABINA PRINCIPALE</v>
      </c>
      <c r="Z173" t="str">
        <f t="shared" si="26"/>
        <v>10.220.80.16</v>
      </c>
    </row>
    <row r="174" spans="1:26" x14ac:dyDescent="0.25">
      <c r="A174" t="s">
        <v>10</v>
      </c>
      <c r="B174" t="s">
        <v>11</v>
      </c>
      <c r="C174" t="s">
        <v>360</v>
      </c>
      <c r="D174" t="s">
        <v>49</v>
      </c>
      <c r="E174">
        <v>13</v>
      </c>
      <c r="F174" t="s">
        <v>14</v>
      </c>
      <c r="G174" t="s">
        <v>28</v>
      </c>
      <c r="H174" t="s">
        <v>22</v>
      </c>
      <c r="I174" t="s">
        <v>396</v>
      </c>
      <c r="J174" t="s">
        <v>397</v>
      </c>
      <c r="K174" t="str">
        <f t="shared" si="18"/>
        <v>1010.10</v>
      </c>
      <c r="N174" t="str">
        <f t="shared" si="19"/>
        <v>HOLDING REGISTER</v>
      </c>
      <c r="O174" t="str">
        <f t="shared" si="20"/>
        <v>BOOL</v>
      </c>
      <c r="P174" t="str">
        <f t="shared" si="21"/>
        <v>INTERRUTTORE 13</v>
      </c>
      <c r="R174" t="str">
        <f t="shared" si="22"/>
        <v>QIS1 -INTERRUTTORE DORSALE DIR. SUD SOS SCATTATO</v>
      </c>
      <c r="U174" t="str">
        <f t="shared" si="23"/>
        <v>Allarme</v>
      </c>
      <c r="V174" t="str">
        <f t="shared" si="24"/>
        <v>QIS1</v>
      </c>
      <c r="W174" t="str">
        <f t="shared" si="25"/>
        <v>CABINA PRINCIPALE</v>
      </c>
      <c r="Z174" t="str">
        <f t="shared" si="26"/>
        <v>10.220.80.16</v>
      </c>
    </row>
    <row r="175" spans="1:26" x14ac:dyDescent="0.25">
      <c r="A175" t="s">
        <v>10</v>
      </c>
      <c r="B175" t="s">
        <v>11</v>
      </c>
      <c r="C175" t="s">
        <v>360</v>
      </c>
      <c r="D175" t="s">
        <v>49</v>
      </c>
      <c r="E175">
        <v>15</v>
      </c>
      <c r="F175" t="s">
        <v>14</v>
      </c>
      <c r="G175" t="s">
        <v>21</v>
      </c>
      <c r="H175" t="s">
        <v>22</v>
      </c>
      <c r="I175" t="s">
        <v>398</v>
      </c>
      <c r="J175" t="s">
        <v>399</v>
      </c>
      <c r="K175" t="str">
        <f t="shared" si="18"/>
        <v>1010.11</v>
      </c>
      <c r="N175" t="str">
        <f t="shared" si="19"/>
        <v>HOLDING REGISTER</v>
      </c>
      <c r="O175" t="str">
        <f t="shared" si="20"/>
        <v>BOOL</v>
      </c>
      <c r="P175" t="str">
        <f t="shared" si="21"/>
        <v>INTERRUTTORE 15</v>
      </c>
      <c r="R175" t="str">
        <f t="shared" si="22"/>
        <v>QIS1 -INTERRUTTORE DORSALE DIR. NORD CARTELLI VIE ESODO CHIUSO</v>
      </c>
      <c r="U175" t="str">
        <f t="shared" si="23"/>
        <v>Stato</v>
      </c>
      <c r="V175" t="str">
        <f t="shared" si="24"/>
        <v>QIS1</v>
      </c>
      <c r="W175" t="str">
        <f t="shared" si="25"/>
        <v>CABINA PRINCIPALE</v>
      </c>
      <c r="Z175" t="str">
        <f t="shared" si="26"/>
        <v>10.220.80.16</v>
      </c>
    </row>
    <row r="176" spans="1:26" x14ac:dyDescent="0.25">
      <c r="A176" t="s">
        <v>10</v>
      </c>
      <c r="B176" t="s">
        <v>11</v>
      </c>
      <c r="C176" t="s">
        <v>360</v>
      </c>
      <c r="D176" t="s">
        <v>49</v>
      </c>
      <c r="E176">
        <v>15</v>
      </c>
      <c r="F176" t="s">
        <v>14</v>
      </c>
      <c r="G176" t="s">
        <v>28</v>
      </c>
      <c r="H176" t="s">
        <v>22</v>
      </c>
      <c r="I176" t="s">
        <v>400</v>
      </c>
      <c r="J176" t="s">
        <v>401</v>
      </c>
      <c r="K176" t="str">
        <f t="shared" si="18"/>
        <v>1010.12</v>
      </c>
      <c r="N176" t="str">
        <f t="shared" si="19"/>
        <v>HOLDING REGISTER</v>
      </c>
      <c r="O176" t="str">
        <f t="shared" si="20"/>
        <v>BOOL</v>
      </c>
      <c r="P176" t="str">
        <f t="shared" si="21"/>
        <v>INTERRUTTORE 15</v>
      </c>
      <c r="R176" t="str">
        <f t="shared" si="22"/>
        <v>QIS1 -INTERRUTTORE DORSALE DIR. NORD CARTELLI VIE ESODO SCATTATO</v>
      </c>
      <c r="U176" t="str">
        <f t="shared" si="23"/>
        <v>Allarme</v>
      </c>
      <c r="V176" t="str">
        <f t="shared" si="24"/>
        <v>QIS1</v>
      </c>
      <c r="W176" t="str">
        <f t="shared" si="25"/>
        <v>CABINA PRINCIPALE</v>
      </c>
      <c r="Z176" t="str">
        <f t="shared" si="26"/>
        <v>10.220.80.16</v>
      </c>
    </row>
    <row r="177" spans="1:26" x14ac:dyDescent="0.25">
      <c r="A177" t="s">
        <v>10</v>
      </c>
      <c r="B177" t="s">
        <v>11</v>
      </c>
      <c r="C177" t="s">
        <v>360</v>
      </c>
      <c r="D177" t="s">
        <v>49</v>
      </c>
      <c r="E177">
        <v>16</v>
      </c>
      <c r="F177" t="s">
        <v>14</v>
      </c>
      <c r="G177" t="s">
        <v>21</v>
      </c>
      <c r="H177" t="s">
        <v>22</v>
      </c>
      <c r="I177" t="s">
        <v>402</v>
      </c>
      <c r="J177" t="s">
        <v>403</v>
      </c>
      <c r="K177" t="str">
        <f t="shared" si="18"/>
        <v>1010.13</v>
      </c>
      <c r="N177" t="str">
        <f t="shared" si="19"/>
        <v>HOLDING REGISTER</v>
      </c>
      <c r="O177" t="str">
        <f t="shared" si="20"/>
        <v>BOOL</v>
      </c>
      <c r="P177" t="str">
        <f t="shared" si="21"/>
        <v>INTERRUTTORE 16</v>
      </c>
      <c r="R177" t="str">
        <f t="shared" si="22"/>
        <v>QIS1 -INTERRUTTORE DORSALE DIR. SUD CARTELLI VIE ESODO CHIUSO</v>
      </c>
      <c r="U177" t="str">
        <f t="shared" si="23"/>
        <v>Stato</v>
      </c>
      <c r="V177" t="str">
        <f t="shared" si="24"/>
        <v>QIS1</v>
      </c>
      <c r="W177" t="str">
        <f t="shared" si="25"/>
        <v>CABINA PRINCIPALE</v>
      </c>
      <c r="Z177" t="str">
        <f t="shared" si="26"/>
        <v>10.220.80.16</v>
      </c>
    </row>
    <row r="178" spans="1:26" x14ac:dyDescent="0.25">
      <c r="A178" t="s">
        <v>10</v>
      </c>
      <c r="B178" t="s">
        <v>11</v>
      </c>
      <c r="C178" t="s">
        <v>360</v>
      </c>
      <c r="D178" t="s">
        <v>49</v>
      </c>
      <c r="E178">
        <v>16</v>
      </c>
      <c r="F178" t="s">
        <v>14</v>
      </c>
      <c r="G178" t="s">
        <v>28</v>
      </c>
      <c r="H178" t="s">
        <v>22</v>
      </c>
      <c r="I178" t="s">
        <v>404</v>
      </c>
      <c r="J178" t="s">
        <v>405</v>
      </c>
      <c r="K178" t="str">
        <f t="shared" si="18"/>
        <v>1010.14</v>
      </c>
      <c r="N178" t="str">
        <f t="shared" si="19"/>
        <v>HOLDING REGISTER</v>
      </c>
      <c r="O178" t="str">
        <f t="shared" si="20"/>
        <v>BOOL</v>
      </c>
      <c r="P178" t="str">
        <f t="shared" si="21"/>
        <v>INTERRUTTORE 16</v>
      </c>
      <c r="R178" t="str">
        <f t="shared" si="22"/>
        <v>QIS1 -INTERRUTTORE DORSALE DIR. SUD CARTELLI VIE ESODO SCATTATO</v>
      </c>
      <c r="U178" t="str">
        <f t="shared" si="23"/>
        <v>Allarme</v>
      </c>
      <c r="V178" t="str">
        <f t="shared" si="24"/>
        <v>QIS1</v>
      </c>
      <c r="W178" t="str">
        <f t="shared" si="25"/>
        <v>CABINA PRINCIPALE</v>
      </c>
      <c r="Z178" t="str">
        <f t="shared" si="26"/>
        <v>10.220.80.16</v>
      </c>
    </row>
    <row r="179" spans="1:26" x14ac:dyDescent="0.25">
      <c r="A179" t="s">
        <v>10</v>
      </c>
      <c r="B179" t="s">
        <v>11</v>
      </c>
      <c r="C179" t="s">
        <v>360</v>
      </c>
      <c r="D179" t="s">
        <v>49</v>
      </c>
      <c r="E179">
        <v>18</v>
      </c>
      <c r="F179" t="s">
        <v>14</v>
      </c>
      <c r="G179" t="s">
        <v>21</v>
      </c>
      <c r="H179" t="s">
        <v>22</v>
      </c>
      <c r="I179" t="s">
        <v>406</v>
      </c>
      <c r="J179" t="s">
        <v>407</v>
      </c>
      <c r="K179" t="str">
        <f t="shared" si="18"/>
        <v>1010.15</v>
      </c>
      <c r="N179" t="str">
        <f t="shared" si="19"/>
        <v>HOLDING REGISTER</v>
      </c>
      <c r="O179" t="str">
        <f t="shared" si="20"/>
        <v>BOOL</v>
      </c>
      <c r="P179" t="str">
        <f t="shared" si="21"/>
        <v>INTERRUTTORE 18</v>
      </c>
      <c r="R179" t="str">
        <f t="shared" si="22"/>
        <v>QIS1 -INTERRUTTORE DORSALE DIR. NORD SEGNAL. LUMINOSA CHIUSO</v>
      </c>
      <c r="U179" t="str">
        <f t="shared" si="23"/>
        <v>Stato</v>
      </c>
      <c r="V179" t="str">
        <f t="shared" si="24"/>
        <v>QIS1</v>
      </c>
      <c r="W179" t="str">
        <f t="shared" si="25"/>
        <v>CABINA PRINCIPALE</v>
      </c>
      <c r="Z179" t="str">
        <f t="shared" si="26"/>
        <v>10.220.80.16</v>
      </c>
    </row>
    <row r="180" spans="1:26" x14ac:dyDescent="0.25">
      <c r="A180" t="s">
        <v>10</v>
      </c>
      <c r="B180" t="s">
        <v>11</v>
      </c>
      <c r="C180" t="s">
        <v>360</v>
      </c>
      <c r="D180" t="s">
        <v>49</v>
      </c>
      <c r="E180">
        <v>18</v>
      </c>
      <c r="F180" t="s">
        <v>14</v>
      </c>
      <c r="G180" t="s">
        <v>28</v>
      </c>
      <c r="H180" t="s">
        <v>22</v>
      </c>
      <c r="I180" t="s">
        <v>408</v>
      </c>
      <c r="J180" t="s">
        <v>409</v>
      </c>
      <c r="K180" t="str">
        <f t="shared" si="18"/>
        <v>1011.0</v>
      </c>
      <c r="N180" t="str">
        <f t="shared" si="19"/>
        <v>HOLDING REGISTER</v>
      </c>
      <c r="O180" t="str">
        <f t="shared" si="20"/>
        <v>BOOL</v>
      </c>
      <c r="P180" t="str">
        <f t="shared" si="21"/>
        <v>INTERRUTTORE 18</v>
      </c>
      <c r="R180" t="str">
        <f t="shared" si="22"/>
        <v>QIS1 -INTERRUTTORE DORSALE DIR. NORD SEGNAL. LUMINOSA SCATTATO</v>
      </c>
      <c r="U180" t="str">
        <f t="shared" si="23"/>
        <v>Allarme</v>
      </c>
      <c r="V180" t="str">
        <f t="shared" si="24"/>
        <v>QIS1</v>
      </c>
      <c r="W180" t="str">
        <f t="shared" si="25"/>
        <v>CABINA PRINCIPALE</v>
      </c>
      <c r="Z180" t="str">
        <f t="shared" si="26"/>
        <v>10.220.80.16</v>
      </c>
    </row>
    <row r="181" spans="1:26" x14ac:dyDescent="0.25">
      <c r="A181" t="s">
        <v>10</v>
      </c>
      <c r="B181" t="s">
        <v>11</v>
      </c>
      <c r="C181" t="s">
        <v>360</v>
      </c>
      <c r="D181" t="s">
        <v>49</v>
      </c>
      <c r="E181">
        <v>19</v>
      </c>
      <c r="F181" t="s">
        <v>14</v>
      </c>
      <c r="G181" t="s">
        <v>21</v>
      </c>
      <c r="H181" t="s">
        <v>22</v>
      </c>
      <c r="I181" t="s">
        <v>410</v>
      </c>
      <c r="J181" t="s">
        <v>411</v>
      </c>
      <c r="K181" t="str">
        <f t="shared" si="18"/>
        <v>1011.1</v>
      </c>
      <c r="N181" t="str">
        <f t="shared" si="19"/>
        <v>HOLDING REGISTER</v>
      </c>
      <c r="O181" t="str">
        <f t="shared" si="20"/>
        <v>BOOL</v>
      </c>
      <c r="P181" t="str">
        <f t="shared" si="21"/>
        <v>INTERRUTTORE 19</v>
      </c>
      <c r="R181" t="str">
        <f t="shared" si="22"/>
        <v>QIS1 -INTERRUTTORE DORSALE DIR. SUD SEGNAL. LUMINOSA CHIUSO</v>
      </c>
      <c r="U181" t="str">
        <f t="shared" si="23"/>
        <v>Stato</v>
      </c>
      <c r="V181" t="str">
        <f t="shared" si="24"/>
        <v>QIS1</v>
      </c>
      <c r="W181" t="str">
        <f t="shared" si="25"/>
        <v>CABINA PRINCIPALE</v>
      </c>
      <c r="Z181" t="str">
        <f t="shared" si="26"/>
        <v>10.220.80.16</v>
      </c>
    </row>
    <row r="182" spans="1:26" x14ac:dyDescent="0.25">
      <c r="A182" t="s">
        <v>10</v>
      </c>
      <c r="B182" t="s">
        <v>11</v>
      </c>
      <c r="C182" t="s">
        <v>360</v>
      </c>
      <c r="D182" t="s">
        <v>49</v>
      </c>
      <c r="E182">
        <v>19</v>
      </c>
      <c r="F182" t="s">
        <v>14</v>
      </c>
      <c r="G182" t="s">
        <v>28</v>
      </c>
      <c r="H182" t="s">
        <v>22</v>
      </c>
      <c r="I182" t="s">
        <v>412</v>
      </c>
      <c r="J182" t="s">
        <v>413</v>
      </c>
      <c r="K182" t="str">
        <f t="shared" si="18"/>
        <v>1011.2</v>
      </c>
      <c r="N182" t="str">
        <f t="shared" si="19"/>
        <v>HOLDING REGISTER</v>
      </c>
      <c r="O182" t="str">
        <f t="shared" si="20"/>
        <v>BOOL</v>
      </c>
      <c r="P182" t="str">
        <f t="shared" si="21"/>
        <v>INTERRUTTORE 19</v>
      </c>
      <c r="R182" t="str">
        <f t="shared" si="22"/>
        <v>QIS1 -INTERRUTTORE DORSALE DIR. SUD SEGNAL. LUMINOSA SCATTATO</v>
      </c>
      <c r="U182" t="str">
        <f t="shared" si="23"/>
        <v>Allarme</v>
      </c>
      <c r="V182" t="str">
        <f t="shared" si="24"/>
        <v>QIS1</v>
      </c>
      <c r="W182" t="str">
        <f t="shared" si="25"/>
        <v>CABINA PRINCIPALE</v>
      </c>
      <c r="Z182" t="str">
        <f t="shared" si="26"/>
        <v>10.220.80.16</v>
      </c>
    </row>
    <row r="183" spans="1:26" x14ac:dyDescent="0.25">
      <c r="A183" t="s">
        <v>10</v>
      </c>
      <c r="B183" t="s">
        <v>11</v>
      </c>
      <c r="C183" t="s">
        <v>360</v>
      </c>
      <c r="D183" t="s">
        <v>49</v>
      </c>
      <c r="E183">
        <v>21</v>
      </c>
      <c r="F183" t="s">
        <v>14</v>
      </c>
      <c r="G183" t="s">
        <v>21</v>
      </c>
      <c r="H183" t="s">
        <v>22</v>
      </c>
      <c r="I183" t="s">
        <v>414</v>
      </c>
      <c r="J183" t="s">
        <v>415</v>
      </c>
      <c r="K183" t="str">
        <f t="shared" si="18"/>
        <v>1011.3</v>
      </c>
      <c r="N183" t="str">
        <f t="shared" si="19"/>
        <v>HOLDING REGISTER</v>
      </c>
      <c r="O183" t="str">
        <f t="shared" si="20"/>
        <v>BOOL</v>
      </c>
      <c r="P183" t="str">
        <f t="shared" si="21"/>
        <v>INTERRUTTORE 21</v>
      </c>
      <c r="R183" t="str">
        <f t="shared" si="22"/>
        <v>QIS1 -INTERRUTTORE ILLUMINAZIONE NORMALE VIA ESODO SOSPESA CHIUSO</v>
      </c>
      <c r="U183" t="str">
        <f t="shared" si="23"/>
        <v>Stato</v>
      </c>
      <c r="V183" t="str">
        <f t="shared" si="24"/>
        <v>QIS1</v>
      </c>
      <c r="W183" t="str">
        <f t="shared" si="25"/>
        <v>CABINA PRINCIPALE</v>
      </c>
      <c r="Z183" t="str">
        <f t="shared" si="26"/>
        <v>10.220.80.16</v>
      </c>
    </row>
    <row r="184" spans="1:26" x14ac:dyDescent="0.25">
      <c r="A184" t="s">
        <v>10</v>
      </c>
      <c r="B184" t="s">
        <v>11</v>
      </c>
      <c r="C184" t="s">
        <v>360</v>
      </c>
      <c r="D184" t="s">
        <v>49</v>
      </c>
      <c r="E184">
        <v>21</v>
      </c>
      <c r="F184" t="s">
        <v>14</v>
      </c>
      <c r="G184" t="s">
        <v>28</v>
      </c>
      <c r="H184" t="s">
        <v>22</v>
      </c>
      <c r="I184" t="s">
        <v>416</v>
      </c>
      <c r="J184" t="s">
        <v>417</v>
      </c>
      <c r="K184" t="str">
        <f t="shared" si="18"/>
        <v>1011.4</v>
      </c>
      <c r="N184" t="str">
        <f t="shared" si="19"/>
        <v>HOLDING REGISTER</v>
      </c>
      <c r="O184" t="str">
        <f t="shared" si="20"/>
        <v>BOOL</v>
      </c>
      <c r="P184" t="str">
        <f t="shared" si="21"/>
        <v>INTERRUTTORE 21</v>
      </c>
      <c r="R184" t="str">
        <f t="shared" si="22"/>
        <v>QIS1 -INTERRUTTORE ILLUMINAZIONE NORMALE VIA ESODO SOSPESA SCATTATO</v>
      </c>
      <c r="U184" t="str">
        <f t="shared" si="23"/>
        <v>Allarme</v>
      </c>
      <c r="V184" t="str">
        <f t="shared" si="24"/>
        <v>QIS1</v>
      </c>
      <c r="W184" t="str">
        <f t="shared" si="25"/>
        <v>CABINA PRINCIPALE</v>
      </c>
      <c r="Z184" t="str">
        <f t="shared" si="26"/>
        <v>10.220.80.16</v>
      </c>
    </row>
    <row r="185" spans="1:26" x14ac:dyDescent="0.25">
      <c r="A185" t="s">
        <v>10</v>
      </c>
      <c r="B185" t="s">
        <v>11</v>
      </c>
      <c r="C185" t="s">
        <v>360</v>
      </c>
      <c r="D185" t="s">
        <v>49</v>
      </c>
      <c r="E185">
        <v>22</v>
      </c>
      <c r="F185" t="s">
        <v>14</v>
      </c>
      <c r="G185" t="s">
        <v>21</v>
      </c>
      <c r="H185" t="s">
        <v>22</v>
      </c>
      <c r="I185" t="s">
        <v>418</v>
      </c>
      <c r="J185" t="s">
        <v>419</v>
      </c>
      <c r="K185" t="str">
        <f t="shared" si="18"/>
        <v>1011.5</v>
      </c>
      <c r="N185" t="str">
        <f t="shared" si="19"/>
        <v>HOLDING REGISTER</v>
      </c>
      <c r="O185" t="str">
        <f t="shared" si="20"/>
        <v>BOOL</v>
      </c>
      <c r="P185" t="str">
        <f t="shared" si="21"/>
        <v>INTERRUTTORE 22</v>
      </c>
      <c r="R185" t="str">
        <f t="shared" si="22"/>
        <v>QIS1 -INTERRUTTORE ILLUMINAZIONE EMERGENZA VIA ESODO SOSPESA CHIUSO</v>
      </c>
      <c r="U185" t="str">
        <f t="shared" si="23"/>
        <v>Stato</v>
      </c>
      <c r="V185" t="str">
        <f t="shared" si="24"/>
        <v>QIS1</v>
      </c>
      <c r="W185" t="str">
        <f t="shared" si="25"/>
        <v>CABINA PRINCIPALE</v>
      </c>
      <c r="Z185" t="str">
        <f t="shared" si="26"/>
        <v>10.220.80.16</v>
      </c>
    </row>
    <row r="186" spans="1:26" x14ac:dyDescent="0.25">
      <c r="A186" t="s">
        <v>10</v>
      </c>
      <c r="B186" t="s">
        <v>11</v>
      </c>
      <c r="C186" t="s">
        <v>360</v>
      </c>
      <c r="D186" t="s">
        <v>49</v>
      </c>
      <c r="E186">
        <v>22</v>
      </c>
      <c r="F186" t="s">
        <v>14</v>
      </c>
      <c r="G186" t="s">
        <v>28</v>
      </c>
      <c r="H186" t="s">
        <v>22</v>
      </c>
      <c r="I186" t="s">
        <v>420</v>
      </c>
      <c r="J186" t="s">
        <v>421</v>
      </c>
      <c r="K186" t="str">
        <f t="shared" si="18"/>
        <v>1011.6</v>
      </c>
      <c r="N186" t="str">
        <f t="shared" si="19"/>
        <v>HOLDING REGISTER</v>
      </c>
      <c r="O186" t="str">
        <f t="shared" si="20"/>
        <v>BOOL</v>
      </c>
      <c r="P186" t="str">
        <f t="shared" si="21"/>
        <v>INTERRUTTORE 22</v>
      </c>
      <c r="R186" t="str">
        <f t="shared" si="22"/>
        <v>QIS1 -INTERRUTTORE ILLUMINAZIONE EMERGENZA VIA ESODO SOSPESA SCATTATO</v>
      </c>
      <c r="U186" t="str">
        <f t="shared" si="23"/>
        <v>Allarme</v>
      </c>
      <c r="V186" t="str">
        <f t="shared" si="24"/>
        <v>QIS1</v>
      </c>
      <c r="W186" t="str">
        <f t="shared" si="25"/>
        <v>CABINA PRINCIPALE</v>
      </c>
      <c r="Z186" t="str">
        <f t="shared" si="26"/>
        <v>10.220.80.16</v>
      </c>
    </row>
    <row r="187" spans="1:26" x14ac:dyDescent="0.25">
      <c r="A187" t="s">
        <v>10</v>
      </c>
      <c r="B187" t="s">
        <v>11</v>
      </c>
      <c r="C187" t="s">
        <v>360</v>
      </c>
      <c r="D187" t="s">
        <v>49</v>
      </c>
      <c r="E187">
        <v>23</v>
      </c>
      <c r="F187" t="s">
        <v>14</v>
      </c>
      <c r="G187" t="s">
        <v>21</v>
      </c>
      <c r="H187" t="s">
        <v>22</v>
      </c>
      <c r="I187" t="s">
        <v>422</v>
      </c>
      <c r="J187" t="s">
        <v>423</v>
      </c>
      <c r="K187" t="str">
        <f t="shared" si="18"/>
        <v>1011.7</v>
      </c>
      <c r="N187" t="str">
        <f t="shared" si="19"/>
        <v>HOLDING REGISTER</v>
      </c>
      <c r="O187" t="str">
        <f t="shared" si="20"/>
        <v>BOOL</v>
      </c>
      <c r="P187" t="str">
        <f t="shared" si="21"/>
        <v>INTERRUTTORE 23</v>
      </c>
      <c r="R187" t="str">
        <f t="shared" si="22"/>
        <v>QIS1 -INTERRUTTORE QVES SEZIONE UPS CHIUSO</v>
      </c>
      <c r="U187" t="str">
        <f t="shared" si="23"/>
        <v>Stato</v>
      </c>
      <c r="V187" t="str">
        <f t="shared" si="24"/>
        <v>QIS1</v>
      </c>
      <c r="W187" t="str">
        <f t="shared" si="25"/>
        <v>CABINA PRINCIPALE</v>
      </c>
      <c r="Z187" t="str">
        <f t="shared" si="26"/>
        <v>10.220.80.16</v>
      </c>
    </row>
    <row r="188" spans="1:26" x14ac:dyDescent="0.25">
      <c r="A188" t="s">
        <v>10</v>
      </c>
      <c r="B188" t="s">
        <v>11</v>
      </c>
      <c r="C188" t="s">
        <v>360</v>
      </c>
      <c r="D188" t="s">
        <v>49</v>
      </c>
      <c r="E188">
        <v>23</v>
      </c>
      <c r="F188" t="s">
        <v>14</v>
      </c>
      <c r="G188" t="s">
        <v>28</v>
      </c>
      <c r="H188" t="s">
        <v>22</v>
      </c>
      <c r="I188" t="s">
        <v>424</v>
      </c>
      <c r="J188" t="s">
        <v>425</v>
      </c>
      <c r="K188" t="str">
        <f t="shared" si="18"/>
        <v>1011.8</v>
      </c>
      <c r="N188" t="str">
        <f t="shared" si="19"/>
        <v>HOLDING REGISTER</v>
      </c>
      <c r="O188" t="str">
        <f t="shared" si="20"/>
        <v>BOOL</v>
      </c>
      <c r="P188" t="str">
        <f t="shared" si="21"/>
        <v>INTERRUTTORE 23</v>
      </c>
      <c r="R188" t="str">
        <f t="shared" si="22"/>
        <v>QIS1 -INTERRUTTORE QVES SEZIONE UPS SCATTATO</v>
      </c>
      <c r="U188" t="str">
        <f t="shared" si="23"/>
        <v>Allarme</v>
      </c>
      <c r="V188" t="str">
        <f t="shared" si="24"/>
        <v>QIS1</v>
      </c>
      <c r="W188" t="str">
        <f t="shared" si="25"/>
        <v>CABINA PRINCIPALE</v>
      </c>
      <c r="Z188" t="str">
        <f t="shared" si="26"/>
        <v>10.220.80.16</v>
      </c>
    </row>
    <row r="189" spans="1:26" x14ac:dyDescent="0.25">
      <c r="A189" t="s">
        <v>10</v>
      </c>
      <c r="B189" t="s">
        <v>11</v>
      </c>
      <c r="C189" t="s">
        <v>360</v>
      </c>
      <c r="D189" t="s">
        <v>49</v>
      </c>
      <c r="E189">
        <v>24</v>
      </c>
      <c r="F189" t="s">
        <v>14</v>
      </c>
      <c r="G189" t="s">
        <v>21</v>
      </c>
      <c r="H189" t="s">
        <v>22</v>
      </c>
      <c r="I189" t="s">
        <v>426</v>
      </c>
      <c r="J189" t="s">
        <v>427</v>
      </c>
      <c r="K189" t="str">
        <f t="shared" si="18"/>
        <v>1011.9</v>
      </c>
      <c r="N189" t="str">
        <f t="shared" si="19"/>
        <v>HOLDING REGISTER</v>
      </c>
      <c r="O189" t="str">
        <f t="shared" si="20"/>
        <v>BOOL</v>
      </c>
      <c r="P189" t="str">
        <f t="shared" si="21"/>
        <v>INTERRUTTORE 24</v>
      </c>
      <c r="R189" t="str">
        <f t="shared" si="22"/>
        <v>QIS1 -INTERRUTTORE DORSALE DIR. NORD PMV / FC CHIUSO</v>
      </c>
      <c r="U189" t="str">
        <f t="shared" si="23"/>
        <v>Stato</v>
      </c>
      <c r="V189" t="str">
        <f t="shared" si="24"/>
        <v>QIS1</v>
      </c>
      <c r="W189" t="str">
        <f t="shared" si="25"/>
        <v>CABINA PRINCIPALE</v>
      </c>
      <c r="Z189" t="str">
        <f t="shared" si="26"/>
        <v>10.220.80.16</v>
      </c>
    </row>
    <row r="190" spans="1:26" x14ac:dyDescent="0.25">
      <c r="A190" t="s">
        <v>10</v>
      </c>
      <c r="B190" t="s">
        <v>11</v>
      </c>
      <c r="C190" t="s">
        <v>360</v>
      </c>
      <c r="D190" t="s">
        <v>49</v>
      </c>
      <c r="E190">
        <v>24</v>
      </c>
      <c r="F190" t="s">
        <v>14</v>
      </c>
      <c r="G190" t="s">
        <v>28</v>
      </c>
      <c r="H190" t="s">
        <v>22</v>
      </c>
      <c r="I190" t="s">
        <v>428</v>
      </c>
      <c r="J190" t="s">
        <v>429</v>
      </c>
      <c r="K190" t="str">
        <f t="shared" si="18"/>
        <v>1011.10</v>
      </c>
      <c r="N190" t="str">
        <f t="shared" si="19"/>
        <v>HOLDING REGISTER</v>
      </c>
      <c r="O190" t="str">
        <f t="shared" si="20"/>
        <v>BOOL</v>
      </c>
      <c r="P190" t="str">
        <f t="shared" si="21"/>
        <v>INTERRUTTORE 24</v>
      </c>
      <c r="R190" t="str">
        <f t="shared" si="22"/>
        <v>QIS1 -INTERRUTTORE DORSALE DIR. NORD PMV / FC SCATTATO</v>
      </c>
      <c r="U190" t="str">
        <f t="shared" si="23"/>
        <v>Allarme</v>
      </c>
      <c r="V190" t="str">
        <f t="shared" si="24"/>
        <v>QIS1</v>
      </c>
      <c r="W190" t="str">
        <f t="shared" si="25"/>
        <v>CABINA PRINCIPALE</v>
      </c>
      <c r="Z190" t="str">
        <f t="shared" si="26"/>
        <v>10.220.80.16</v>
      </c>
    </row>
    <row r="191" spans="1:26" x14ac:dyDescent="0.25">
      <c r="A191" t="s">
        <v>10</v>
      </c>
      <c r="B191" t="s">
        <v>11</v>
      </c>
      <c r="C191" t="s">
        <v>360</v>
      </c>
      <c r="D191" t="s">
        <v>49</v>
      </c>
      <c r="E191">
        <v>25</v>
      </c>
      <c r="F191" t="s">
        <v>14</v>
      </c>
      <c r="G191" t="s">
        <v>21</v>
      </c>
      <c r="H191" t="s">
        <v>22</v>
      </c>
      <c r="I191" t="s">
        <v>430</v>
      </c>
      <c r="J191" t="s">
        <v>431</v>
      </c>
      <c r="K191" t="str">
        <f t="shared" si="18"/>
        <v>1011.11</v>
      </c>
      <c r="N191" t="str">
        <f t="shared" si="19"/>
        <v>HOLDING REGISTER</v>
      </c>
      <c r="O191" t="str">
        <f t="shared" si="20"/>
        <v>BOOL</v>
      </c>
      <c r="P191" t="str">
        <f t="shared" si="21"/>
        <v>INTERRUTTORE 25</v>
      </c>
      <c r="R191" t="str">
        <f t="shared" si="22"/>
        <v>QIS1 -INTERRUTTORE DORSALE DIR. SUD PMV / FC CHIUSO</v>
      </c>
      <c r="U191" t="str">
        <f t="shared" si="23"/>
        <v>Stato</v>
      </c>
      <c r="V191" t="str">
        <f t="shared" si="24"/>
        <v>QIS1</v>
      </c>
      <c r="W191" t="str">
        <f t="shared" si="25"/>
        <v>CABINA PRINCIPALE</v>
      </c>
      <c r="Z191" t="str">
        <f t="shared" si="26"/>
        <v>10.220.80.16</v>
      </c>
    </row>
    <row r="192" spans="1:26" x14ac:dyDescent="0.25">
      <c r="A192" t="s">
        <v>10</v>
      </c>
      <c r="B192" t="s">
        <v>11</v>
      </c>
      <c r="C192" t="s">
        <v>360</v>
      </c>
      <c r="D192" t="s">
        <v>49</v>
      </c>
      <c r="E192">
        <v>25</v>
      </c>
      <c r="F192" t="s">
        <v>14</v>
      </c>
      <c r="G192" t="s">
        <v>28</v>
      </c>
      <c r="H192" t="s">
        <v>22</v>
      </c>
      <c r="I192" t="s">
        <v>432</v>
      </c>
      <c r="J192" t="s">
        <v>433</v>
      </c>
      <c r="K192" t="str">
        <f t="shared" si="18"/>
        <v>1011.12</v>
      </c>
      <c r="N192" t="str">
        <f t="shared" si="19"/>
        <v>HOLDING REGISTER</v>
      </c>
      <c r="O192" t="str">
        <f t="shared" si="20"/>
        <v>BOOL</v>
      </c>
      <c r="P192" t="str">
        <f t="shared" si="21"/>
        <v>INTERRUTTORE 25</v>
      </c>
      <c r="R192" t="str">
        <f t="shared" si="22"/>
        <v>QIS1 -INTERRUTTORE DORSALE DIR. SUD PMV / FC SCATTATO</v>
      </c>
      <c r="U192" t="str">
        <f t="shared" si="23"/>
        <v>Allarme</v>
      </c>
      <c r="V192" t="str">
        <f t="shared" si="24"/>
        <v>QIS1</v>
      </c>
      <c r="W192" t="str">
        <f t="shared" si="25"/>
        <v>CABINA PRINCIPALE</v>
      </c>
      <c r="Z192" t="str">
        <f t="shared" si="26"/>
        <v>10.220.80.16</v>
      </c>
    </row>
    <row r="193" spans="1:26" x14ac:dyDescent="0.25">
      <c r="A193" t="s">
        <v>10</v>
      </c>
      <c r="B193" t="s">
        <v>11</v>
      </c>
      <c r="C193" t="s">
        <v>360</v>
      </c>
      <c r="D193" t="s">
        <v>49</v>
      </c>
      <c r="E193">
        <v>27</v>
      </c>
      <c r="F193" t="s">
        <v>14</v>
      </c>
      <c r="G193" t="s">
        <v>21</v>
      </c>
      <c r="H193" t="s">
        <v>22</v>
      </c>
      <c r="I193" t="s">
        <v>434</v>
      </c>
      <c r="J193" t="s">
        <v>435</v>
      </c>
      <c r="K193" t="str">
        <f t="shared" si="18"/>
        <v>1011.13</v>
      </c>
      <c r="N193" t="str">
        <f t="shared" si="19"/>
        <v>HOLDING REGISTER</v>
      </c>
      <c r="O193" t="str">
        <f t="shared" si="20"/>
        <v>BOOL</v>
      </c>
      <c r="P193" t="str">
        <f t="shared" si="21"/>
        <v>INTERRUTTORE 27</v>
      </c>
      <c r="R193" t="str">
        <f t="shared" si="22"/>
        <v>QIS1 -INTERRUTTORE TRAVERSA PMV DIR. NORD CHIUSO</v>
      </c>
      <c r="U193" t="str">
        <f t="shared" si="23"/>
        <v>Stato</v>
      </c>
      <c r="V193" t="str">
        <f t="shared" si="24"/>
        <v>QIS1</v>
      </c>
      <c r="W193" t="str">
        <f t="shared" si="25"/>
        <v>CABINA PRINCIPALE</v>
      </c>
      <c r="Z193" t="str">
        <f t="shared" si="26"/>
        <v>10.220.80.16</v>
      </c>
    </row>
    <row r="194" spans="1:26" x14ac:dyDescent="0.25">
      <c r="A194" t="s">
        <v>10</v>
      </c>
      <c r="B194" t="s">
        <v>11</v>
      </c>
      <c r="C194" t="s">
        <v>360</v>
      </c>
      <c r="D194" t="s">
        <v>49</v>
      </c>
      <c r="E194">
        <v>27</v>
      </c>
      <c r="F194" t="s">
        <v>14</v>
      </c>
      <c r="G194" t="s">
        <v>28</v>
      </c>
      <c r="H194" t="s">
        <v>22</v>
      </c>
      <c r="I194" t="s">
        <v>436</v>
      </c>
      <c r="J194" t="s">
        <v>437</v>
      </c>
      <c r="K194" t="str">
        <f t="shared" si="18"/>
        <v>1011.14</v>
      </c>
      <c r="N194" t="str">
        <f t="shared" si="19"/>
        <v>HOLDING REGISTER</v>
      </c>
      <c r="O194" t="str">
        <f t="shared" si="20"/>
        <v>BOOL</v>
      </c>
      <c r="P194" t="str">
        <f t="shared" si="21"/>
        <v>INTERRUTTORE 27</v>
      </c>
      <c r="R194" t="str">
        <f t="shared" si="22"/>
        <v>QIS1 -INTERRUTTORE TRAVERSA PMV DIR. NORD SCATTATO</v>
      </c>
      <c r="U194" t="str">
        <f t="shared" si="23"/>
        <v>Allarme</v>
      </c>
      <c r="V194" t="str">
        <f t="shared" si="24"/>
        <v>QIS1</v>
      </c>
      <c r="W194" t="str">
        <f t="shared" si="25"/>
        <v>CABINA PRINCIPALE</v>
      </c>
      <c r="Z194" t="str">
        <f t="shared" si="26"/>
        <v>10.220.80.16</v>
      </c>
    </row>
    <row r="195" spans="1:26" x14ac:dyDescent="0.25">
      <c r="A195" t="s">
        <v>10</v>
      </c>
      <c r="B195" t="s">
        <v>11</v>
      </c>
      <c r="C195" t="s">
        <v>360</v>
      </c>
      <c r="D195" t="s">
        <v>49</v>
      </c>
      <c r="E195">
        <v>28</v>
      </c>
      <c r="F195" t="s">
        <v>14</v>
      </c>
      <c r="G195" t="s">
        <v>21</v>
      </c>
      <c r="H195" t="s">
        <v>22</v>
      </c>
      <c r="I195" t="s">
        <v>438</v>
      </c>
      <c r="J195" t="s">
        <v>439</v>
      </c>
      <c r="K195" t="str">
        <f t="shared" ref="K195:K258" si="27">IF(I195="","",I195)</f>
        <v>1011.15</v>
      </c>
      <c r="N195" t="str">
        <f t="shared" ref="N195:N258" si="28">IF(F195="","",F195)</f>
        <v>HOLDING REGISTER</v>
      </c>
      <c r="O195" t="str">
        <f t="shared" ref="O195:O258" si="29">IF(H195="","",H195)</f>
        <v>BOOL</v>
      </c>
      <c r="P195" t="str">
        <f t="shared" ref="P195:P258" si="30">_xlfn.CONCAT(D195," ",E195)</f>
        <v>INTERRUTTORE 28</v>
      </c>
      <c r="R195" t="str">
        <f t="shared" ref="R195:R258" si="31">IF(J195="","",J195)</f>
        <v>QIS1 -INTERRUTTORE TRAVERSA PMV DIR. SUD CHIUSO</v>
      </c>
      <c r="U195" t="str">
        <f t="shared" ref="U195:U258" si="32">IF(G195="","",G195)</f>
        <v>Stato</v>
      </c>
      <c r="V195" t="str">
        <f t="shared" ref="V195:V258" si="33">IF(C195="","",C195)</f>
        <v>QIS1</v>
      </c>
      <c r="W195" t="str">
        <f t="shared" ref="W195:W258" si="34">IF(B195="","",B195)</f>
        <v>CABINA PRINCIPALE</v>
      </c>
      <c r="Z195" t="str">
        <f t="shared" ref="Z195:Z258" si="35">IF(A195="","",A195)</f>
        <v>10.220.80.16</v>
      </c>
    </row>
    <row r="196" spans="1:26" x14ac:dyDescent="0.25">
      <c r="A196" t="s">
        <v>10</v>
      </c>
      <c r="B196" t="s">
        <v>11</v>
      </c>
      <c r="C196" t="s">
        <v>360</v>
      </c>
      <c r="D196" t="s">
        <v>49</v>
      </c>
      <c r="E196">
        <v>28</v>
      </c>
      <c r="F196" t="s">
        <v>14</v>
      </c>
      <c r="G196" t="s">
        <v>28</v>
      </c>
      <c r="H196" t="s">
        <v>22</v>
      </c>
      <c r="I196" t="s">
        <v>440</v>
      </c>
      <c r="J196" t="s">
        <v>441</v>
      </c>
      <c r="K196" t="str">
        <f t="shared" si="27"/>
        <v>1012.0</v>
      </c>
      <c r="N196" t="str">
        <f t="shared" si="28"/>
        <v>HOLDING REGISTER</v>
      </c>
      <c r="O196" t="str">
        <f t="shared" si="29"/>
        <v>BOOL</v>
      </c>
      <c r="P196" t="str">
        <f t="shared" si="30"/>
        <v>INTERRUTTORE 28</v>
      </c>
      <c r="R196" t="str">
        <f t="shared" si="31"/>
        <v>QIS1 -INTERRUTTORE TRAVERSA PMV DIR. SUD SCATTATO</v>
      </c>
      <c r="U196" t="str">
        <f t="shared" si="32"/>
        <v>Allarme</v>
      </c>
      <c r="V196" t="str">
        <f t="shared" si="33"/>
        <v>QIS1</v>
      </c>
      <c r="W196" t="str">
        <f t="shared" si="34"/>
        <v>CABINA PRINCIPALE</v>
      </c>
      <c r="Z196" t="str">
        <f t="shared" si="35"/>
        <v>10.220.80.16</v>
      </c>
    </row>
    <row r="197" spans="1:26" x14ac:dyDescent="0.25">
      <c r="A197" t="s">
        <v>10</v>
      </c>
      <c r="B197" t="s">
        <v>11</v>
      </c>
      <c r="C197" t="s">
        <v>360</v>
      </c>
      <c r="D197" t="s">
        <v>49</v>
      </c>
      <c r="E197">
        <v>30</v>
      </c>
      <c r="F197" t="s">
        <v>14</v>
      </c>
      <c r="G197" t="s">
        <v>21</v>
      </c>
      <c r="H197" t="s">
        <v>22</v>
      </c>
      <c r="I197" t="s">
        <v>442</v>
      </c>
      <c r="J197" t="s">
        <v>443</v>
      </c>
      <c r="K197" t="str">
        <f t="shared" si="27"/>
        <v>1012.1</v>
      </c>
      <c r="N197" t="str">
        <f t="shared" si="28"/>
        <v>HOLDING REGISTER</v>
      </c>
      <c r="O197" t="str">
        <f t="shared" si="29"/>
        <v>BOOL</v>
      </c>
      <c r="P197" t="str">
        <f t="shared" si="30"/>
        <v>INTERRUTTORE 30</v>
      </c>
      <c r="R197" t="str">
        <f t="shared" si="31"/>
        <v>QIS1 -INTERRUTTORE CONTROLLO TRAFFICO CHIUSO</v>
      </c>
      <c r="U197" t="str">
        <f t="shared" si="32"/>
        <v>Stato</v>
      </c>
      <c r="V197" t="str">
        <f t="shared" si="33"/>
        <v>QIS1</v>
      </c>
      <c r="W197" t="str">
        <f t="shared" si="34"/>
        <v>CABINA PRINCIPALE</v>
      </c>
      <c r="Z197" t="str">
        <f t="shared" si="35"/>
        <v>10.220.80.16</v>
      </c>
    </row>
    <row r="198" spans="1:26" x14ac:dyDescent="0.25">
      <c r="A198" t="s">
        <v>10</v>
      </c>
      <c r="B198" t="s">
        <v>11</v>
      </c>
      <c r="C198" t="s">
        <v>360</v>
      </c>
      <c r="D198" t="s">
        <v>49</v>
      </c>
      <c r="E198">
        <v>30</v>
      </c>
      <c r="F198" t="s">
        <v>14</v>
      </c>
      <c r="G198" t="s">
        <v>28</v>
      </c>
      <c r="H198" t="s">
        <v>22</v>
      </c>
      <c r="I198" t="s">
        <v>444</v>
      </c>
      <c r="J198" t="s">
        <v>445</v>
      </c>
      <c r="K198" t="str">
        <f t="shared" si="27"/>
        <v>1012.2</v>
      </c>
      <c r="N198" t="str">
        <f t="shared" si="28"/>
        <v>HOLDING REGISTER</v>
      </c>
      <c r="O198" t="str">
        <f t="shared" si="29"/>
        <v>BOOL</v>
      </c>
      <c r="P198" t="str">
        <f t="shared" si="30"/>
        <v>INTERRUTTORE 30</v>
      </c>
      <c r="R198" t="str">
        <f t="shared" si="31"/>
        <v>QIS1 -INTERRUTTORE CONTROLLO TRAFFICO SCATTATO</v>
      </c>
      <c r="U198" t="str">
        <f t="shared" si="32"/>
        <v>Allarme</v>
      </c>
      <c r="V198" t="str">
        <f t="shared" si="33"/>
        <v>QIS1</v>
      </c>
      <c r="W198" t="str">
        <f t="shared" si="34"/>
        <v>CABINA PRINCIPALE</v>
      </c>
      <c r="Z198" t="str">
        <f t="shared" si="35"/>
        <v>10.220.80.16</v>
      </c>
    </row>
    <row r="199" spans="1:26" x14ac:dyDescent="0.25">
      <c r="A199" t="s">
        <v>10</v>
      </c>
      <c r="B199" t="s">
        <v>11</v>
      </c>
      <c r="C199" t="s">
        <v>360</v>
      </c>
      <c r="D199" t="s">
        <v>49</v>
      </c>
      <c r="E199">
        <v>31</v>
      </c>
      <c r="F199" t="s">
        <v>14</v>
      </c>
      <c r="G199" t="s">
        <v>21</v>
      </c>
      <c r="H199" t="s">
        <v>22</v>
      </c>
      <c r="I199" t="s">
        <v>446</v>
      </c>
      <c r="J199" t="s">
        <v>447</v>
      </c>
      <c r="K199" t="str">
        <f t="shared" si="27"/>
        <v>1012.3</v>
      </c>
      <c r="N199" t="str">
        <f t="shared" si="28"/>
        <v>HOLDING REGISTER</v>
      </c>
      <c r="O199" t="str">
        <f t="shared" si="29"/>
        <v>BOOL</v>
      </c>
      <c r="P199" t="str">
        <f t="shared" si="30"/>
        <v>INTERRUTTORE 31</v>
      </c>
      <c r="R199" t="str">
        <f t="shared" si="31"/>
        <v>QIS1 -INTERRUTTORE RISERVA CHIUSO</v>
      </c>
      <c r="U199" t="str">
        <f t="shared" si="32"/>
        <v>Stato</v>
      </c>
      <c r="V199" t="str">
        <f t="shared" si="33"/>
        <v>QIS1</v>
      </c>
      <c r="W199" t="str">
        <f t="shared" si="34"/>
        <v>CABINA PRINCIPALE</v>
      </c>
      <c r="Z199" t="str">
        <f t="shared" si="35"/>
        <v>10.220.80.16</v>
      </c>
    </row>
    <row r="200" spans="1:26" x14ac:dyDescent="0.25">
      <c r="A200" t="s">
        <v>10</v>
      </c>
      <c r="B200" t="s">
        <v>11</v>
      </c>
      <c r="C200" t="s">
        <v>360</v>
      </c>
      <c r="D200" t="s">
        <v>49</v>
      </c>
      <c r="E200">
        <v>31</v>
      </c>
      <c r="F200" t="s">
        <v>14</v>
      </c>
      <c r="G200" t="s">
        <v>28</v>
      </c>
      <c r="H200" t="s">
        <v>22</v>
      </c>
      <c r="I200" t="s">
        <v>448</v>
      </c>
      <c r="J200" t="s">
        <v>449</v>
      </c>
      <c r="K200" t="str">
        <f t="shared" si="27"/>
        <v>1012.4</v>
      </c>
      <c r="N200" t="str">
        <f t="shared" si="28"/>
        <v>HOLDING REGISTER</v>
      </c>
      <c r="O200" t="str">
        <f t="shared" si="29"/>
        <v>BOOL</v>
      </c>
      <c r="P200" t="str">
        <f t="shared" si="30"/>
        <v>INTERRUTTORE 31</v>
      </c>
      <c r="R200" t="str">
        <f t="shared" si="31"/>
        <v>QIS1 -INTERRUTTORE RISERVA SCATTATO</v>
      </c>
      <c r="U200" t="str">
        <f t="shared" si="32"/>
        <v>Allarme</v>
      </c>
      <c r="V200" t="str">
        <f t="shared" si="33"/>
        <v>QIS1</v>
      </c>
      <c r="W200" t="str">
        <f t="shared" si="34"/>
        <v>CABINA PRINCIPALE</v>
      </c>
      <c r="Z200" t="str">
        <f t="shared" si="35"/>
        <v>10.220.80.16</v>
      </c>
    </row>
    <row r="201" spans="1:26" x14ac:dyDescent="0.25">
      <c r="A201" t="s">
        <v>10</v>
      </c>
      <c r="B201" t="s">
        <v>11</v>
      </c>
      <c r="C201" t="s">
        <v>360</v>
      </c>
      <c r="D201" t="s">
        <v>49</v>
      </c>
      <c r="E201">
        <v>40</v>
      </c>
      <c r="F201" t="s">
        <v>14</v>
      </c>
      <c r="G201" t="s">
        <v>21</v>
      </c>
      <c r="H201" t="s">
        <v>22</v>
      </c>
      <c r="I201" t="s">
        <v>450</v>
      </c>
      <c r="J201" t="s">
        <v>447</v>
      </c>
      <c r="K201" t="str">
        <f t="shared" si="27"/>
        <v>1012.5</v>
      </c>
      <c r="N201" t="str">
        <f t="shared" si="28"/>
        <v>HOLDING REGISTER</v>
      </c>
      <c r="O201" t="str">
        <f t="shared" si="29"/>
        <v>BOOL</v>
      </c>
      <c r="P201" t="str">
        <f t="shared" si="30"/>
        <v>INTERRUTTORE 40</v>
      </c>
      <c r="R201" t="str">
        <f t="shared" si="31"/>
        <v>QIS1 -INTERRUTTORE RISERVA CHIUSO</v>
      </c>
      <c r="U201" t="str">
        <f t="shared" si="32"/>
        <v>Stato</v>
      </c>
      <c r="V201" t="str">
        <f t="shared" si="33"/>
        <v>QIS1</v>
      </c>
      <c r="W201" t="str">
        <f t="shared" si="34"/>
        <v>CABINA PRINCIPALE</v>
      </c>
      <c r="Z201" t="str">
        <f t="shared" si="35"/>
        <v>10.220.80.16</v>
      </c>
    </row>
    <row r="202" spans="1:26" x14ac:dyDescent="0.25">
      <c r="A202" t="s">
        <v>10</v>
      </c>
      <c r="B202" t="s">
        <v>11</v>
      </c>
      <c r="C202" t="s">
        <v>360</v>
      </c>
      <c r="D202" t="s">
        <v>49</v>
      </c>
      <c r="E202">
        <v>40</v>
      </c>
      <c r="F202" t="s">
        <v>14</v>
      </c>
      <c r="G202" t="s">
        <v>28</v>
      </c>
      <c r="H202" t="s">
        <v>22</v>
      </c>
      <c r="I202" t="s">
        <v>451</v>
      </c>
      <c r="J202" t="s">
        <v>449</v>
      </c>
      <c r="K202" t="str">
        <f t="shared" si="27"/>
        <v>1012.6</v>
      </c>
      <c r="N202" t="str">
        <f t="shared" si="28"/>
        <v>HOLDING REGISTER</v>
      </c>
      <c r="O202" t="str">
        <f t="shared" si="29"/>
        <v>BOOL</v>
      </c>
      <c r="P202" t="str">
        <f t="shared" si="30"/>
        <v>INTERRUTTORE 40</v>
      </c>
      <c r="R202" t="str">
        <f t="shared" si="31"/>
        <v>QIS1 -INTERRUTTORE RISERVA SCATTATO</v>
      </c>
      <c r="U202" t="str">
        <f t="shared" si="32"/>
        <v>Allarme</v>
      </c>
      <c r="V202" t="str">
        <f t="shared" si="33"/>
        <v>QIS1</v>
      </c>
      <c r="W202" t="str">
        <f t="shared" si="34"/>
        <v>CABINA PRINCIPALE</v>
      </c>
      <c r="Z202" t="str">
        <f t="shared" si="35"/>
        <v>10.220.80.16</v>
      </c>
    </row>
    <row r="203" spans="1:26" x14ac:dyDescent="0.25">
      <c r="A203" t="s">
        <v>10</v>
      </c>
      <c r="B203" t="s">
        <v>11</v>
      </c>
      <c r="C203" t="s">
        <v>360</v>
      </c>
      <c r="D203" t="s">
        <v>49</v>
      </c>
      <c r="E203">
        <v>41</v>
      </c>
      <c r="F203" t="s">
        <v>14</v>
      </c>
      <c r="G203" t="s">
        <v>21</v>
      </c>
      <c r="H203" t="s">
        <v>22</v>
      </c>
      <c r="I203" t="s">
        <v>452</v>
      </c>
      <c r="J203" t="s">
        <v>447</v>
      </c>
      <c r="K203" t="str">
        <f t="shared" si="27"/>
        <v>1012.7</v>
      </c>
      <c r="N203" t="str">
        <f t="shared" si="28"/>
        <v>HOLDING REGISTER</v>
      </c>
      <c r="O203" t="str">
        <f t="shared" si="29"/>
        <v>BOOL</v>
      </c>
      <c r="P203" t="str">
        <f t="shared" si="30"/>
        <v>INTERRUTTORE 41</v>
      </c>
      <c r="R203" t="str">
        <f t="shared" si="31"/>
        <v>QIS1 -INTERRUTTORE RISERVA CHIUSO</v>
      </c>
      <c r="U203" t="str">
        <f t="shared" si="32"/>
        <v>Stato</v>
      </c>
      <c r="V203" t="str">
        <f t="shared" si="33"/>
        <v>QIS1</v>
      </c>
      <c r="W203" t="str">
        <f t="shared" si="34"/>
        <v>CABINA PRINCIPALE</v>
      </c>
      <c r="Z203" t="str">
        <f t="shared" si="35"/>
        <v>10.220.80.16</v>
      </c>
    </row>
    <row r="204" spans="1:26" x14ac:dyDescent="0.25">
      <c r="A204" t="s">
        <v>10</v>
      </c>
      <c r="B204" t="s">
        <v>11</v>
      </c>
      <c r="C204" t="s">
        <v>360</v>
      </c>
      <c r="D204" t="s">
        <v>49</v>
      </c>
      <c r="E204">
        <v>41</v>
      </c>
      <c r="F204" t="s">
        <v>14</v>
      </c>
      <c r="G204" t="s">
        <v>28</v>
      </c>
      <c r="H204" t="s">
        <v>22</v>
      </c>
      <c r="I204" t="s">
        <v>453</v>
      </c>
      <c r="J204" t="s">
        <v>449</v>
      </c>
      <c r="K204" t="str">
        <f t="shared" si="27"/>
        <v>1012.8</v>
      </c>
      <c r="N204" t="str">
        <f t="shared" si="28"/>
        <v>HOLDING REGISTER</v>
      </c>
      <c r="O204" t="str">
        <f t="shared" si="29"/>
        <v>BOOL</v>
      </c>
      <c r="P204" t="str">
        <f t="shared" si="30"/>
        <v>INTERRUTTORE 41</v>
      </c>
      <c r="R204" t="str">
        <f t="shared" si="31"/>
        <v>QIS1 -INTERRUTTORE RISERVA SCATTATO</v>
      </c>
      <c r="U204" t="str">
        <f t="shared" si="32"/>
        <v>Allarme</v>
      </c>
      <c r="V204" t="str">
        <f t="shared" si="33"/>
        <v>QIS1</v>
      </c>
      <c r="W204" t="str">
        <f t="shared" si="34"/>
        <v>CABINA PRINCIPALE</v>
      </c>
      <c r="Z204" t="str">
        <f t="shared" si="35"/>
        <v>10.220.80.16</v>
      </c>
    </row>
    <row r="205" spans="1:26" x14ac:dyDescent="0.25">
      <c r="A205" t="s">
        <v>10</v>
      </c>
      <c r="B205" t="s">
        <v>11</v>
      </c>
      <c r="C205" t="s">
        <v>360</v>
      </c>
      <c r="D205" t="s">
        <v>49</v>
      </c>
      <c r="E205">
        <v>42</v>
      </c>
      <c r="F205" t="s">
        <v>14</v>
      </c>
      <c r="G205" t="s">
        <v>21</v>
      </c>
      <c r="H205" t="s">
        <v>22</v>
      </c>
      <c r="I205" t="s">
        <v>454</v>
      </c>
      <c r="J205" t="s">
        <v>447</v>
      </c>
      <c r="K205" t="str">
        <f t="shared" si="27"/>
        <v>1012.9</v>
      </c>
      <c r="N205" t="str">
        <f t="shared" si="28"/>
        <v>HOLDING REGISTER</v>
      </c>
      <c r="O205" t="str">
        <f t="shared" si="29"/>
        <v>BOOL</v>
      </c>
      <c r="P205" t="str">
        <f t="shared" si="30"/>
        <v>INTERRUTTORE 42</v>
      </c>
      <c r="R205" t="str">
        <f t="shared" si="31"/>
        <v>QIS1 -INTERRUTTORE RISERVA CHIUSO</v>
      </c>
      <c r="U205" t="str">
        <f t="shared" si="32"/>
        <v>Stato</v>
      </c>
      <c r="V205" t="str">
        <f t="shared" si="33"/>
        <v>QIS1</v>
      </c>
      <c r="W205" t="str">
        <f t="shared" si="34"/>
        <v>CABINA PRINCIPALE</v>
      </c>
      <c r="Z205" t="str">
        <f t="shared" si="35"/>
        <v>10.220.80.16</v>
      </c>
    </row>
    <row r="206" spans="1:26" x14ac:dyDescent="0.25">
      <c r="A206" t="s">
        <v>10</v>
      </c>
      <c r="B206" t="s">
        <v>11</v>
      </c>
      <c r="C206" t="s">
        <v>360</v>
      </c>
      <c r="D206" t="s">
        <v>49</v>
      </c>
      <c r="E206">
        <v>42</v>
      </c>
      <c r="F206" t="s">
        <v>14</v>
      </c>
      <c r="G206" t="s">
        <v>28</v>
      </c>
      <c r="H206" t="s">
        <v>22</v>
      </c>
      <c r="I206" t="s">
        <v>455</v>
      </c>
      <c r="J206" t="s">
        <v>449</v>
      </c>
      <c r="K206" t="str">
        <f t="shared" si="27"/>
        <v>1012.10</v>
      </c>
      <c r="N206" t="str">
        <f t="shared" si="28"/>
        <v>HOLDING REGISTER</v>
      </c>
      <c r="O206" t="str">
        <f t="shared" si="29"/>
        <v>BOOL</v>
      </c>
      <c r="P206" t="str">
        <f t="shared" si="30"/>
        <v>INTERRUTTORE 42</v>
      </c>
      <c r="R206" t="str">
        <f t="shared" si="31"/>
        <v>QIS1 -INTERRUTTORE RISERVA SCATTATO</v>
      </c>
      <c r="U206" t="str">
        <f t="shared" si="32"/>
        <v>Allarme</v>
      </c>
      <c r="V206" t="str">
        <f t="shared" si="33"/>
        <v>QIS1</v>
      </c>
      <c r="W206" t="str">
        <f t="shared" si="34"/>
        <v>CABINA PRINCIPALE</v>
      </c>
      <c r="Z206" t="str">
        <f t="shared" si="35"/>
        <v>10.220.80.16</v>
      </c>
    </row>
    <row r="207" spans="1:26" x14ac:dyDescent="0.25">
      <c r="A207" t="s">
        <v>10</v>
      </c>
      <c r="B207" t="s">
        <v>11</v>
      </c>
      <c r="C207" t="s">
        <v>360</v>
      </c>
      <c r="D207" t="s">
        <v>49</v>
      </c>
      <c r="E207">
        <v>43</v>
      </c>
      <c r="F207" t="s">
        <v>14</v>
      </c>
      <c r="G207" t="s">
        <v>21</v>
      </c>
      <c r="H207" t="s">
        <v>22</v>
      </c>
      <c r="I207" t="s">
        <v>456</v>
      </c>
      <c r="J207" t="s">
        <v>447</v>
      </c>
      <c r="K207" t="str">
        <f t="shared" si="27"/>
        <v>1012.11</v>
      </c>
      <c r="N207" t="str">
        <f t="shared" si="28"/>
        <v>HOLDING REGISTER</v>
      </c>
      <c r="O207" t="str">
        <f t="shared" si="29"/>
        <v>BOOL</v>
      </c>
      <c r="P207" t="str">
        <f t="shared" si="30"/>
        <v>INTERRUTTORE 43</v>
      </c>
      <c r="R207" t="str">
        <f t="shared" si="31"/>
        <v>QIS1 -INTERRUTTORE RISERVA CHIUSO</v>
      </c>
      <c r="U207" t="str">
        <f t="shared" si="32"/>
        <v>Stato</v>
      </c>
      <c r="V207" t="str">
        <f t="shared" si="33"/>
        <v>QIS1</v>
      </c>
      <c r="W207" t="str">
        <f t="shared" si="34"/>
        <v>CABINA PRINCIPALE</v>
      </c>
      <c r="Z207" t="str">
        <f t="shared" si="35"/>
        <v>10.220.80.16</v>
      </c>
    </row>
    <row r="208" spans="1:26" x14ac:dyDescent="0.25">
      <c r="A208" t="s">
        <v>10</v>
      </c>
      <c r="B208" t="s">
        <v>11</v>
      </c>
      <c r="C208" t="s">
        <v>360</v>
      </c>
      <c r="D208" t="s">
        <v>49</v>
      </c>
      <c r="E208">
        <v>43</v>
      </c>
      <c r="F208" t="s">
        <v>14</v>
      </c>
      <c r="G208" t="s">
        <v>28</v>
      </c>
      <c r="H208" t="s">
        <v>22</v>
      </c>
      <c r="I208" t="s">
        <v>457</v>
      </c>
      <c r="J208" t="s">
        <v>449</v>
      </c>
      <c r="K208" t="str">
        <f t="shared" si="27"/>
        <v>1012.12</v>
      </c>
      <c r="N208" t="str">
        <f t="shared" si="28"/>
        <v>HOLDING REGISTER</v>
      </c>
      <c r="O208" t="str">
        <f t="shared" si="29"/>
        <v>BOOL</v>
      </c>
      <c r="P208" t="str">
        <f t="shared" si="30"/>
        <v>INTERRUTTORE 43</v>
      </c>
      <c r="R208" t="str">
        <f t="shared" si="31"/>
        <v>QIS1 -INTERRUTTORE RISERVA SCATTATO</v>
      </c>
      <c r="U208" t="str">
        <f t="shared" si="32"/>
        <v>Allarme</v>
      </c>
      <c r="V208" t="str">
        <f t="shared" si="33"/>
        <v>QIS1</v>
      </c>
      <c r="W208" t="str">
        <f t="shared" si="34"/>
        <v>CABINA PRINCIPALE</v>
      </c>
      <c r="Z208" t="str">
        <f t="shared" si="35"/>
        <v>10.220.80.16</v>
      </c>
    </row>
    <row r="209" spans="1:26" x14ac:dyDescent="0.25">
      <c r="A209" t="s">
        <v>10</v>
      </c>
      <c r="B209" t="s">
        <v>11</v>
      </c>
      <c r="C209" t="s">
        <v>360</v>
      </c>
      <c r="D209" t="s">
        <v>205</v>
      </c>
      <c r="E209" t="s">
        <v>206</v>
      </c>
      <c r="F209" t="s">
        <v>14</v>
      </c>
      <c r="G209" t="s">
        <v>28</v>
      </c>
      <c r="H209" t="s">
        <v>22</v>
      </c>
      <c r="I209" t="s">
        <v>458</v>
      </c>
      <c r="J209" t="s">
        <v>459</v>
      </c>
      <c r="K209" t="str">
        <f t="shared" si="27"/>
        <v>1012.13</v>
      </c>
      <c r="N209" t="str">
        <f t="shared" si="28"/>
        <v>HOLDING REGISTER</v>
      </c>
      <c r="O209" t="str">
        <f t="shared" si="29"/>
        <v>BOOL</v>
      </c>
      <c r="P209" t="str">
        <f t="shared" si="30"/>
        <v>REMOTE I/O RIO</v>
      </c>
      <c r="R209" t="str">
        <f t="shared" si="31"/>
        <v>QIS1 -ERRORE DI COMUNICAZIONE CON RIO</v>
      </c>
      <c r="U209" t="str">
        <f t="shared" si="32"/>
        <v>Allarme</v>
      </c>
      <c r="V209" t="str">
        <f t="shared" si="33"/>
        <v>QIS1</v>
      </c>
      <c r="W209" t="str">
        <f t="shared" si="34"/>
        <v>CABINA PRINCIPALE</v>
      </c>
      <c r="Z209" t="str">
        <f t="shared" si="35"/>
        <v>10.220.80.16</v>
      </c>
    </row>
    <row r="210" spans="1:26" x14ac:dyDescent="0.25">
      <c r="A210" t="s">
        <v>10</v>
      </c>
      <c r="B210" t="s">
        <v>11</v>
      </c>
      <c r="C210" t="s">
        <v>460</v>
      </c>
      <c r="D210" t="s">
        <v>361</v>
      </c>
      <c r="E210">
        <v>1</v>
      </c>
      <c r="F210" t="s">
        <v>362</v>
      </c>
      <c r="G210" t="s">
        <v>362</v>
      </c>
      <c r="H210" t="s">
        <v>362</v>
      </c>
      <c r="I210" t="s">
        <v>362</v>
      </c>
      <c r="J210" t="s">
        <v>363</v>
      </c>
      <c r="K210" t="str">
        <f t="shared" si="27"/>
        <v>---</v>
      </c>
      <c r="N210" t="str">
        <f t="shared" si="28"/>
        <v>---</v>
      </c>
      <c r="O210" t="str">
        <f t="shared" si="29"/>
        <v>---</v>
      </c>
      <c r="P210" t="str">
        <f t="shared" si="30"/>
        <v>SEZIONATORE 1</v>
      </c>
      <c r="R210" t="str">
        <f t="shared" si="31"/>
        <v>GENERALE QUADRO SENZA DIAGNOSTICA</v>
      </c>
      <c r="U210" t="str">
        <f t="shared" si="32"/>
        <v>---</v>
      </c>
      <c r="V210" t="str">
        <f t="shared" si="33"/>
        <v>QIS2</v>
      </c>
      <c r="W210" t="str">
        <f t="shared" si="34"/>
        <v>CABINA PRINCIPALE</v>
      </c>
      <c r="Z210" t="str">
        <f t="shared" si="35"/>
        <v>10.220.80.16</v>
      </c>
    </row>
    <row r="211" spans="1:26" x14ac:dyDescent="0.25">
      <c r="A211" t="s">
        <v>10</v>
      </c>
      <c r="B211" t="s">
        <v>11</v>
      </c>
      <c r="C211" t="s">
        <v>460</v>
      </c>
      <c r="D211" t="s">
        <v>94</v>
      </c>
      <c r="E211" t="s">
        <v>95</v>
      </c>
      <c r="F211" t="s">
        <v>14</v>
      </c>
      <c r="G211" t="s">
        <v>28</v>
      </c>
      <c r="H211" t="s">
        <v>22</v>
      </c>
      <c r="I211" t="s">
        <v>461</v>
      </c>
      <c r="J211" t="s">
        <v>462</v>
      </c>
      <c r="K211" t="str">
        <f t="shared" si="27"/>
        <v>1012.14</v>
      </c>
      <c r="N211" t="str">
        <f t="shared" si="28"/>
        <v>HOLDING REGISTER</v>
      </c>
      <c r="O211" t="str">
        <f t="shared" si="29"/>
        <v>BOOL</v>
      </c>
      <c r="P211" t="str">
        <f t="shared" si="30"/>
        <v>SCARICATORE SOVRATENSIONI SPD1</v>
      </c>
      <c r="R211" t="str">
        <f t="shared" si="31"/>
        <v>QIS2 -LIMITATORE DI SOVRATENSIONE INTERVENUTO</v>
      </c>
      <c r="U211" t="str">
        <f t="shared" si="32"/>
        <v>Allarme</v>
      </c>
      <c r="V211" t="str">
        <f t="shared" si="33"/>
        <v>QIS2</v>
      </c>
      <c r="W211" t="str">
        <f t="shared" si="34"/>
        <v>CABINA PRINCIPALE</v>
      </c>
      <c r="Z211" t="str">
        <f t="shared" si="35"/>
        <v>10.220.80.16</v>
      </c>
    </row>
    <row r="212" spans="1:26" x14ac:dyDescent="0.25">
      <c r="A212" t="s">
        <v>10</v>
      </c>
      <c r="B212" t="s">
        <v>11</v>
      </c>
      <c r="C212" t="s">
        <v>460</v>
      </c>
      <c r="D212" t="s">
        <v>49</v>
      </c>
      <c r="E212">
        <v>3</v>
      </c>
      <c r="F212" t="s">
        <v>14</v>
      </c>
      <c r="G212" t="s">
        <v>21</v>
      </c>
      <c r="H212" t="s">
        <v>22</v>
      </c>
      <c r="I212" t="s">
        <v>463</v>
      </c>
      <c r="J212" t="s">
        <v>464</v>
      </c>
      <c r="K212" t="str">
        <f t="shared" si="27"/>
        <v>1012.15</v>
      </c>
      <c r="N212" t="str">
        <f t="shared" si="28"/>
        <v>HOLDING REGISTER</v>
      </c>
      <c r="O212" t="str">
        <f t="shared" si="29"/>
        <v>BOOL</v>
      </c>
      <c r="P212" t="str">
        <f t="shared" si="30"/>
        <v>INTERRUTTORE 3</v>
      </c>
      <c r="R212" t="str">
        <f t="shared" si="31"/>
        <v>QIS2 -INTERRUTTORE QILL2 SEZIONE UPS CHIUSO</v>
      </c>
      <c r="U212" t="str">
        <f t="shared" si="32"/>
        <v>Stato</v>
      </c>
      <c r="V212" t="str">
        <f t="shared" si="33"/>
        <v>QIS2</v>
      </c>
      <c r="W212" t="str">
        <f t="shared" si="34"/>
        <v>CABINA PRINCIPALE</v>
      </c>
      <c r="Z212" t="str">
        <f t="shared" si="35"/>
        <v>10.220.80.16</v>
      </c>
    </row>
    <row r="213" spans="1:26" x14ac:dyDescent="0.25">
      <c r="A213" t="s">
        <v>10</v>
      </c>
      <c r="B213" t="s">
        <v>11</v>
      </c>
      <c r="C213" t="s">
        <v>460</v>
      </c>
      <c r="D213" t="s">
        <v>49</v>
      </c>
      <c r="E213">
        <v>3</v>
      </c>
      <c r="F213" t="s">
        <v>14</v>
      </c>
      <c r="G213" t="s">
        <v>28</v>
      </c>
      <c r="H213" t="s">
        <v>22</v>
      </c>
      <c r="I213" t="s">
        <v>465</v>
      </c>
      <c r="J213" t="s">
        <v>466</v>
      </c>
      <c r="K213" t="str">
        <f t="shared" si="27"/>
        <v>1013.0</v>
      </c>
      <c r="N213" t="str">
        <f t="shared" si="28"/>
        <v>HOLDING REGISTER</v>
      </c>
      <c r="O213" t="str">
        <f t="shared" si="29"/>
        <v>BOOL</v>
      </c>
      <c r="P213" t="str">
        <f t="shared" si="30"/>
        <v>INTERRUTTORE 3</v>
      </c>
      <c r="R213" t="str">
        <f t="shared" si="31"/>
        <v>QIS2 -INTERRUTTORE QILL2 SEZIONE UPS SCATTATO</v>
      </c>
      <c r="U213" t="str">
        <f t="shared" si="32"/>
        <v>Allarme</v>
      </c>
      <c r="V213" t="str">
        <f t="shared" si="33"/>
        <v>QIS2</v>
      </c>
      <c r="W213" t="str">
        <f t="shared" si="34"/>
        <v>CABINA PRINCIPALE</v>
      </c>
      <c r="Z213" t="str">
        <f t="shared" si="35"/>
        <v>10.220.80.16</v>
      </c>
    </row>
    <row r="214" spans="1:26" x14ac:dyDescent="0.25">
      <c r="A214" t="s">
        <v>10</v>
      </c>
      <c r="B214" t="s">
        <v>11</v>
      </c>
      <c r="C214" t="s">
        <v>460</v>
      </c>
      <c r="D214" t="s">
        <v>49</v>
      </c>
      <c r="E214">
        <v>6</v>
      </c>
      <c r="F214" t="s">
        <v>14</v>
      </c>
      <c r="G214" t="s">
        <v>21</v>
      </c>
      <c r="H214" t="s">
        <v>22</v>
      </c>
      <c r="I214" t="s">
        <v>467</v>
      </c>
      <c r="J214" t="s">
        <v>468</v>
      </c>
      <c r="K214" t="str">
        <f t="shared" si="27"/>
        <v>1013.1</v>
      </c>
      <c r="N214" t="str">
        <f t="shared" si="28"/>
        <v>HOLDING REGISTER</v>
      </c>
      <c r="O214" t="str">
        <f t="shared" si="29"/>
        <v>BOOL</v>
      </c>
      <c r="P214" t="str">
        <f t="shared" si="30"/>
        <v>INTERRUTTORE 6</v>
      </c>
      <c r="R214" t="str">
        <f t="shared" si="31"/>
        <v>QIS2 -INTERRUTTORE QPIAZZOLA SEZIONE UPS CHIUSO</v>
      </c>
      <c r="U214" t="str">
        <f t="shared" si="32"/>
        <v>Stato</v>
      </c>
      <c r="V214" t="str">
        <f t="shared" si="33"/>
        <v>QIS2</v>
      </c>
      <c r="W214" t="str">
        <f t="shared" si="34"/>
        <v>CABINA PRINCIPALE</v>
      </c>
      <c r="Z214" t="str">
        <f t="shared" si="35"/>
        <v>10.220.80.16</v>
      </c>
    </row>
    <row r="215" spans="1:26" x14ac:dyDescent="0.25">
      <c r="A215" t="s">
        <v>10</v>
      </c>
      <c r="B215" t="s">
        <v>11</v>
      </c>
      <c r="C215" t="s">
        <v>460</v>
      </c>
      <c r="D215" t="s">
        <v>49</v>
      </c>
      <c r="E215">
        <v>6</v>
      </c>
      <c r="F215" t="s">
        <v>14</v>
      </c>
      <c r="G215" t="s">
        <v>28</v>
      </c>
      <c r="H215" t="s">
        <v>22</v>
      </c>
      <c r="I215" t="s">
        <v>469</v>
      </c>
      <c r="J215" t="s">
        <v>470</v>
      </c>
      <c r="K215" t="str">
        <f t="shared" si="27"/>
        <v>1013.2</v>
      </c>
      <c r="N215" t="str">
        <f t="shared" si="28"/>
        <v>HOLDING REGISTER</v>
      </c>
      <c r="O215" t="str">
        <f t="shared" si="29"/>
        <v>BOOL</v>
      </c>
      <c r="P215" t="str">
        <f t="shared" si="30"/>
        <v>INTERRUTTORE 6</v>
      </c>
      <c r="R215" t="str">
        <f t="shared" si="31"/>
        <v>QIS2 -INTERRUTTORE QPIAZZOLA SEZIONE UPS SCATTATO</v>
      </c>
      <c r="U215" t="str">
        <f t="shared" si="32"/>
        <v>Allarme</v>
      </c>
      <c r="V215" t="str">
        <f t="shared" si="33"/>
        <v>QIS2</v>
      </c>
      <c r="W215" t="str">
        <f t="shared" si="34"/>
        <v>CABINA PRINCIPALE</v>
      </c>
      <c r="Z215" t="str">
        <f t="shared" si="35"/>
        <v>10.220.80.16</v>
      </c>
    </row>
    <row r="216" spans="1:26" x14ac:dyDescent="0.25">
      <c r="A216" t="s">
        <v>10</v>
      </c>
      <c r="B216" t="s">
        <v>11</v>
      </c>
      <c r="C216" t="s">
        <v>460</v>
      </c>
      <c r="D216" t="s">
        <v>49</v>
      </c>
      <c r="E216">
        <v>8</v>
      </c>
      <c r="F216" t="s">
        <v>14</v>
      </c>
      <c r="G216" t="s">
        <v>21</v>
      </c>
      <c r="H216" t="s">
        <v>22</v>
      </c>
      <c r="I216" t="s">
        <v>471</v>
      </c>
      <c r="J216" t="s">
        <v>472</v>
      </c>
      <c r="K216" t="str">
        <f t="shared" si="27"/>
        <v>1013.3</v>
      </c>
      <c r="N216" t="str">
        <f t="shared" si="28"/>
        <v>HOLDING REGISTER</v>
      </c>
      <c r="O216" t="str">
        <f t="shared" si="29"/>
        <v>BOOL</v>
      </c>
      <c r="P216" t="str">
        <f t="shared" si="30"/>
        <v>INTERRUTTORE 8</v>
      </c>
      <c r="R216" t="str">
        <f t="shared" si="31"/>
        <v>QIS2 -INTERRUTTORE Q_ACCESSI1 SEZIONE UPS CHIUSO</v>
      </c>
      <c r="U216" t="str">
        <f t="shared" si="32"/>
        <v>Stato</v>
      </c>
      <c r="V216" t="str">
        <f t="shared" si="33"/>
        <v>QIS2</v>
      </c>
      <c r="W216" t="str">
        <f t="shared" si="34"/>
        <v>CABINA PRINCIPALE</v>
      </c>
      <c r="Z216" t="str">
        <f t="shared" si="35"/>
        <v>10.220.80.16</v>
      </c>
    </row>
    <row r="217" spans="1:26" x14ac:dyDescent="0.25">
      <c r="A217" t="s">
        <v>10</v>
      </c>
      <c r="B217" t="s">
        <v>11</v>
      </c>
      <c r="C217" t="s">
        <v>460</v>
      </c>
      <c r="D217" t="s">
        <v>49</v>
      </c>
      <c r="E217">
        <v>8</v>
      </c>
      <c r="F217" t="s">
        <v>14</v>
      </c>
      <c r="G217" t="s">
        <v>28</v>
      </c>
      <c r="H217" t="s">
        <v>22</v>
      </c>
      <c r="I217" t="s">
        <v>473</v>
      </c>
      <c r="J217" t="s">
        <v>474</v>
      </c>
      <c r="K217" t="str">
        <f t="shared" si="27"/>
        <v>1013.4</v>
      </c>
      <c r="N217" t="str">
        <f t="shared" si="28"/>
        <v>HOLDING REGISTER</v>
      </c>
      <c r="O217" t="str">
        <f t="shared" si="29"/>
        <v>BOOL</v>
      </c>
      <c r="P217" t="str">
        <f t="shared" si="30"/>
        <v>INTERRUTTORE 8</v>
      </c>
      <c r="R217" t="str">
        <f t="shared" si="31"/>
        <v>QIS2 -INTERRUTTORE Q_ACCESSI1 SEZIONE UPS SCATTATO</v>
      </c>
      <c r="U217" t="str">
        <f t="shared" si="32"/>
        <v>Allarme</v>
      </c>
      <c r="V217" t="str">
        <f t="shared" si="33"/>
        <v>QIS2</v>
      </c>
      <c r="W217" t="str">
        <f t="shared" si="34"/>
        <v>CABINA PRINCIPALE</v>
      </c>
      <c r="Z217" t="str">
        <f t="shared" si="35"/>
        <v>10.220.80.16</v>
      </c>
    </row>
    <row r="218" spans="1:26" x14ac:dyDescent="0.25">
      <c r="A218" t="s">
        <v>10</v>
      </c>
      <c r="B218" t="s">
        <v>11</v>
      </c>
      <c r="C218" t="s">
        <v>460</v>
      </c>
      <c r="D218" t="s">
        <v>49</v>
      </c>
      <c r="E218">
        <v>9</v>
      </c>
      <c r="F218" t="s">
        <v>14</v>
      </c>
      <c r="G218" t="s">
        <v>21</v>
      </c>
      <c r="H218" t="s">
        <v>22</v>
      </c>
      <c r="I218" t="s">
        <v>475</v>
      </c>
      <c r="J218" t="s">
        <v>476</v>
      </c>
      <c r="K218" t="str">
        <f t="shared" si="27"/>
        <v>1013.5</v>
      </c>
      <c r="N218" t="str">
        <f t="shared" si="28"/>
        <v>HOLDING REGISTER</v>
      </c>
      <c r="O218" t="str">
        <f t="shared" si="29"/>
        <v>BOOL</v>
      </c>
      <c r="P218" t="str">
        <f t="shared" si="30"/>
        <v>INTERRUTTORE 9</v>
      </c>
      <c r="R218" t="str">
        <f t="shared" si="31"/>
        <v>QIS2 -INTERRUTTORE Q_ACCESSI2 SEZIONE UPS CHIUSO</v>
      </c>
      <c r="U218" t="str">
        <f t="shared" si="32"/>
        <v>Stato</v>
      </c>
      <c r="V218" t="str">
        <f t="shared" si="33"/>
        <v>QIS2</v>
      </c>
      <c r="W218" t="str">
        <f t="shared" si="34"/>
        <v>CABINA PRINCIPALE</v>
      </c>
      <c r="Z218" t="str">
        <f t="shared" si="35"/>
        <v>10.220.80.16</v>
      </c>
    </row>
    <row r="219" spans="1:26" x14ac:dyDescent="0.25">
      <c r="A219" t="s">
        <v>10</v>
      </c>
      <c r="B219" t="s">
        <v>11</v>
      </c>
      <c r="C219" t="s">
        <v>460</v>
      </c>
      <c r="D219" t="s">
        <v>49</v>
      </c>
      <c r="E219">
        <v>9</v>
      </c>
      <c r="F219" t="s">
        <v>14</v>
      </c>
      <c r="G219" t="s">
        <v>28</v>
      </c>
      <c r="H219" t="s">
        <v>22</v>
      </c>
      <c r="I219" t="s">
        <v>477</v>
      </c>
      <c r="J219" t="s">
        <v>478</v>
      </c>
      <c r="K219" t="str">
        <f t="shared" si="27"/>
        <v>1013.6</v>
      </c>
      <c r="N219" t="str">
        <f t="shared" si="28"/>
        <v>HOLDING REGISTER</v>
      </c>
      <c r="O219" t="str">
        <f t="shared" si="29"/>
        <v>BOOL</v>
      </c>
      <c r="P219" t="str">
        <f t="shared" si="30"/>
        <v>INTERRUTTORE 9</v>
      </c>
      <c r="R219" t="str">
        <f t="shared" si="31"/>
        <v>QIS2 -INTERRUTTORE Q_ACCESSI2 SEZIONE UPS SCATTATO</v>
      </c>
      <c r="U219" t="str">
        <f t="shared" si="32"/>
        <v>Allarme</v>
      </c>
      <c r="V219" t="str">
        <f t="shared" si="33"/>
        <v>QIS2</v>
      </c>
      <c r="W219" t="str">
        <f t="shared" si="34"/>
        <v>CABINA PRINCIPALE</v>
      </c>
      <c r="Z219" t="str">
        <f t="shared" si="35"/>
        <v>10.220.80.16</v>
      </c>
    </row>
    <row r="220" spans="1:26" x14ac:dyDescent="0.25">
      <c r="A220" t="s">
        <v>10</v>
      </c>
      <c r="B220" t="s">
        <v>11</v>
      </c>
      <c r="C220" t="s">
        <v>460</v>
      </c>
      <c r="D220" t="s">
        <v>49</v>
      </c>
      <c r="E220">
        <v>12</v>
      </c>
      <c r="F220" t="s">
        <v>14</v>
      </c>
      <c r="G220" t="s">
        <v>21</v>
      </c>
      <c r="H220" t="s">
        <v>22</v>
      </c>
      <c r="I220" t="s">
        <v>479</v>
      </c>
      <c r="J220" t="s">
        <v>480</v>
      </c>
      <c r="K220" t="str">
        <f t="shared" si="27"/>
        <v>1013.7</v>
      </c>
      <c r="N220" t="str">
        <f t="shared" si="28"/>
        <v>HOLDING REGISTER</v>
      </c>
      <c r="O220" t="str">
        <f t="shared" si="29"/>
        <v>BOOL</v>
      </c>
      <c r="P220" t="str">
        <f t="shared" si="30"/>
        <v>INTERRUTTORE 12</v>
      </c>
      <c r="R220" t="str">
        <f t="shared" si="31"/>
        <v>QIS2 -INTERRUTTORE DORSALE DIR. NORD SOS CHIUSO</v>
      </c>
      <c r="U220" t="str">
        <f t="shared" si="32"/>
        <v>Stato</v>
      </c>
      <c r="V220" t="str">
        <f t="shared" si="33"/>
        <v>QIS2</v>
      </c>
      <c r="W220" t="str">
        <f t="shared" si="34"/>
        <v>CABINA PRINCIPALE</v>
      </c>
      <c r="Z220" t="str">
        <f t="shared" si="35"/>
        <v>10.220.80.16</v>
      </c>
    </row>
    <row r="221" spans="1:26" x14ac:dyDescent="0.25">
      <c r="A221" t="s">
        <v>10</v>
      </c>
      <c r="B221" t="s">
        <v>11</v>
      </c>
      <c r="C221" t="s">
        <v>460</v>
      </c>
      <c r="D221" t="s">
        <v>49</v>
      </c>
      <c r="E221">
        <v>12</v>
      </c>
      <c r="F221" t="s">
        <v>14</v>
      </c>
      <c r="G221" t="s">
        <v>28</v>
      </c>
      <c r="H221" t="s">
        <v>22</v>
      </c>
      <c r="I221" t="s">
        <v>481</v>
      </c>
      <c r="J221" t="s">
        <v>482</v>
      </c>
      <c r="K221" t="str">
        <f t="shared" si="27"/>
        <v>1013.8</v>
      </c>
      <c r="N221" t="str">
        <f t="shared" si="28"/>
        <v>HOLDING REGISTER</v>
      </c>
      <c r="O221" t="str">
        <f t="shared" si="29"/>
        <v>BOOL</v>
      </c>
      <c r="P221" t="str">
        <f t="shared" si="30"/>
        <v>INTERRUTTORE 12</v>
      </c>
      <c r="R221" t="str">
        <f t="shared" si="31"/>
        <v>QIS2 -INTERRUTTORE DORSALE DIR. NORD SOS SCATTATO</v>
      </c>
      <c r="U221" t="str">
        <f t="shared" si="32"/>
        <v>Allarme</v>
      </c>
      <c r="V221" t="str">
        <f t="shared" si="33"/>
        <v>QIS2</v>
      </c>
      <c r="W221" t="str">
        <f t="shared" si="34"/>
        <v>CABINA PRINCIPALE</v>
      </c>
      <c r="Z221" t="str">
        <f t="shared" si="35"/>
        <v>10.220.80.16</v>
      </c>
    </row>
    <row r="222" spans="1:26" x14ac:dyDescent="0.25">
      <c r="A222" t="s">
        <v>10</v>
      </c>
      <c r="B222" t="s">
        <v>11</v>
      </c>
      <c r="C222" t="s">
        <v>460</v>
      </c>
      <c r="D222" t="s">
        <v>49</v>
      </c>
      <c r="E222">
        <v>13</v>
      </c>
      <c r="F222" t="s">
        <v>14</v>
      </c>
      <c r="G222" t="s">
        <v>21</v>
      </c>
      <c r="H222" t="s">
        <v>22</v>
      </c>
      <c r="I222" t="s">
        <v>483</v>
      </c>
      <c r="J222" t="s">
        <v>484</v>
      </c>
      <c r="K222" t="str">
        <f t="shared" si="27"/>
        <v>1013.9</v>
      </c>
      <c r="N222" t="str">
        <f t="shared" si="28"/>
        <v>HOLDING REGISTER</v>
      </c>
      <c r="O222" t="str">
        <f t="shared" si="29"/>
        <v>BOOL</v>
      </c>
      <c r="P222" t="str">
        <f t="shared" si="30"/>
        <v>INTERRUTTORE 13</v>
      </c>
      <c r="R222" t="str">
        <f t="shared" si="31"/>
        <v>QIS2 -INTERRUTTORE DORSALE DIR. SUD SOS CHIUSO</v>
      </c>
      <c r="U222" t="str">
        <f t="shared" si="32"/>
        <v>Stato</v>
      </c>
      <c r="V222" t="str">
        <f t="shared" si="33"/>
        <v>QIS2</v>
      </c>
      <c r="W222" t="str">
        <f t="shared" si="34"/>
        <v>CABINA PRINCIPALE</v>
      </c>
      <c r="Z222" t="str">
        <f t="shared" si="35"/>
        <v>10.220.80.16</v>
      </c>
    </row>
    <row r="223" spans="1:26" x14ac:dyDescent="0.25">
      <c r="A223" t="s">
        <v>10</v>
      </c>
      <c r="B223" t="s">
        <v>11</v>
      </c>
      <c r="C223" t="s">
        <v>460</v>
      </c>
      <c r="D223" t="s">
        <v>49</v>
      </c>
      <c r="E223">
        <v>13</v>
      </c>
      <c r="F223" t="s">
        <v>14</v>
      </c>
      <c r="G223" t="s">
        <v>28</v>
      </c>
      <c r="H223" t="s">
        <v>22</v>
      </c>
      <c r="I223" t="s">
        <v>485</v>
      </c>
      <c r="J223" t="s">
        <v>486</v>
      </c>
      <c r="K223" t="str">
        <f t="shared" si="27"/>
        <v>1013.10</v>
      </c>
      <c r="N223" t="str">
        <f t="shared" si="28"/>
        <v>HOLDING REGISTER</v>
      </c>
      <c r="O223" t="str">
        <f t="shared" si="29"/>
        <v>BOOL</v>
      </c>
      <c r="P223" t="str">
        <f t="shared" si="30"/>
        <v>INTERRUTTORE 13</v>
      </c>
      <c r="R223" t="str">
        <f t="shared" si="31"/>
        <v>QIS2 -INTERRUTTORE DORSALE DIR. SUD SOS SCATTATO</v>
      </c>
      <c r="U223" t="str">
        <f t="shared" si="32"/>
        <v>Allarme</v>
      </c>
      <c r="V223" t="str">
        <f t="shared" si="33"/>
        <v>QIS2</v>
      </c>
      <c r="W223" t="str">
        <f t="shared" si="34"/>
        <v>CABINA PRINCIPALE</v>
      </c>
      <c r="Z223" t="str">
        <f t="shared" si="35"/>
        <v>10.220.80.16</v>
      </c>
    </row>
    <row r="224" spans="1:26" x14ac:dyDescent="0.25">
      <c r="A224" t="s">
        <v>10</v>
      </c>
      <c r="B224" t="s">
        <v>11</v>
      </c>
      <c r="C224" t="s">
        <v>460</v>
      </c>
      <c r="D224" t="s">
        <v>49</v>
      </c>
      <c r="E224">
        <v>15</v>
      </c>
      <c r="F224" t="s">
        <v>14</v>
      </c>
      <c r="G224" t="s">
        <v>21</v>
      </c>
      <c r="H224" t="s">
        <v>22</v>
      </c>
      <c r="I224" t="s">
        <v>487</v>
      </c>
      <c r="J224" t="s">
        <v>488</v>
      </c>
      <c r="K224" t="str">
        <f t="shared" si="27"/>
        <v>1013.11</v>
      </c>
      <c r="N224" t="str">
        <f t="shared" si="28"/>
        <v>HOLDING REGISTER</v>
      </c>
      <c r="O224" t="str">
        <f t="shared" si="29"/>
        <v>BOOL</v>
      </c>
      <c r="P224" t="str">
        <f t="shared" si="30"/>
        <v>INTERRUTTORE 15</v>
      </c>
      <c r="R224" t="str">
        <f t="shared" si="31"/>
        <v>QIS2 -INTERRUTTORE DORSALE DIR. NORD CARTELLI VIE ESODO CHIUSO</v>
      </c>
      <c r="U224" t="str">
        <f t="shared" si="32"/>
        <v>Stato</v>
      </c>
      <c r="V224" t="str">
        <f t="shared" si="33"/>
        <v>QIS2</v>
      </c>
      <c r="W224" t="str">
        <f t="shared" si="34"/>
        <v>CABINA PRINCIPALE</v>
      </c>
      <c r="Z224" t="str">
        <f t="shared" si="35"/>
        <v>10.220.80.16</v>
      </c>
    </row>
    <row r="225" spans="1:26" x14ac:dyDescent="0.25">
      <c r="A225" t="s">
        <v>10</v>
      </c>
      <c r="B225" t="s">
        <v>11</v>
      </c>
      <c r="C225" t="s">
        <v>460</v>
      </c>
      <c r="D225" t="s">
        <v>49</v>
      </c>
      <c r="E225">
        <v>15</v>
      </c>
      <c r="F225" t="s">
        <v>14</v>
      </c>
      <c r="G225" t="s">
        <v>28</v>
      </c>
      <c r="H225" t="s">
        <v>22</v>
      </c>
      <c r="I225" t="s">
        <v>489</v>
      </c>
      <c r="J225" t="s">
        <v>490</v>
      </c>
      <c r="K225" t="str">
        <f t="shared" si="27"/>
        <v>1013.12</v>
      </c>
      <c r="N225" t="str">
        <f t="shared" si="28"/>
        <v>HOLDING REGISTER</v>
      </c>
      <c r="O225" t="str">
        <f t="shared" si="29"/>
        <v>BOOL</v>
      </c>
      <c r="P225" t="str">
        <f t="shared" si="30"/>
        <v>INTERRUTTORE 15</v>
      </c>
      <c r="R225" t="str">
        <f t="shared" si="31"/>
        <v>QIS2 -INTERRUTTORE DORSALE DIR. NORD CARTELLI VIE ESODO SCATTATO</v>
      </c>
      <c r="U225" t="str">
        <f t="shared" si="32"/>
        <v>Allarme</v>
      </c>
      <c r="V225" t="str">
        <f t="shared" si="33"/>
        <v>QIS2</v>
      </c>
      <c r="W225" t="str">
        <f t="shared" si="34"/>
        <v>CABINA PRINCIPALE</v>
      </c>
      <c r="Z225" t="str">
        <f t="shared" si="35"/>
        <v>10.220.80.16</v>
      </c>
    </row>
    <row r="226" spans="1:26" x14ac:dyDescent="0.25">
      <c r="A226" t="s">
        <v>10</v>
      </c>
      <c r="B226" t="s">
        <v>11</v>
      </c>
      <c r="C226" t="s">
        <v>460</v>
      </c>
      <c r="D226" t="s">
        <v>49</v>
      </c>
      <c r="E226">
        <v>16</v>
      </c>
      <c r="F226" t="s">
        <v>14</v>
      </c>
      <c r="G226" t="s">
        <v>21</v>
      </c>
      <c r="H226" t="s">
        <v>22</v>
      </c>
      <c r="I226" t="s">
        <v>491</v>
      </c>
      <c r="J226" t="s">
        <v>492</v>
      </c>
      <c r="K226" t="str">
        <f t="shared" si="27"/>
        <v>1013.13</v>
      </c>
      <c r="N226" t="str">
        <f t="shared" si="28"/>
        <v>HOLDING REGISTER</v>
      </c>
      <c r="O226" t="str">
        <f t="shared" si="29"/>
        <v>BOOL</v>
      </c>
      <c r="P226" t="str">
        <f t="shared" si="30"/>
        <v>INTERRUTTORE 16</v>
      </c>
      <c r="R226" t="str">
        <f t="shared" si="31"/>
        <v>QIS2 -INTERRUTTORE DORSALE DIR. SUD CARTELLI VIE ESODO CHIUSO</v>
      </c>
      <c r="U226" t="str">
        <f t="shared" si="32"/>
        <v>Stato</v>
      </c>
      <c r="V226" t="str">
        <f t="shared" si="33"/>
        <v>QIS2</v>
      </c>
      <c r="W226" t="str">
        <f t="shared" si="34"/>
        <v>CABINA PRINCIPALE</v>
      </c>
      <c r="Z226" t="str">
        <f t="shared" si="35"/>
        <v>10.220.80.16</v>
      </c>
    </row>
    <row r="227" spans="1:26" x14ac:dyDescent="0.25">
      <c r="A227" t="s">
        <v>10</v>
      </c>
      <c r="B227" t="s">
        <v>11</v>
      </c>
      <c r="C227" t="s">
        <v>460</v>
      </c>
      <c r="D227" t="s">
        <v>49</v>
      </c>
      <c r="E227">
        <v>16</v>
      </c>
      <c r="F227" t="s">
        <v>14</v>
      </c>
      <c r="G227" t="s">
        <v>28</v>
      </c>
      <c r="H227" t="s">
        <v>22</v>
      </c>
      <c r="I227" t="s">
        <v>493</v>
      </c>
      <c r="J227" t="s">
        <v>494</v>
      </c>
      <c r="K227" t="str">
        <f t="shared" si="27"/>
        <v>1013.14</v>
      </c>
      <c r="N227" t="str">
        <f t="shared" si="28"/>
        <v>HOLDING REGISTER</v>
      </c>
      <c r="O227" t="str">
        <f t="shared" si="29"/>
        <v>BOOL</v>
      </c>
      <c r="P227" t="str">
        <f t="shared" si="30"/>
        <v>INTERRUTTORE 16</v>
      </c>
      <c r="R227" t="str">
        <f t="shared" si="31"/>
        <v>QIS2 -INTERRUTTORE DORSALE DIR. SUD CARTELLI VIE ESODO SCATTATO</v>
      </c>
      <c r="U227" t="str">
        <f t="shared" si="32"/>
        <v>Allarme</v>
      </c>
      <c r="V227" t="str">
        <f t="shared" si="33"/>
        <v>QIS2</v>
      </c>
      <c r="W227" t="str">
        <f t="shared" si="34"/>
        <v>CABINA PRINCIPALE</v>
      </c>
      <c r="Z227" t="str">
        <f t="shared" si="35"/>
        <v>10.220.80.16</v>
      </c>
    </row>
    <row r="228" spans="1:26" x14ac:dyDescent="0.25">
      <c r="A228" t="s">
        <v>10</v>
      </c>
      <c r="B228" t="s">
        <v>11</v>
      </c>
      <c r="C228" t="s">
        <v>460</v>
      </c>
      <c r="D228" t="s">
        <v>49</v>
      </c>
      <c r="E228">
        <v>18</v>
      </c>
      <c r="F228" t="s">
        <v>14</v>
      </c>
      <c r="G228" t="s">
        <v>21</v>
      </c>
      <c r="H228" t="s">
        <v>22</v>
      </c>
      <c r="I228" t="s">
        <v>495</v>
      </c>
      <c r="J228" t="s">
        <v>496</v>
      </c>
      <c r="K228" t="str">
        <f t="shared" si="27"/>
        <v>1013.15</v>
      </c>
      <c r="N228" t="str">
        <f t="shared" si="28"/>
        <v>HOLDING REGISTER</v>
      </c>
      <c r="O228" t="str">
        <f t="shared" si="29"/>
        <v>BOOL</v>
      </c>
      <c r="P228" t="str">
        <f t="shared" si="30"/>
        <v>INTERRUTTORE 18</v>
      </c>
      <c r="R228" t="str">
        <f t="shared" si="31"/>
        <v>QIS2 -INTERRUTTORE DORSALE DIR. NORD SEGNAL. LUMINOSA CHIUSO</v>
      </c>
      <c r="U228" t="str">
        <f t="shared" si="32"/>
        <v>Stato</v>
      </c>
      <c r="V228" t="str">
        <f t="shared" si="33"/>
        <v>QIS2</v>
      </c>
      <c r="W228" t="str">
        <f t="shared" si="34"/>
        <v>CABINA PRINCIPALE</v>
      </c>
      <c r="Z228" t="str">
        <f t="shared" si="35"/>
        <v>10.220.80.16</v>
      </c>
    </row>
    <row r="229" spans="1:26" x14ac:dyDescent="0.25">
      <c r="A229" t="s">
        <v>10</v>
      </c>
      <c r="B229" t="s">
        <v>11</v>
      </c>
      <c r="C229" t="s">
        <v>460</v>
      </c>
      <c r="D229" t="s">
        <v>49</v>
      </c>
      <c r="E229">
        <v>18</v>
      </c>
      <c r="F229" t="s">
        <v>14</v>
      </c>
      <c r="G229" t="s">
        <v>28</v>
      </c>
      <c r="H229" t="s">
        <v>22</v>
      </c>
      <c r="I229" t="s">
        <v>497</v>
      </c>
      <c r="J229" t="s">
        <v>498</v>
      </c>
      <c r="K229" t="str">
        <f t="shared" si="27"/>
        <v>1014.0</v>
      </c>
      <c r="N229" t="str">
        <f t="shared" si="28"/>
        <v>HOLDING REGISTER</v>
      </c>
      <c r="O229" t="str">
        <f t="shared" si="29"/>
        <v>BOOL</v>
      </c>
      <c r="P229" t="str">
        <f t="shared" si="30"/>
        <v>INTERRUTTORE 18</v>
      </c>
      <c r="R229" t="str">
        <f t="shared" si="31"/>
        <v>QIS2 -INTERRUTTORE DORSALE DIR. NORD SEGNAL. LUMINOSA SCATTATO</v>
      </c>
      <c r="U229" t="str">
        <f t="shared" si="32"/>
        <v>Allarme</v>
      </c>
      <c r="V229" t="str">
        <f t="shared" si="33"/>
        <v>QIS2</v>
      </c>
      <c r="W229" t="str">
        <f t="shared" si="34"/>
        <v>CABINA PRINCIPALE</v>
      </c>
      <c r="Z229" t="str">
        <f t="shared" si="35"/>
        <v>10.220.80.16</v>
      </c>
    </row>
    <row r="230" spans="1:26" x14ac:dyDescent="0.25">
      <c r="A230" t="s">
        <v>10</v>
      </c>
      <c r="B230" t="s">
        <v>11</v>
      </c>
      <c r="C230" t="s">
        <v>460</v>
      </c>
      <c r="D230" t="s">
        <v>49</v>
      </c>
      <c r="E230">
        <v>19</v>
      </c>
      <c r="F230" t="s">
        <v>14</v>
      </c>
      <c r="G230" t="s">
        <v>21</v>
      </c>
      <c r="H230" t="s">
        <v>22</v>
      </c>
      <c r="I230" t="s">
        <v>499</v>
      </c>
      <c r="J230" t="s">
        <v>500</v>
      </c>
      <c r="K230" t="str">
        <f t="shared" si="27"/>
        <v>1014.1</v>
      </c>
      <c r="N230" t="str">
        <f t="shared" si="28"/>
        <v>HOLDING REGISTER</v>
      </c>
      <c r="O230" t="str">
        <f t="shared" si="29"/>
        <v>BOOL</v>
      </c>
      <c r="P230" t="str">
        <f t="shared" si="30"/>
        <v>INTERRUTTORE 19</v>
      </c>
      <c r="R230" t="str">
        <f t="shared" si="31"/>
        <v>QIS2 -INTERRUTTORE DORSALE DIR. SUD SEGNAL. LUMINOSA CHIUSO</v>
      </c>
      <c r="U230" t="str">
        <f t="shared" si="32"/>
        <v>Stato</v>
      </c>
      <c r="V230" t="str">
        <f t="shared" si="33"/>
        <v>QIS2</v>
      </c>
      <c r="W230" t="str">
        <f t="shared" si="34"/>
        <v>CABINA PRINCIPALE</v>
      </c>
      <c r="Z230" t="str">
        <f t="shared" si="35"/>
        <v>10.220.80.16</v>
      </c>
    </row>
    <row r="231" spans="1:26" x14ac:dyDescent="0.25">
      <c r="A231" t="s">
        <v>10</v>
      </c>
      <c r="B231" t="s">
        <v>11</v>
      </c>
      <c r="C231" t="s">
        <v>460</v>
      </c>
      <c r="D231" t="s">
        <v>49</v>
      </c>
      <c r="E231">
        <v>19</v>
      </c>
      <c r="F231" t="s">
        <v>14</v>
      </c>
      <c r="G231" t="s">
        <v>28</v>
      </c>
      <c r="H231" t="s">
        <v>22</v>
      </c>
      <c r="I231" t="s">
        <v>501</v>
      </c>
      <c r="J231" t="s">
        <v>502</v>
      </c>
      <c r="K231" t="str">
        <f t="shared" si="27"/>
        <v>1014.2</v>
      </c>
      <c r="N231" t="str">
        <f t="shared" si="28"/>
        <v>HOLDING REGISTER</v>
      </c>
      <c r="O231" t="str">
        <f t="shared" si="29"/>
        <v>BOOL</v>
      </c>
      <c r="P231" t="str">
        <f t="shared" si="30"/>
        <v>INTERRUTTORE 19</v>
      </c>
      <c r="R231" t="str">
        <f t="shared" si="31"/>
        <v>QIS2 -INTERRUTTORE DORSALE DIR. SUD SEGNAL. LUMINOSA SCATTATO</v>
      </c>
      <c r="U231" t="str">
        <f t="shared" si="32"/>
        <v>Allarme</v>
      </c>
      <c r="V231" t="str">
        <f t="shared" si="33"/>
        <v>QIS2</v>
      </c>
      <c r="W231" t="str">
        <f t="shared" si="34"/>
        <v>CABINA PRINCIPALE</v>
      </c>
      <c r="Z231" t="str">
        <f t="shared" si="35"/>
        <v>10.220.80.16</v>
      </c>
    </row>
    <row r="232" spans="1:26" x14ac:dyDescent="0.25">
      <c r="A232" t="s">
        <v>10</v>
      </c>
      <c r="B232" t="s">
        <v>11</v>
      </c>
      <c r="C232" t="s">
        <v>460</v>
      </c>
      <c r="D232" t="s">
        <v>49</v>
      </c>
      <c r="E232">
        <v>21</v>
      </c>
      <c r="F232" t="s">
        <v>14</v>
      </c>
      <c r="G232" t="s">
        <v>21</v>
      </c>
      <c r="H232" t="s">
        <v>22</v>
      </c>
      <c r="I232" t="s">
        <v>503</v>
      </c>
      <c r="J232" t="s">
        <v>504</v>
      </c>
      <c r="K232" t="str">
        <f t="shared" si="27"/>
        <v>1014.3</v>
      </c>
      <c r="N232" t="str">
        <f t="shared" si="28"/>
        <v>HOLDING REGISTER</v>
      </c>
      <c r="O232" t="str">
        <f t="shared" si="29"/>
        <v>BOOL</v>
      </c>
      <c r="P232" t="str">
        <f t="shared" si="30"/>
        <v>INTERRUTTORE 21</v>
      </c>
      <c r="R232" t="str">
        <f t="shared" si="31"/>
        <v>QIS2 -INTERRUTTORE ILLUMINAZIONE NORMALE VIA ESODO SOSPESA CHIUSO</v>
      </c>
      <c r="U232" t="str">
        <f t="shared" si="32"/>
        <v>Stato</v>
      </c>
      <c r="V232" t="str">
        <f t="shared" si="33"/>
        <v>QIS2</v>
      </c>
      <c r="W232" t="str">
        <f t="shared" si="34"/>
        <v>CABINA PRINCIPALE</v>
      </c>
      <c r="Z232" t="str">
        <f t="shared" si="35"/>
        <v>10.220.80.16</v>
      </c>
    </row>
    <row r="233" spans="1:26" x14ac:dyDescent="0.25">
      <c r="A233" t="s">
        <v>10</v>
      </c>
      <c r="B233" t="s">
        <v>11</v>
      </c>
      <c r="C233" t="s">
        <v>460</v>
      </c>
      <c r="D233" t="s">
        <v>49</v>
      </c>
      <c r="E233">
        <v>21</v>
      </c>
      <c r="F233" t="s">
        <v>14</v>
      </c>
      <c r="G233" t="s">
        <v>28</v>
      </c>
      <c r="H233" t="s">
        <v>22</v>
      </c>
      <c r="I233" t="s">
        <v>505</v>
      </c>
      <c r="J233" t="s">
        <v>506</v>
      </c>
      <c r="K233" t="str">
        <f t="shared" si="27"/>
        <v>1014.4</v>
      </c>
      <c r="N233" t="str">
        <f t="shared" si="28"/>
        <v>HOLDING REGISTER</v>
      </c>
      <c r="O233" t="str">
        <f t="shared" si="29"/>
        <v>BOOL</v>
      </c>
      <c r="P233" t="str">
        <f t="shared" si="30"/>
        <v>INTERRUTTORE 21</v>
      </c>
      <c r="R233" t="str">
        <f t="shared" si="31"/>
        <v>QIS2 -INTERRUTTORE ILLUMINAZIONE NORMALE VIA ESODO SOSPESA SCATTATO</v>
      </c>
      <c r="U233" t="str">
        <f t="shared" si="32"/>
        <v>Allarme</v>
      </c>
      <c r="V233" t="str">
        <f t="shared" si="33"/>
        <v>QIS2</v>
      </c>
      <c r="W233" t="str">
        <f t="shared" si="34"/>
        <v>CABINA PRINCIPALE</v>
      </c>
      <c r="Z233" t="str">
        <f t="shared" si="35"/>
        <v>10.220.80.16</v>
      </c>
    </row>
    <row r="234" spans="1:26" x14ac:dyDescent="0.25">
      <c r="A234" t="s">
        <v>10</v>
      </c>
      <c r="B234" t="s">
        <v>11</v>
      </c>
      <c r="C234" t="s">
        <v>460</v>
      </c>
      <c r="D234" t="s">
        <v>49</v>
      </c>
      <c r="E234">
        <v>22</v>
      </c>
      <c r="F234" t="s">
        <v>14</v>
      </c>
      <c r="G234" t="s">
        <v>21</v>
      </c>
      <c r="H234" t="s">
        <v>22</v>
      </c>
      <c r="I234" t="s">
        <v>507</v>
      </c>
      <c r="J234" t="s">
        <v>508</v>
      </c>
      <c r="K234" t="str">
        <f t="shared" si="27"/>
        <v>1014.5</v>
      </c>
      <c r="N234" t="str">
        <f t="shared" si="28"/>
        <v>HOLDING REGISTER</v>
      </c>
      <c r="O234" t="str">
        <f t="shared" si="29"/>
        <v>BOOL</v>
      </c>
      <c r="P234" t="str">
        <f t="shared" si="30"/>
        <v>INTERRUTTORE 22</v>
      </c>
      <c r="R234" t="str">
        <f t="shared" si="31"/>
        <v>QIS2 -INTERRUTTORE ILLUMINAZIONE EMERGENZA VIA ESODO SOSPESA CHIUSO</v>
      </c>
      <c r="U234" t="str">
        <f t="shared" si="32"/>
        <v>Stato</v>
      </c>
      <c r="V234" t="str">
        <f t="shared" si="33"/>
        <v>QIS2</v>
      </c>
      <c r="W234" t="str">
        <f t="shared" si="34"/>
        <v>CABINA PRINCIPALE</v>
      </c>
      <c r="Z234" t="str">
        <f t="shared" si="35"/>
        <v>10.220.80.16</v>
      </c>
    </row>
    <row r="235" spans="1:26" x14ac:dyDescent="0.25">
      <c r="A235" t="s">
        <v>10</v>
      </c>
      <c r="B235" t="s">
        <v>11</v>
      </c>
      <c r="C235" t="s">
        <v>460</v>
      </c>
      <c r="D235" t="s">
        <v>49</v>
      </c>
      <c r="E235">
        <v>22</v>
      </c>
      <c r="F235" t="s">
        <v>14</v>
      </c>
      <c r="G235" t="s">
        <v>28</v>
      </c>
      <c r="H235" t="s">
        <v>22</v>
      </c>
      <c r="I235" t="s">
        <v>509</v>
      </c>
      <c r="J235" t="s">
        <v>510</v>
      </c>
      <c r="K235" t="str">
        <f t="shared" si="27"/>
        <v>1014.6</v>
      </c>
      <c r="N235" t="str">
        <f t="shared" si="28"/>
        <v>HOLDING REGISTER</v>
      </c>
      <c r="O235" t="str">
        <f t="shared" si="29"/>
        <v>BOOL</v>
      </c>
      <c r="P235" t="str">
        <f t="shared" si="30"/>
        <v>INTERRUTTORE 22</v>
      </c>
      <c r="R235" t="str">
        <f t="shared" si="31"/>
        <v>QIS2 -INTERRUTTORE ILLUMINAZIONE EMERGENZA VIA ESODO SOSPESA SCATTATO</v>
      </c>
      <c r="U235" t="str">
        <f t="shared" si="32"/>
        <v>Allarme</v>
      </c>
      <c r="V235" t="str">
        <f t="shared" si="33"/>
        <v>QIS2</v>
      </c>
      <c r="W235" t="str">
        <f t="shared" si="34"/>
        <v>CABINA PRINCIPALE</v>
      </c>
      <c r="Z235" t="str">
        <f t="shared" si="35"/>
        <v>10.220.80.16</v>
      </c>
    </row>
    <row r="236" spans="1:26" x14ac:dyDescent="0.25">
      <c r="A236" t="s">
        <v>10</v>
      </c>
      <c r="B236" t="s">
        <v>11</v>
      </c>
      <c r="C236" t="s">
        <v>460</v>
      </c>
      <c r="D236" t="s">
        <v>49</v>
      </c>
      <c r="E236">
        <v>23</v>
      </c>
      <c r="F236" t="s">
        <v>14</v>
      </c>
      <c r="G236" t="s">
        <v>21</v>
      </c>
      <c r="H236" t="s">
        <v>22</v>
      </c>
      <c r="I236" t="s">
        <v>511</v>
      </c>
      <c r="J236" t="s">
        <v>512</v>
      </c>
      <c r="K236" t="str">
        <f t="shared" si="27"/>
        <v>1014.7</v>
      </c>
      <c r="N236" t="str">
        <f t="shared" si="28"/>
        <v>HOLDING REGISTER</v>
      </c>
      <c r="O236" t="str">
        <f t="shared" si="29"/>
        <v>BOOL</v>
      </c>
      <c r="P236" t="str">
        <f t="shared" si="30"/>
        <v>INTERRUTTORE 23</v>
      </c>
      <c r="R236" t="str">
        <f t="shared" si="31"/>
        <v>QIS2 -INTERRUTTORE QVES SEZIONE UPS CHIUSO</v>
      </c>
      <c r="U236" t="str">
        <f t="shared" si="32"/>
        <v>Stato</v>
      </c>
      <c r="V236" t="str">
        <f t="shared" si="33"/>
        <v>QIS2</v>
      </c>
      <c r="W236" t="str">
        <f t="shared" si="34"/>
        <v>CABINA PRINCIPALE</v>
      </c>
      <c r="Z236" t="str">
        <f t="shared" si="35"/>
        <v>10.220.80.16</v>
      </c>
    </row>
    <row r="237" spans="1:26" x14ac:dyDescent="0.25">
      <c r="A237" t="s">
        <v>10</v>
      </c>
      <c r="B237" t="s">
        <v>11</v>
      </c>
      <c r="C237" t="s">
        <v>460</v>
      </c>
      <c r="D237" t="s">
        <v>49</v>
      </c>
      <c r="E237">
        <v>23</v>
      </c>
      <c r="F237" t="s">
        <v>14</v>
      </c>
      <c r="G237" t="s">
        <v>28</v>
      </c>
      <c r="H237" t="s">
        <v>22</v>
      </c>
      <c r="I237" t="s">
        <v>513</v>
      </c>
      <c r="J237" t="s">
        <v>514</v>
      </c>
      <c r="K237" t="str">
        <f t="shared" si="27"/>
        <v>1014.8</v>
      </c>
      <c r="N237" t="str">
        <f t="shared" si="28"/>
        <v>HOLDING REGISTER</v>
      </c>
      <c r="O237" t="str">
        <f t="shared" si="29"/>
        <v>BOOL</v>
      </c>
      <c r="P237" t="str">
        <f t="shared" si="30"/>
        <v>INTERRUTTORE 23</v>
      </c>
      <c r="R237" t="str">
        <f t="shared" si="31"/>
        <v>QIS2 -INTERRUTTORE QVES SEZIONE UPS SCATTATO</v>
      </c>
      <c r="U237" t="str">
        <f t="shared" si="32"/>
        <v>Allarme</v>
      </c>
      <c r="V237" t="str">
        <f t="shared" si="33"/>
        <v>QIS2</v>
      </c>
      <c r="W237" t="str">
        <f t="shared" si="34"/>
        <v>CABINA PRINCIPALE</v>
      </c>
      <c r="Z237" t="str">
        <f t="shared" si="35"/>
        <v>10.220.80.16</v>
      </c>
    </row>
    <row r="238" spans="1:26" x14ac:dyDescent="0.25">
      <c r="A238" t="s">
        <v>10</v>
      </c>
      <c r="B238" t="s">
        <v>11</v>
      </c>
      <c r="C238" t="s">
        <v>460</v>
      </c>
      <c r="D238" t="s">
        <v>49</v>
      </c>
      <c r="E238">
        <v>24</v>
      </c>
      <c r="F238" t="s">
        <v>14</v>
      </c>
      <c r="G238" t="s">
        <v>21</v>
      </c>
      <c r="H238" t="s">
        <v>22</v>
      </c>
      <c r="I238" t="s">
        <v>515</v>
      </c>
      <c r="J238" t="s">
        <v>516</v>
      </c>
      <c r="K238" t="str">
        <f t="shared" si="27"/>
        <v>1014.9</v>
      </c>
      <c r="N238" t="str">
        <f t="shared" si="28"/>
        <v>HOLDING REGISTER</v>
      </c>
      <c r="O238" t="str">
        <f t="shared" si="29"/>
        <v>BOOL</v>
      </c>
      <c r="P238" t="str">
        <f t="shared" si="30"/>
        <v>INTERRUTTORE 24</v>
      </c>
      <c r="R238" t="str">
        <f t="shared" si="31"/>
        <v>QIS2 -INTERRUTTORE DORSALE DIR. NORD PMV / FC CHIUSO</v>
      </c>
      <c r="U238" t="str">
        <f t="shared" si="32"/>
        <v>Stato</v>
      </c>
      <c r="V238" t="str">
        <f t="shared" si="33"/>
        <v>QIS2</v>
      </c>
      <c r="W238" t="str">
        <f t="shared" si="34"/>
        <v>CABINA PRINCIPALE</v>
      </c>
      <c r="Z238" t="str">
        <f t="shared" si="35"/>
        <v>10.220.80.16</v>
      </c>
    </row>
    <row r="239" spans="1:26" x14ac:dyDescent="0.25">
      <c r="A239" t="s">
        <v>10</v>
      </c>
      <c r="B239" t="s">
        <v>11</v>
      </c>
      <c r="C239" t="s">
        <v>460</v>
      </c>
      <c r="D239" t="s">
        <v>49</v>
      </c>
      <c r="E239">
        <v>24</v>
      </c>
      <c r="F239" t="s">
        <v>14</v>
      </c>
      <c r="G239" t="s">
        <v>28</v>
      </c>
      <c r="H239" t="s">
        <v>22</v>
      </c>
      <c r="I239" t="s">
        <v>517</v>
      </c>
      <c r="J239" t="s">
        <v>518</v>
      </c>
      <c r="K239" t="str">
        <f t="shared" si="27"/>
        <v>1014.10</v>
      </c>
      <c r="N239" t="str">
        <f t="shared" si="28"/>
        <v>HOLDING REGISTER</v>
      </c>
      <c r="O239" t="str">
        <f t="shared" si="29"/>
        <v>BOOL</v>
      </c>
      <c r="P239" t="str">
        <f t="shared" si="30"/>
        <v>INTERRUTTORE 24</v>
      </c>
      <c r="R239" t="str">
        <f t="shared" si="31"/>
        <v>QIS2 -INTERRUTTORE DORSALE DIR. NORD PMV / FC SCATTATO</v>
      </c>
      <c r="U239" t="str">
        <f t="shared" si="32"/>
        <v>Allarme</v>
      </c>
      <c r="V239" t="str">
        <f t="shared" si="33"/>
        <v>QIS2</v>
      </c>
      <c r="W239" t="str">
        <f t="shared" si="34"/>
        <v>CABINA PRINCIPALE</v>
      </c>
      <c r="Z239" t="str">
        <f t="shared" si="35"/>
        <v>10.220.80.16</v>
      </c>
    </row>
    <row r="240" spans="1:26" x14ac:dyDescent="0.25">
      <c r="A240" t="s">
        <v>10</v>
      </c>
      <c r="B240" t="s">
        <v>11</v>
      </c>
      <c r="C240" t="s">
        <v>460</v>
      </c>
      <c r="D240" t="s">
        <v>49</v>
      </c>
      <c r="E240">
        <v>25</v>
      </c>
      <c r="F240" t="s">
        <v>14</v>
      </c>
      <c r="G240" t="s">
        <v>21</v>
      </c>
      <c r="H240" t="s">
        <v>22</v>
      </c>
      <c r="I240" t="s">
        <v>519</v>
      </c>
      <c r="J240" t="s">
        <v>520</v>
      </c>
      <c r="K240" t="str">
        <f t="shared" si="27"/>
        <v>1014.11</v>
      </c>
      <c r="N240" t="str">
        <f t="shared" si="28"/>
        <v>HOLDING REGISTER</v>
      </c>
      <c r="O240" t="str">
        <f t="shared" si="29"/>
        <v>BOOL</v>
      </c>
      <c r="P240" t="str">
        <f t="shared" si="30"/>
        <v>INTERRUTTORE 25</v>
      </c>
      <c r="R240" t="str">
        <f t="shared" si="31"/>
        <v>QIS2 -INTERRUTTORE DORSALE DIR. SUD PMV / FC CHIUSO</v>
      </c>
      <c r="U240" t="str">
        <f t="shared" si="32"/>
        <v>Stato</v>
      </c>
      <c r="V240" t="str">
        <f t="shared" si="33"/>
        <v>QIS2</v>
      </c>
      <c r="W240" t="str">
        <f t="shared" si="34"/>
        <v>CABINA PRINCIPALE</v>
      </c>
      <c r="Z240" t="str">
        <f t="shared" si="35"/>
        <v>10.220.80.16</v>
      </c>
    </row>
    <row r="241" spans="1:26" x14ac:dyDescent="0.25">
      <c r="A241" t="s">
        <v>10</v>
      </c>
      <c r="B241" t="s">
        <v>11</v>
      </c>
      <c r="C241" t="s">
        <v>460</v>
      </c>
      <c r="D241" t="s">
        <v>49</v>
      </c>
      <c r="E241">
        <v>25</v>
      </c>
      <c r="F241" t="s">
        <v>14</v>
      </c>
      <c r="G241" t="s">
        <v>28</v>
      </c>
      <c r="H241" t="s">
        <v>22</v>
      </c>
      <c r="I241" t="s">
        <v>521</v>
      </c>
      <c r="J241" t="s">
        <v>522</v>
      </c>
      <c r="K241" t="str">
        <f t="shared" si="27"/>
        <v>1014.12</v>
      </c>
      <c r="N241" t="str">
        <f t="shared" si="28"/>
        <v>HOLDING REGISTER</v>
      </c>
      <c r="O241" t="str">
        <f t="shared" si="29"/>
        <v>BOOL</v>
      </c>
      <c r="P241" t="str">
        <f t="shared" si="30"/>
        <v>INTERRUTTORE 25</v>
      </c>
      <c r="R241" t="str">
        <f t="shared" si="31"/>
        <v>QIS2 -INTERRUTTORE DORSALE DIR. SUD PMV / FC SCATTATO</v>
      </c>
      <c r="U241" t="str">
        <f t="shared" si="32"/>
        <v>Allarme</v>
      </c>
      <c r="V241" t="str">
        <f t="shared" si="33"/>
        <v>QIS2</v>
      </c>
      <c r="W241" t="str">
        <f t="shared" si="34"/>
        <v>CABINA PRINCIPALE</v>
      </c>
      <c r="Z241" t="str">
        <f t="shared" si="35"/>
        <v>10.220.80.16</v>
      </c>
    </row>
    <row r="242" spans="1:26" x14ac:dyDescent="0.25">
      <c r="A242" t="s">
        <v>10</v>
      </c>
      <c r="B242" t="s">
        <v>11</v>
      </c>
      <c r="C242" t="s">
        <v>460</v>
      </c>
      <c r="D242" t="s">
        <v>49</v>
      </c>
      <c r="E242">
        <v>27</v>
      </c>
      <c r="F242" t="s">
        <v>14</v>
      </c>
      <c r="G242" t="s">
        <v>21</v>
      </c>
      <c r="H242" t="s">
        <v>22</v>
      </c>
      <c r="I242" t="s">
        <v>523</v>
      </c>
      <c r="J242" t="s">
        <v>524</v>
      </c>
      <c r="K242" t="str">
        <f t="shared" si="27"/>
        <v>1014.13</v>
      </c>
      <c r="N242" t="str">
        <f t="shared" si="28"/>
        <v>HOLDING REGISTER</v>
      </c>
      <c r="O242" t="str">
        <f t="shared" si="29"/>
        <v>BOOL</v>
      </c>
      <c r="P242" t="str">
        <f t="shared" si="30"/>
        <v>INTERRUTTORE 27</v>
      </c>
      <c r="R242" t="str">
        <f t="shared" si="31"/>
        <v>QIS2 -INTERRUTTORE TRAVERSA PMV DIR. NORD CHIUSO</v>
      </c>
      <c r="U242" t="str">
        <f t="shared" si="32"/>
        <v>Stato</v>
      </c>
      <c r="V242" t="str">
        <f t="shared" si="33"/>
        <v>QIS2</v>
      </c>
      <c r="W242" t="str">
        <f t="shared" si="34"/>
        <v>CABINA PRINCIPALE</v>
      </c>
      <c r="Z242" t="str">
        <f t="shared" si="35"/>
        <v>10.220.80.16</v>
      </c>
    </row>
    <row r="243" spans="1:26" x14ac:dyDescent="0.25">
      <c r="A243" t="s">
        <v>10</v>
      </c>
      <c r="B243" t="s">
        <v>11</v>
      </c>
      <c r="C243" t="s">
        <v>460</v>
      </c>
      <c r="D243" t="s">
        <v>49</v>
      </c>
      <c r="E243">
        <v>27</v>
      </c>
      <c r="F243" t="s">
        <v>14</v>
      </c>
      <c r="G243" t="s">
        <v>28</v>
      </c>
      <c r="H243" t="s">
        <v>22</v>
      </c>
      <c r="I243" t="s">
        <v>525</v>
      </c>
      <c r="J243" t="s">
        <v>526</v>
      </c>
      <c r="K243" t="str">
        <f t="shared" si="27"/>
        <v>1014.14</v>
      </c>
      <c r="N243" t="str">
        <f t="shared" si="28"/>
        <v>HOLDING REGISTER</v>
      </c>
      <c r="O243" t="str">
        <f t="shared" si="29"/>
        <v>BOOL</v>
      </c>
      <c r="P243" t="str">
        <f t="shared" si="30"/>
        <v>INTERRUTTORE 27</v>
      </c>
      <c r="R243" t="str">
        <f t="shared" si="31"/>
        <v>QIS2 -INTERRUTTORE TRAVERSA PMV DIR. NORD SCATTATO</v>
      </c>
      <c r="U243" t="str">
        <f t="shared" si="32"/>
        <v>Allarme</v>
      </c>
      <c r="V243" t="str">
        <f t="shared" si="33"/>
        <v>QIS2</v>
      </c>
      <c r="W243" t="str">
        <f t="shared" si="34"/>
        <v>CABINA PRINCIPALE</v>
      </c>
      <c r="Z243" t="str">
        <f t="shared" si="35"/>
        <v>10.220.80.16</v>
      </c>
    </row>
    <row r="244" spans="1:26" x14ac:dyDescent="0.25">
      <c r="A244" t="s">
        <v>10</v>
      </c>
      <c r="B244" t="s">
        <v>11</v>
      </c>
      <c r="C244" t="s">
        <v>460</v>
      </c>
      <c r="D244" t="s">
        <v>49</v>
      </c>
      <c r="E244">
        <v>28</v>
      </c>
      <c r="F244" t="s">
        <v>14</v>
      </c>
      <c r="G244" t="s">
        <v>21</v>
      </c>
      <c r="H244" t="s">
        <v>22</v>
      </c>
      <c r="I244" t="s">
        <v>527</v>
      </c>
      <c r="J244" t="s">
        <v>528</v>
      </c>
      <c r="K244" t="str">
        <f t="shared" si="27"/>
        <v>1014.15</v>
      </c>
      <c r="N244" t="str">
        <f t="shared" si="28"/>
        <v>HOLDING REGISTER</v>
      </c>
      <c r="O244" t="str">
        <f t="shared" si="29"/>
        <v>BOOL</v>
      </c>
      <c r="P244" t="str">
        <f t="shared" si="30"/>
        <v>INTERRUTTORE 28</v>
      </c>
      <c r="R244" t="str">
        <f t="shared" si="31"/>
        <v>QIS2 -INTERRUTTORE TRAVERSA PMV DIR. SUD CHIUSO</v>
      </c>
      <c r="U244" t="str">
        <f t="shared" si="32"/>
        <v>Stato</v>
      </c>
      <c r="V244" t="str">
        <f t="shared" si="33"/>
        <v>QIS2</v>
      </c>
      <c r="W244" t="str">
        <f t="shared" si="34"/>
        <v>CABINA PRINCIPALE</v>
      </c>
      <c r="Z244" t="str">
        <f t="shared" si="35"/>
        <v>10.220.80.16</v>
      </c>
    </row>
    <row r="245" spans="1:26" x14ac:dyDescent="0.25">
      <c r="A245" t="s">
        <v>10</v>
      </c>
      <c r="B245" t="s">
        <v>11</v>
      </c>
      <c r="C245" t="s">
        <v>460</v>
      </c>
      <c r="D245" t="s">
        <v>49</v>
      </c>
      <c r="E245">
        <v>28</v>
      </c>
      <c r="F245" t="s">
        <v>14</v>
      </c>
      <c r="G245" t="s">
        <v>28</v>
      </c>
      <c r="H245" t="s">
        <v>22</v>
      </c>
      <c r="I245" t="s">
        <v>529</v>
      </c>
      <c r="J245" t="s">
        <v>530</v>
      </c>
      <c r="K245" t="str">
        <f t="shared" si="27"/>
        <v>1015.0</v>
      </c>
      <c r="N245" t="str">
        <f t="shared" si="28"/>
        <v>HOLDING REGISTER</v>
      </c>
      <c r="O245" t="str">
        <f t="shared" si="29"/>
        <v>BOOL</v>
      </c>
      <c r="P245" t="str">
        <f t="shared" si="30"/>
        <v>INTERRUTTORE 28</v>
      </c>
      <c r="R245" t="str">
        <f t="shared" si="31"/>
        <v>QIS2 -INTERRUTTORE TRAVERSA PMV DIR. SUD SCATTATO</v>
      </c>
      <c r="U245" t="str">
        <f t="shared" si="32"/>
        <v>Allarme</v>
      </c>
      <c r="V245" t="str">
        <f t="shared" si="33"/>
        <v>QIS2</v>
      </c>
      <c r="W245" t="str">
        <f t="shared" si="34"/>
        <v>CABINA PRINCIPALE</v>
      </c>
      <c r="Z245" t="str">
        <f t="shared" si="35"/>
        <v>10.220.80.16</v>
      </c>
    </row>
    <row r="246" spans="1:26" x14ac:dyDescent="0.25">
      <c r="A246" t="s">
        <v>10</v>
      </c>
      <c r="B246" t="s">
        <v>11</v>
      </c>
      <c r="C246" t="s">
        <v>460</v>
      </c>
      <c r="D246" t="s">
        <v>49</v>
      </c>
      <c r="E246">
        <v>30</v>
      </c>
      <c r="F246" t="s">
        <v>14</v>
      </c>
      <c r="G246" t="s">
        <v>21</v>
      </c>
      <c r="H246" t="s">
        <v>22</v>
      </c>
      <c r="I246" t="s">
        <v>531</v>
      </c>
      <c r="J246" t="s">
        <v>532</v>
      </c>
      <c r="K246" t="str">
        <f t="shared" si="27"/>
        <v>1015.1</v>
      </c>
      <c r="N246" t="str">
        <f t="shared" si="28"/>
        <v>HOLDING REGISTER</v>
      </c>
      <c r="O246" t="str">
        <f t="shared" si="29"/>
        <v>BOOL</v>
      </c>
      <c r="P246" t="str">
        <f t="shared" si="30"/>
        <v>INTERRUTTORE 30</v>
      </c>
      <c r="R246" t="str">
        <f t="shared" si="31"/>
        <v>QIS2 -INTERRUTTORE CONTROLLO TRAFFICO CHIUSO</v>
      </c>
      <c r="U246" t="str">
        <f t="shared" si="32"/>
        <v>Stato</v>
      </c>
      <c r="V246" t="str">
        <f t="shared" si="33"/>
        <v>QIS2</v>
      </c>
      <c r="W246" t="str">
        <f t="shared" si="34"/>
        <v>CABINA PRINCIPALE</v>
      </c>
      <c r="Z246" t="str">
        <f t="shared" si="35"/>
        <v>10.220.80.16</v>
      </c>
    </row>
    <row r="247" spans="1:26" x14ac:dyDescent="0.25">
      <c r="A247" t="s">
        <v>10</v>
      </c>
      <c r="B247" t="s">
        <v>11</v>
      </c>
      <c r="C247" t="s">
        <v>460</v>
      </c>
      <c r="D247" t="s">
        <v>49</v>
      </c>
      <c r="E247">
        <v>30</v>
      </c>
      <c r="F247" t="s">
        <v>14</v>
      </c>
      <c r="G247" t="s">
        <v>28</v>
      </c>
      <c r="H247" t="s">
        <v>22</v>
      </c>
      <c r="I247" t="s">
        <v>533</v>
      </c>
      <c r="J247" t="s">
        <v>534</v>
      </c>
      <c r="K247" t="str">
        <f t="shared" si="27"/>
        <v>1015.2</v>
      </c>
      <c r="N247" t="str">
        <f t="shared" si="28"/>
        <v>HOLDING REGISTER</v>
      </c>
      <c r="O247" t="str">
        <f t="shared" si="29"/>
        <v>BOOL</v>
      </c>
      <c r="P247" t="str">
        <f t="shared" si="30"/>
        <v>INTERRUTTORE 30</v>
      </c>
      <c r="R247" t="str">
        <f t="shared" si="31"/>
        <v>QIS2 -INTERRUTTORE CONTROLLO TRAFFICO SCATTATO</v>
      </c>
      <c r="U247" t="str">
        <f t="shared" si="32"/>
        <v>Allarme</v>
      </c>
      <c r="V247" t="str">
        <f t="shared" si="33"/>
        <v>QIS2</v>
      </c>
      <c r="W247" t="str">
        <f t="shared" si="34"/>
        <v>CABINA PRINCIPALE</v>
      </c>
      <c r="Z247" t="str">
        <f t="shared" si="35"/>
        <v>10.220.80.16</v>
      </c>
    </row>
    <row r="248" spans="1:26" x14ac:dyDescent="0.25">
      <c r="A248" t="s">
        <v>10</v>
      </c>
      <c r="B248" t="s">
        <v>11</v>
      </c>
      <c r="C248" t="s">
        <v>460</v>
      </c>
      <c r="D248" t="s">
        <v>49</v>
      </c>
      <c r="E248">
        <v>31</v>
      </c>
      <c r="F248" t="s">
        <v>14</v>
      </c>
      <c r="G248" t="s">
        <v>21</v>
      </c>
      <c r="H248" t="s">
        <v>22</v>
      </c>
      <c r="I248" t="s">
        <v>535</v>
      </c>
      <c r="J248" t="s">
        <v>536</v>
      </c>
      <c r="K248" t="str">
        <f t="shared" si="27"/>
        <v>1015.3</v>
      </c>
      <c r="N248" t="str">
        <f t="shared" si="28"/>
        <v>HOLDING REGISTER</v>
      </c>
      <c r="O248" t="str">
        <f t="shared" si="29"/>
        <v>BOOL</v>
      </c>
      <c r="P248" t="str">
        <f t="shared" si="30"/>
        <v>INTERRUTTORE 31</v>
      </c>
      <c r="R248" t="str">
        <f t="shared" si="31"/>
        <v>QIS2 -INTERRUTTORE RISERVA CHIUSO</v>
      </c>
      <c r="U248" t="str">
        <f t="shared" si="32"/>
        <v>Stato</v>
      </c>
      <c r="V248" t="str">
        <f t="shared" si="33"/>
        <v>QIS2</v>
      </c>
      <c r="W248" t="str">
        <f t="shared" si="34"/>
        <v>CABINA PRINCIPALE</v>
      </c>
      <c r="Z248" t="str">
        <f t="shared" si="35"/>
        <v>10.220.80.16</v>
      </c>
    </row>
    <row r="249" spans="1:26" x14ac:dyDescent="0.25">
      <c r="A249" t="s">
        <v>10</v>
      </c>
      <c r="B249" t="s">
        <v>11</v>
      </c>
      <c r="C249" t="s">
        <v>460</v>
      </c>
      <c r="D249" t="s">
        <v>49</v>
      </c>
      <c r="E249">
        <v>31</v>
      </c>
      <c r="F249" t="s">
        <v>14</v>
      </c>
      <c r="G249" t="s">
        <v>28</v>
      </c>
      <c r="H249" t="s">
        <v>22</v>
      </c>
      <c r="I249" t="s">
        <v>537</v>
      </c>
      <c r="J249" t="s">
        <v>538</v>
      </c>
      <c r="K249" t="str">
        <f t="shared" si="27"/>
        <v>1015.4</v>
      </c>
      <c r="N249" t="str">
        <f t="shared" si="28"/>
        <v>HOLDING REGISTER</v>
      </c>
      <c r="O249" t="str">
        <f t="shared" si="29"/>
        <v>BOOL</v>
      </c>
      <c r="P249" t="str">
        <f t="shared" si="30"/>
        <v>INTERRUTTORE 31</v>
      </c>
      <c r="R249" t="str">
        <f t="shared" si="31"/>
        <v>QIS2 -INTERRUTTORE RISERVA SCATTATO</v>
      </c>
      <c r="U249" t="str">
        <f t="shared" si="32"/>
        <v>Allarme</v>
      </c>
      <c r="V249" t="str">
        <f t="shared" si="33"/>
        <v>QIS2</v>
      </c>
      <c r="W249" t="str">
        <f t="shared" si="34"/>
        <v>CABINA PRINCIPALE</v>
      </c>
      <c r="Z249" t="str">
        <f t="shared" si="35"/>
        <v>10.220.80.16</v>
      </c>
    </row>
    <row r="250" spans="1:26" x14ac:dyDescent="0.25">
      <c r="A250" t="s">
        <v>10</v>
      </c>
      <c r="B250" t="s">
        <v>11</v>
      </c>
      <c r="C250" t="s">
        <v>460</v>
      </c>
      <c r="D250" t="s">
        <v>49</v>
      </c>
      <c r="E250">
        <v>40</v>
      </c>
      <c r="F250" t="s">
        <v>14</v>
      </c>
      <c r="G250" t="s">
        <v>21</v>
      </c>
      <c r="H250" t="s">
        <v>22</v>
      </c>
      <c r="I250" t="s">
        <v>539</v>
      </c>
      <c r="J250" t="s">
        <v>536</v>
      </c>
      <c r="K250" t="str">
        <f t="shared" si="27"/>
        <v>1015.5</v>
      </c>
      <c r="N250" t="str">
        <f t="shared" si="28"/>
        <v>HOLDING REGISTER</v>
      </c>
      <c r="O250" t="str">
        <f t="shared" si="29"/>
        <v>BOOL</v>
      </c>
      <c r="P250" t="str">
        <f t="shared" si="30"/>
        <v>INTERRUTTORE 40</v>
      </c>
      <c r="R250" t="str">
        <f t="shared" si="31"/>
        <v>QIS2 -INTERRUTTORE RISERVA CHIUSO</v>
      </c>
      <c r="U250" t="str">
        <f t="shared" si="32"/>
        <v>Stato</v>
      </c>
      <c r="V250" t="str">
        <f t="shared" si="33"/>
        <v>QIS2</v>
      </c>
      <c r="W250" t="str">
        <f t="shared" si="34"/>
        <v>CABINA PRINCIPALE</v>
      </c>
      <c r="Z250" t="str">
        <f t="shared" si="35"/>
        <v>10.220.80.16</v>
      </c>
    </row>
    <row r="251" spans="1:26" x14ac:dyDescent="0.25">
      <c r="A251" t="s">
        <v>10</v>
      </c>
      <c r="B251" t="s">
        <v>11</v>
      </c>
      <c r="C251" t="s">
        <v>460</v>
      </c>
      <c r="D251" t="s">
        <v>49</v>
      </c>
      <c r="E251">
        <v>40</v>
      </c>
      <c r="F251" t="s">
        <v>14</v>
      </c>
      <c r="G251" t="s">
        <v>28</v>
      </c>
      <c r="H251" t="s">
        <v>22</v>
      </c>
      <c r="I251" t="s">
        <v>540</v>
      </c>
      <c r="J251" t="s">
        <v>538</v>
      </c>
      <c r="K251" t="str">
        <f t="shared" si="27"/>
        <v>1015.6</v>
      </c>
      <c r="N251" t="str">
        <f t="shared" si="28"/>
        <v>HOLDING REGISTER</v>
      </c>
      <c r="O251" t="str">
        <f t="shared" si="29"/>
        <v>BOOL</v>
      </c>
      <c r="P251" t="str">
        <f t="shared" si="30"/>
        <v>INTERRUTTORE 40</v>
      </c>
      <c r="R251" t="str">
        <f t="shared" si="31"/>
        <v>QIS2 -INTERRUTTORE RISERVA SCATTATO</v>
      </c>
      <c r="U251" t="str">
        <f t="shared" si="32"/>
        <v>Allarme</v>
      </c>
      <c r="V251" t="str">
        <f t="shared" si="33"/>
        <v>QIS2</v>
      </c>
      <c r="W251" t="str">
        <f t="shared" si="34"/>
        <v>CABINA PRINCIPALE</v>
      </c>
      <c r="Z251" t="str">
        <f t="shared" si="35"/>
        <v>10.220.80.16</v>
      </c>
    </row>
    <row r="252" spans="1:26" x14ac:dyDescent="0.25">
      <c r="A252" t="s">
        <v>10</v>
      </c>
      <c r="B252" t="s">
        <v>11</v>
      </c>
      <c r="C252" t="s">
        <v>460</v>
      </c>
      <c r="D252" t="s">
        <v>49</v>
      </c>
      <c r="E252">
        <v>41</v>
      </c>
      <c r="F252" t="s">
        <v>14</v>
      </c>
      <c r="G252" t="s">
        <v>21</v>
      </c>
      <c r="H252" t="s">
        <v>22</v>
      </c>
      <c r="I252" t="s">
        <v>541</v>
      </c>
      <c r="J252" t="s">
        <v>536</v>
      </c>
      <c r="K252" t="str">
        <f t="shared" si="27"/>
        <v>1015.7</v>
      </c>
      <c r="N252" t="str">
        <f t="shared" si="28"/>
        <v>HOLDING REGISTER</v>
      </c>
      <c r="O252" t="str">
        <f t="shared" si="29"/>
        <v>BOOL</v>
      </c>
      <c r="P252" t="str">
        <f t="shared" si="30"/>
        <v>INTERRUTTORE 41</v>
      </c>
      <c r="R252" t="str">
        <f t="shared" si="31"/>
        <v>QIS2 -INTERRUTTORE RISERVA CHIUSO</v>
      </c>
      <c r="U252" t="str">
        <f t="shared" si="32"/>
        <v>Stato</v>
      </c>
      <c r="V252" t="str">
        <f t="shared" si="33"/>
        <v>QIS2</v>
      </c>
      <c r="W252" t="str">
        <f t="shared" si="34"/>
        <v>CABINA PRINCIPALE</v>
      </c>
      <c r="Z252" t="str">
        <f t="shared" si="35"/>
        <v>10.220.80.16</v>
      </c>
    </row>
    <row r="253" spans="1:26" x14ac:dyDescent="0.25">
      <c r="A253" t="s">
        <v>10</v>
      </c>
      <c r="B253" t="s">
        <v>11</v>
      </c>
      <c r="C253" t="s">
        <v>460</v>
      </c>
      <c r="D253" t="s">
        <v>49</v>
      </c>
      <c r="E253">
        <v>41</v>
      </c>
      <c r="F253" t="s">
        <v>14</v>
      </c>
      <c r="G253" t="s">
        <v>28</v>
      </c>
      <c r="H253" t="s">
        <v>22</v>
      </c>
      <c r="I253" t="s">
        <v>542</v>
      </c>
      <c r="J253" t="s">
        <v>538</v>
      </c>
      <c r="K253" t="str">
        <f t="shared" si="27"/>
        <v>1015.8</v>
      </c>
      <c r="N253" t="str">
        <f t="shared" si="28"/>
        <v>HOLDING REGISTER</v>
      </c>
      <c r="O253" t="str">
        <f t="shared" si="29"/>
        <v>BOOL</v>
      </c>
      <c r="P253" t="str">
        <f t="shared" si="30"/>
        <v>INTERRUTTORE 41</v>
      </c>
      <c r="R253" t="str">
        <f t="shared" si="31"/>
        <v>QIS2 -INTERRUTTORE RISERVA SCATTATO</v>
      </c>
      <c r="U253" t="str">
        <f t="shared" si="32"/>
        <v>Allarme</v>
      </c>
      <c r="V253" t="str">
        <f t="shared" si="33"/>
        <v>QIS2</v>
      </c>
      <c r="W253" t="str">
        <f t="shared" si="34"/>
        <v>CABINA PRINCIPALE</v>
      </c>
      <c r="Z253" t="str">
        <f t="shared" si="35"/>
        <v>10.220.80.16</v>
      </c>
    </row>
    <row r="254" spans="1:26" x14ac:dyDescent="0.25">
      <c r="A254" t="s">
        <v>10</v>
      </c>
      <c r="B254" t="s">
        <v>11</v>
      </c>
      <c r="C254" t="s">
        <v>460</v>
      </c>
      <c r="D254" t="s">
        <v>49</v>
      </c>
      <c r="E254">
        <v>42</v>
      </c>
      <c r="F254" t="s">
        <v>14</v>
      </c>
      <c r="G254" t="s">
        <v>21</v>
      </c>
      <c r="H254" t="s">
        <v>22</v>
      </c>
      <c r="I254" t="s">
        <v>543</v>
      </c>
      <c r="J254" t="s">
        <v>536</v>
      </c>
      <c r="K254" t="str">
        <f t="shared" si="27"/>
        <v>1015.9</v>
      </c>
      <c r="N254" t="str">
        <f t="shared" si="28"/>
        <v>HOLDING REGISTER</v>
      </c>
      <c r="O254" t="str">
        <f t="shared" si="29"/>
        <v>BOOL</v>
      </c>
      <c r="P254" t="str">
        <f t="shared" si="30"/>
        <v>INTERRUTTORE 42</v>
      </c>
      <c r="R254" t="str">
        <f t="shared" si="31"/>
        <v>QIS2 -INTERRUTTORE RISERVA CHIUSO</v>
      </c>
      <c r="U254" t="str">
        <f t="shared" si="32"/>
        <v>Stato</v>
      </c>
      <c r="V254" t="str">
        <f t="shared" si="33"/>
        <v>QIS2</v>
      </c>
      <c r="W254" t="str">
        <f t="shared" si="34"/>
        <v>CABINA PRINCIPALE</v>
      </c>
      <c r="Z254" t="str">
        <f t="shared" si="35"/>
        <v>10.220.80.16</v>
      </c>
    </row>
    <row r="255" spans="1:26" x14ac:dyDescent="0.25">
      <c r="A255" t="s">
        <v>10</v>
      </c>
      <c r="B255" t="s">
        <v>11</v>
      </c>
      <c r="C255" t="s">
        <v>460</v>
      </c>
      <c r="D255" t="s">
        <v>49</v>
      </c>
      <c r="E255">
        <v>42</v>
      </c>
      <c r="F255" t="s">
        <v>14</v>
      </c>
      <c r="G255" t="s">
        <v>28</v>
      </c>
      <c r="H255" t="s">
        <v>22</v>
      </c>
      <c r="I255" t="s">
        <v>544</v>
      </c>
      <c r="J255" t="s">
        <v>538</v>
      </c>
      <c r="K255" t="str">
        <f t="shared" si="27"/>
        <v>1015.10</v>
      </c>
      <c r="N255" t="str">
        <f t="shared" si="28"/>
        <v>HOLDING REGISTER</v>
      </c>
      <c r="O255" t="str">
        <f t="shared" si="29"/>
        <v>BOOL</v>
      </c>
      <c r="P255" t="str">
        <f t="shared" si="30"/>
        <v>INTERRUTTORE 42</v>
      </c>
      <c r="R255" t="str">
        <f t="shared" si="31"/>
        <v>QIS2 -INTERRUTTORE RISERVA SCATTATO</v>
      </c>
      <c r="U255" t="str">
        <f t="shared" si="32"/>
        <v>Allarme</v>
      </c>
      <c r="V255" t="str">
        <f t="shared" si="33"/>
        <v>QIS2</v>
      </c>
      <c r="W255" t="str">
        <f t="shared" si="34"/>
        <v>CABINA PRINCIPALE</v>
      </c>
      <c r="Z255" t="str">
        <f t="shared" si="35"/>
        <v>10.220.80.16</v>
      </c>
    </row>
    <row r="256" spans="1:26" x14ac:dyDescent="0.25">
      <c r="A256" t="s">
        <v>10</v>
      </c>
      <c r="B256" t="s">
        <v>11</v>
      </c>
      <c r="C256" t="s">
        <v>460</v>
      </c>
      <c r="D256" t="s">
        <v>49</v>
      </c>
      <c r="E256">
        <v>43</v>
      </c>
      <c r="F256" t="s">
        <v>14</v>
      </c>
      <c r="G256" t="s">
        <v>21</v>
      </c>
      <c r="H256" t="s">
        <v>22</v>
      </c>
      <c r="I256" t="s">
        <v>545</v>
      </c>
      <c r="J256" t="s">
        <v>536</v>
      </c>
      <c r="K256" t="str">
        <f t="shared" si="27"/>
        <v>1015.11</v>
      </c>
      <c r="N256" t="str">
        <f t="shared" si="28"/>
        <v>HOLDING REGISTER</v>
      </c>
      <c r="O256" t="str">
        <f t="shared" si="29"/>
        <v>BOOL</v>
      </c>
      <c r="P256" t="str">
        <f t="shared" si="30"/>
        <v>INTERRUTTORE 43</v>
      </c>
      <c r="R256" t="str">
        <f t="shared" si="31"/>
        <v>QIS2 -INTERRUTTORE RISERVA CHIUSO</v>
      </c>
      <c r="U256" t="str">
        <f t="shared" si="32"/>
        <v>Stato</v>
      </c>
      <c r="V256" t="str">
        <f t="shared" si="33"/>
        <v>QIS2</v>
      </c>
      <c r="W256" t="str">
        <f t="shared" si="34"/>
        <v>CABINA PRINCIPALE</v>
      </c>
      <c r="Z256" t="str">
        <f t="shared" si="35"/>
        <v>10.220.80.16</v>
      </c>
    </row>
    <row r="257" spans="1:26" x14ac:dyDescent="0.25">
      <c r="A257" t="s">
        <v>10</v>
      </c>
      <c r="B257" t="s">
        <v>11</v>
      </c>
      <c r="C257" t="s">
        <v>460</v>
      </c>
      <c r="D257" t="s">
        <v>49</v>
      </c>
      <c r="E257">
        <v>43</v>
      </c>
      <c r="F257" t="s">
        <v>14</v>
      </c>
      <c r="G257" t="s">
        <v>28</v>
      </c>
      <c r="H257" t="s">
        <v>22</v>
      </c>
      <c r="I257" t="s">
        <v>546</v>
      </c>
      <c r="J257" t="s">
        <v>538</v>
      </c>
      <c r="K257" t="str">
        <f t="shared" si="27"/>
        <v>1015.12</v>
      </c>
      <c r="N257" t="str">
        <f t="shared" si="28"/>
        <v>HOLDING REGISTER</v>
      </c>
      <c r="O257" t="str">
        <f t="shared" si="29"/>
        <v>BOOL</v>
      </c>
      <c r="P257" t="str">
        <f t="shared" si="30"/>
        <v>INTERRUTTORE 43</v>
      </c>
      <c r="R257" t="str">
        <f t="shared" si="31"/>
        <v>QIS2 -INTERRUTTORE RISERVA SCATTATO</v>
      </c>
      <c r="U257" t="str">
        <f t="shared" si="32"/>
        <v>Allarme</v>
      </c>
      <c r="V257" t="str">
        <f t="shared" si="33"/>
        <v>QIS2</v>
      </c>
      <c r="W257" t="str">
        <f t="shared" si="34"/>
        <v>CABINA PRINCIPALE</v>
      </c>
      <c r="Z257" t="str">
        <f t="shared" si="35"/>
        <v>10.220.80.16</v>
      </c>
    </row>
    <row r="258" spans="1:26" x14ac:dyDescent="0.25">
      <c r="A258" t="s">
        <v>10</v>
      </c>
      <c r="B258" t="s">
        <v>11</v>
      </c>
      <c r="C258" t="s">
        <v>460</v>
      </c>
      <c r="D258" t="s">
        <v>205</v>
      </c>
      <c r="E258" t="s">
        <v>206</v>
      </c>
      <c r="F258" t="s">
        <v>14</v>
      </c>
      <c r="G258" t="s">
        <v>28</v>
      </c>
      <c r="H258" t="s">
        <v>22</v>
      </c>
      <c r="I258" t="s">
        <v>547</v>
      </c>
      <c r="J258" t="s">
        <v>548</v>
      </c>
      <c r="K258" t="str">
        <f t="shared" si="27"/>
        <v>1015.13</v>
      </c>
      <c r="N258" t="str">
        <f t="shared" si="28"/>
        <v>HOLDING REGISTER</v>
      </c>
      <c r="O258" t="str">
        <f t="shared" si="29"/>
        <v>BOOL</v>
      </c>
      <c r="P258" t="str">
        <f t="shared" si="30"/>
        <v>REMOTE I/O RIO</v>
      </c>
      <c r="R258" t="str">
        <f t="shared" si="31"/>
        <v>QIS2 -ERRORE DI COMUNICAZIONE CON RIO</v>
      </c>
      <c r="U258" t="str">
        <f t="shared" si="32"/>
        <v>Allarme</v>
      </c>
      <c r="V258" t="str">
        <f t="shared" si="33"/>
        <v>QIS2</v>
      </c>
      <c r="W258" t="str">
        <f t="shared" si="34"/>
        <v>CABINA PRINCIPALE</v>
      </c>
      <c r="Z258" t="str">
        <f t="shared" si="35"/>
        <v>10.220.80.16</v>
      </c>
    </row>
    <row r="259" spans="1:26" x14ac:dyDescent="0.25">
      <c r="A259" t="s">
        <v>10</v>
      </c>
      <c r="B259" t="s">
        <v>11</v>
      </c>
      <c r="C259" t="s">
        <v>549</v>
      </c>
      <c r="D259" t="s">
        <v>49</v>
      </c>
      <c r="E259">
        <v>1</v>
      </c>
      <c r="F259" t="s">
        <v>14</v>
      </c>
      <c r="G259" t="s">
        <v>21</v>
      </c>
      <c r="H259" t="s">
        <v>22</v>
      </c>
      <c r="I259" t="s">
        <v>550</v>
      </c>
      <c r="J259" t="s">
        <v>551</v>
      </c>
      <c r="K259" t="str">
        <f t="shared" ref="K259:K322" si="36">IF(I259="","",I259)</f>
        <v>1015.14</v>
      </c>
      <c r="N259" t="str">
        <f t="shared" ref="N259:N322" si="37">IF(F259="","",F259)</f>
        <v>HOLDING REGISTER</v>
      </c>
      <c r="O259" t="str">
        <f t="shared" ref="O259:O322" si="38">IF(H259="","",H259)</f>
        <v>BOOL</v>
      </c>
      <c r="P259" t="str">
        <f t="shared" ref="P259:P322" si="39">_xlfn.CONCAT(D259," ",E259)</f>
        <v>INTERRUTTORE 1</v>
      </c>
      <c r="R259" t="str">
        <f t="shared" ref="R259:R322" si="40">IF(J259="","",J259)</f>
        <v>QILL1 -SEZIONATORE GENERALE ILLUMINAZIONE RINFORZO NORD CHIUSO</v>
      </c>
      <c r="U259" t="str">
        <f t="shared" ref="U259:U322" si="41">IF(G259="","",G259)</f>
        <v>Stato</v>
      </c>
      <c r="V259" t="str">
        <f t="shared" ref="V259:V322" si="42">IF(C259="","",C259)</f>
        <v>QILL1</v>
      </c>
      <c r="W259" t="str">
        <f t="shared" ref="W259:W322" si="43">IF(B259="","",B259)</f>
        <v>CABINA PRINCIPALE</v>
      </c>
      <c r="Z259" t="str">
        <f t="shared" ref="Z259:Z322" si="44">IF(A259="","",A259)</f>
        <v>10.220.80.16</v>
      </c>
    </row>
    <row r="260" spans="1:26" x14ac:dyDescent="0.25">
      <c r="A260" t="s">
        <v>10</v>
      </c>
      <c r="B260" t="s">
        <v>11</v>
      </c>
      <c r="C260" t="s">
        <v>549</v>
      </c>
      <c r="D260" t="s">
        <v>552</v>
      </c>
      <c r="E260" t="s">
        <v>295</v>
      </c>
      <c r="F260" t="s">
        <v>14</v>
      </c>
      <c r="G260" t="s">
        <v>21</v>
      </c>
      <c r="H260" t="s">
        <v>22</v>
      </c>
      <c r="I260" t="s">
        <v>553</v>
      </c>
      <c r="J260" t="s">
        <v>554</v>
      </c>
      <c r="K260" t="str">
        <f t="shared" si="36"/>
        <v>1015.15</v>
      </c>
      <c r="N260" t="str">
        <f t="shared" si="37"/>
        <v>HOLDING REGISTER</v>
      </c>
      <c r="O260" t="str">
        <f t="shared" si="38"/>
        <v>BOOL</v>
      </c>
      <c r="P260" t="str">
        <f t="shared" si="39"/>
        <v>CONTATTORE 2K1</v>
      </c>
      <c r="R260" t="str">
        <f t="shared" si="40"/>
        <v>QILL1 -CONTATTORE ILLUMINAZIONE RINFORZI NORD CHIUSO</v>
      </c>
      <c r="U260" t="str">
        <f t="shared" si="41"/>
        <v>Stato</v>
      </c>
      <c r="V260" t="str">
        <f t="shared" si="42"/>
        <v>QILL1</v>
      </c>
      <c r="W260" t="str">
        <f t="shared" si="43"/>
        <v>CABINA PRINCIPALE</v>
      </c>
      <c r="Z260" t="str">
        <f t="shared" si="44"/>
        <v>10.220.80.16</v>
      </c>
    </row>
    <row r="261" spans="1:26" x14ac:dyDescent="0.25">
      <c r="A261" t="s">
        <v>10</v>
      </c>
      <c r="B261" t="s">
        <v>11</v>
      </c>
      <c r="C261" t="s">
        <v>549</v>
      </c>
      <c r="D261" t="s">
        <v>555</v>
      </c>
      <c r="E261" t="s">
        <v>556</v>
      </c>
      <c r="F261" t="s">
        <v>14</v>
      </c>
      <c r="G261" t="s">
        <v>21</v>
      </c>
      <c r="H261" t="s">
        <v>22</v>
      </c>
      <c r="I261" t="s">
        <v>557</v>
      </c>
      <c r="J261" t="s">
        <v>558</v>
      </c>
      <c r="K261" t="str">
        <f t="shared" si="36"/>
        <v>1016.0</v>
      </c>
      <c r="N261" t="str">
        <f t="shared" si="37"/>
        <v>HOLDING REGISTER</v>
      </c>
      <c r="O261" t="str">
        <f t="shared" si="38"/>
        <v>BOOL</v>
      </c>
      <c r="P261" t="str">
        <f t="shared" si="39"/>
        <v>SELETTORE 2S1</v>
      </c>
      <c r="R261" t="str">
        <f t="shared" si="40"/>
        <v>QILL1 -SELETTORE ILLUMINAZIONE RINFORZI NORD IN AUTOMATICO</v>
      </c>
      <c r="U261" t="str">
        <f t="shared" si="41"/>
        <v>Stato</v>
      </c>
      <c r="V261" t="str">
        <f t="shared" si="42"/>
        <v>QILL1</v>
      </c>
      <c r="W261" t="str">
        <f t="shared" si="43"/>
        <v>CABINA PRINCIPALE</v>
      </c>
      <c r="Z261" t="str">
        <f t="shared" si="44"/>
        <v>10.220.80.16</v>
      </c>
    </row>
    <row r="262" spans="1:26" x14ac:dyDescent="0.25">
      <c r="A262" t="s">
        <v>10</v>
      </c>
      <c r="B262" t="s">
        <v>11</v>
      </c>
      <c r="C262" t="s">
        <v>549</v>
      </c>
      <c r="D262" t="s">
        <v>49</v>
      </c>
      <c r="E262">
        <v>4</v>
      </c>
      <c r="F262" t="s">
        <v>14</v>
      </c>
      <c r="G262" t="s">
        <v>21</v>
      </c>
      <c r="H262" t="s">
        <v>22</v>
      </c>
      <c r="I262" t="s">
        <v>559</v>
      </c>
      <c r="J262" t="s">
        <v>560</v>
      </c>
      <c r="K262" t="str">
        <f t="shared" si="36"/>
        <v>1016.1</v>
      </c>
      <c r="N262" t="str">
        <f t="shared" si="37"/>
        <v>HOLDING REGISTER</v>
      </c>
      <c r="O262" t="str">
        <f t="shared" si="38"/>
        <v>BOOL</v>
      </c>
      <c r="P262" t="str">
        <f t="shared" si="39"/>
        <v>INTERRUTTORE 4</v>
      </c>
      <c r="R262" t="str">
        <f t="shared" si="40"/>
        <v>QILL1 -INTERRUTTORE ILLUMINAZIONE RINFORZO R4-NORD CHIUSO</v>
      </c>
      <c r="U262" t="str">
        <f t="shared" si="41"/>
        <v>Stato</v>
      </c>
      <c r="V262" t="str">
        <f t="shared" si="42"/>
        <v>QILL1</v>
      </c>
      <c r="W262" t="str">
        <f t="shared" si="43"/>
        <v>CABINA PRINCIPALE</v>
      </c>
      <c r="Z262" t="str">
        <f t="shared" si="44"/>
        <v>10.220.80.16</v>
      </c>
    </row>
    <row r="263" spans="1:26" x14ac:dyDescent="0.25">
      <c r="A263" t="s">
        <v>10</v>
      </c>
      <c r="B263" t="s">
        <v>11</v>
      </c>
      <c r="C263" t="s">
        <v>549</v>
      </c>
      <c r="D263" t="s">
        <v>49</v>
      </c>
      <c r="E263">
        <v>5</v>
      </c>
      <c r="F263" t="s">
        <v>14</v>
      </c>
      <c r="G263" t="s">
        <v>21</v>
      </c>
      <c r="H263" t="s">
        <v>22</v>
      </c>
      <c r="I263" t="s">
        <v>561</v>
      </c>
      <c r="J263" t="s">
        <v>562</v>
      </c>
      <c r="K263" t="str">
        <f t="shared" si="36"/>
        <v>1016.2</v>
      </c>
      <c r="N263" t="str">
        <f t="shared" si="37"/>
        <v>HOLDING REGISTER</v>
      </c>
      <c r="O263" t="str">
        <f t="shared" si="38"/>
        <v>BOOL</v>
      </c>
      <c r="P263" t="str">
        <f t="shared" si="39"/>
        <v>INTERRUTTORE 5</v>
      </c>
      <c r="R263" t="str">
        <f t="shared" si="40"/>
        <v>QILL1 -INTERRUTTORE ILLUMINAZIONE RINFORZO R5-NORD CHIUSO</v>
      </c>
      <c r="U263" t="str">
        <f t="shared" si="41"/>
        <v>Stato</v>
      </c>
      <c r="V263" t="str">
        <f t="shared" si="42"/>
        <v>QILL1</v>
      </c>
      <c r="W263" t="str">
        <f t="shared" si="43"/>
        <v>CABINA PRINCIPALE</v>
      </c>
      <c r="Z263" t="str">
        <f t="shared" si="44"/>
        <v>10.220.80.16</v>
      </c>
    </row>
    <row r="264" spans="1:26" x14ac:dyDescent="0.25">
      <c r="A264" t="s">
        <v>10</v>
      </c>
      <c r="B264" t="s">
        <v>11</v>
      </c>
      <c r="C264" t="s">
        <v>549</v>
      </c>
      <c r="D264" t="s">
        <v>49</v>
      </c>
      <c r="E264">
        <v>6</v>
      </c>
      <c r="F264" t="s">
        <v>14</v>
      </c>
      <c r="G264" t="s">
        <v>21</v>
      </c>
      <c r="H264" t="s">
        <v>22</v>
      </c>
      <c r="I264" t="s">
        <v>563</v>
      </c>
      <c r="J264" t="s">
        <v>564</v>
      </c>
      <c r="K264" t="str">
        <f t="shared" si="36"/>
        <v>1016.3</v>
      </c>
      <c r="N264" t="str">
        <f t="shared" si="37"/>
        <v>HOLDING REGISTER</v>
      </c>
      <c r="O264" t="str">
        <f t="shared" si="38"/>
        <v>BOOL</v>
      </c>
      <c r="P264" t="str">
        <f t="shared" si="39"/>
        <v>INTERRUTTORE 6</v>
      </c>
      <c r="R264" t="str">
        <f t="shared" si="40"/>
        <v>QILL1 -INTERRUTTORE ILLUMINAZIONE RINFORZO R6-NORD CHIUSO</v>
      </c>
      <c r="U264" t="str">
        <f t="shared" si="41"/>
        <v>Stato</v>
      </c>
      <c r="V264" t="str">
        <f t="shared" si="42"/>
        <v>QILL1</v>
      </c>
      <c r="W264" t="str">
        <f t="shared" si="43"/>
        <v>CABINA PRINCIPALE</v>
      </c>
      <c r="Z264" t="str">
        <f t="shared" si="44"/>
        <v>10.220.80.16</v>
      </c>
    </row>
    <row r="265" spans="1:26" x14ac:dyDescent="0.25">
      <c r="A265" t="s">
        <v>10</v>
      </c>
      <c r="B265" t="s">
        <v>11</v>
      </c>
      <c r="C265" t="s">
        <v>549</v>
      </c>
      <c r="D265" t="s">
        <v>49</v>
      </c>
      <c r="E265">
        <v>10</v>
      </c>
      <c r="F265" t="s">
        <v>14</v>
      </c>
      <c r="G265" t="s">
        <v>21</v>
      </c>
      <c r="H265" t="s">
        <v>22</v>
      </c>
      <c r="I265" t="s">
        <v>565</v>
      </c>
      <c r="J265" t="s">
        <v>551</v>
      </c>
      <c r="K265" t="str">
        <f t="shared" si="36"/>
        <v>1016.4</v>
      </c>
      <c r="N265" t="str">
        <f t="shared" si="37"/>
        <v>HOLDING REGISTER</v>
      </c>
      <c r="O265" t="str">
        <f t="shared" si="38"/>
        <v>BOOL</v>
      </c>
      <c r="P265" t="str">
        <f t="shared" si="39"/>
        <v>INTERRUTTORE 10</v>
      </c>
      <c r="R265" t="str">
        <f t="shared" si="40"/>
        <v>QILL1 -SEZIONATORE GENERALE ILLUMINAZIONE RINFORZO NORD CHIUSO</v>
      </c>
      <c r="U265" t="str">
        <f t="shared" si="41"/>
        <v>Stato</v>
      </c>
      <c r="V265" t="str">
        <f t="shared" si="42"/>
        <v>QILL1</v>
      </c>
      <c r="W265" t="str">
        <f t="shared" si="43"/>
        <v>CABINA PRINCIPALE</v>
      </c>
      <c r="Z265" t="str">
        <f t="shared" si="44"/>
        <v>10.220.80.16</v>
      </c>
    </row>
    <row r="266" spans="1:26" x14ac:dyDescent="0.25">
      <c r="A266" t="s">
        <v>10</v>
      </c>
      <c r="B266" t="s">
        <v>11</v>
      </c>
      <c r="C266" t="s">
        <v>549</v>
      </c>
      <c r="D266" t="s">
        <v>552</v>
      </c>
      <c r="E266" t="s">
        <v>566</v>
      </c>
      <c r="F266" t="s">
        <v>14</v>
      </c>
      <c r="G266" t="s">
        <v>21</v>
      </c>
      <c r="H266" t="s">
        <v>22</v>
      </c>
      <c r="I266" t="s">
        <v>567</v>
      </c>
      <c r="J266" t="s">
        <v>568</v>
      </c>
      <c r="K266" t="str">
        <f t="shared" si="36"/>
        <v>1016.5</v>
      </c>
      <c r="N266" t="str">
        <f t="shared" si="37"/>
        <v>HOLDING REGISTER</v>
      </c>
      <c r="O266" t="str">
        <f t="shared" si="38"/>
        <v>BOOL</v>
      </c>
      <c r="P266" t="str">
        <f t="shared" si="39"/>
        <v>CONTATTORE 3K1</v>
      </c>
      <c r="R266" t="str">
        <f t="shared" si="40"/>
        <v>QILL1 -CONTATTORE ILLUMINAZIONE RINFORZI SUD CHIUSO</v>
      </c>
      <c r="U266" t="str">
        <f t="shared" si="41"/>
        <v>Stato</v>
      </c>
      <c r="V266" t="str">
        <f t="shared" si="42"/>
        <v>QILL1</v>
      </c>
      <c r="W266" t="str">
        <f t="shared" si="43"/>
        <v>CABINA PRINCIPALE</v>
      </c>
      <c r="Z266" t="str">
        <f t="shared" si="44"/>
        <v>10.220.80.16</v>
      </c>
    </row>
    <row r="267" spans="1:26" x14ac:dyDescent="0.25">
      <c r="A267" t="s">
        <v>10</v>
      </c>
      <c r="B267" t="s">
        <v>11</v>
      </c>
      <c r="C267" t="s">
        <v>549</v>
      </c>
      <c r="D267" t="s">
        <v>555</v>
      </c>
      <c r="E267" t="s">
        <v>569</v>
      </c>
      <c r="F267" t="s">
        <v>14</v>
      </c>
      <c r="G267" t="s">
        <v>21</v>
      </c>
      <c r="H267" t="s">
        <v>22</v>
      </c>
      <c r="I267" t="s">
        <v>570</v>
      </c>
      <c r="J267" t="s">
        <v>571</v>
      </c>
      <c r="K267" t="str">
        <f t="shared" si="36"/>
        <v>1016.6</v>
      </c>
      <c r="N267" t="str">
        <f t="shared" si="37"/>
        <v>HOLDING REGISTER</v>
      </c>
      <c r="O267" t="str">
        <f t="shared" si="38"/>
        <v>BOOL</v>
      </c>
      <c r="P267" t="str">
        <f t="shared" si="39"/>
        <v>SELETTORE 3S1</v>
      </c>
      <c r="R267" t="str">
        <f t="shared" si="40"/>
        <v>QILL1 -SELETTORE ILLUMINAZIONE RINFORZI SUD IN AUTOMATICO</v>
      </c>
      <c r="U267" t="str">
        <f t="shared" si="41"/>
        <v>Stato</v>
      </c>
      <c r="V267" t="str">
        <f t="shared" si="42"/>
        <v>QILL1</v>
      </c>
      <c r="W267" t="str">
        <f t="shared" si="43"/>
        <v>CABINA PRINCIPALE</v>
      </c>
      <c r="Z267" t="str">
        <f t="shared" si="44"/>
        <v>10.220.80.16</v>
      </c>
    </row>
    <row r="268" spans="1:26" x14ac:dyDescent="0.25">
      <c r="A268" t="s">
        <v>10</v>
      </c>
      <c r="B268" t="s">
        <v>11</v>
      </c>
      <c r="C268" t="s">
        <v>549</v>
      </c>
      <c r="D268" t="s">
        <v>49</v>
      </c>
      <c r="E268">
        <v>14</v>
      </c>
      <c r="F268" t="s">
        <v>14</v>
      </c>
      <c r="G268" t="s">
        <v>21</v>
      </c>
      <c r="H268" t="s">
        <v>22</v>
      </c>
      <c r="I268" t="s">
        <v>572</v>
      </c>
      <c r="J268" t="s">
        <v>573</v>
      </c>
      <c r="K268" t="str">
        <f t="shared" si="36"/>
        <v>1016.7</v>
      </c>
      <c r="N268" t="str">
        <f t="shared" si="37"/>
        <v>HOLDING REGISTER</v>
      </c>
      <c r="O268" t="str">
        <f t="shared" si="38"/>
        <v>BOOL</v>
      </c>
      <c r="P268" t="str">
        <f t="shared" si="39"/>
        <v>INTERRUTTORE 14</v>
      </c>
      <c r="R268" t="str">
        <f t="shared" si="40"/>
        <v>QILL1 -INTERRUTTORE ILLUMINAZIONE RINFORZO R1-SUD CHIUSO</v>
      </c>
      <c r="U268" t="str">
        <f t="shared" si="41"/>
        <v>Stato</v>
      </c>
      <c r="V268" t="str">
        <f t="shared" si="42"/>
        <v>QILL1</v>
      </c>
      <c r="W268" t="str">
        <f t="shared" si="43"/>
        <v>CABINA PRINCIPALE</v>
      </c>
      <c r="Z268" t="str">
        <f t="shared" si="44"/>
        <v>10.220.80.16</v>
      </c>
    </row>
    <row r="269" spans="1:26" x14ac:dyDescent="0.25">
      <c r="A269" t="s">
        <v>10</v>
      </c>
      <c r="B269" t="s">
        <v>11</v>
      </c>
      <c r="C269" t="s">
        <v>549</v>
      </c>
      <c r="D269" t="s">
        <v>49</v>
      </c>
      <c r="E269">
        <v>15</v>
      </c>
      <c r="F269" t="s">
        <v>14</v>
      </c>
      <c r="G269" t="s">
        <v>21</v>
      </c>
      <c r="H269" t="s">
        <v>22</v>
      </c>
      <c r="I269" t="s">
        <v>574</v>
      </c>
      <c r="J269" t="s">
        <v>575</v>
      </c>
      <c r="K269" t="str">
        <f t="shared" si="36"/>
        <v>1016.8</v>
      </c>
      <c r="N269" t="str">
        <f t="shared" si="37"/>
        <v>HOLDING REGISTER</v>
      </c>
      <c r="O269" t="str">
        <f t="shared" si="38"/>
        <v>BOOL</v>
      </c>
      <c r="P269" t="str">
        <f t="shared" si="39"/>
        <v>INTERRUTTORE 15</v>
      </c>
      <c r="R269" t="str">
        <f t="shared" si="40"/>
        <v>QILL1 -INTERRUTTORE ILLUMINAZIONE RINFORZO R2-SUD CHIUSO</v>
      </c>
      <c r="U269" t="str">
        <f t="shared" si="41"/>
        <v>Stato</v>
      </c>
      <c r="V269" t="str">
        <f t="shared" si="42"/>
        <v>QILL1</v>
      </c>
      <c r="W269" t="str">
        <f t="shared" si="43"/>
        <v>CABINA PRINCIPALE</v>
      </c>
      <c r="Z269" t="str">
        <f t="shared" si="44"/>
        <v>10.220.80.16</v>
      </c>
    </row>
    <row r="270" spans="1:26" x14ac:dyDescent="0.25">
      <c r="A270" t="s">
        <v>10</v>
      </c>
      <c r="B270" t="s">
        <v>11</v>
      </c>
      <c r="C270" t="s">
        <v>549</v>
      </c>
      <c r="D270" t="s">
        <v>49</v>
      </c>
      <c r="E270">
        <v>16</v>
      </c>
      <c r="F270" t="s">
        <v>14</v>
      </c>
      <c r="G270" t="s">
        <v>21</v>
      </c>
      <c r="H270" t="s">
        <v>22</v>
      </c>
      <c r="I270" t="s">
        <v>576</v>
      </c>
      <c r="J270" t="s">
        <v>577</v>
      </c>
      <c r="K270" t="str">
        <f t="shared" si="36"/>
        <v>1016.9</v>
      </c>
      <c r="N270" t="str">
        <f t="shared" si="37"/>
        <v>HOLDING REGISTER</v>
      </c>
      <c r="O270" t="str">
        <f t="shared" si="38"/>
        <v>BOOL</v>
      </c>
      <c r="P270" t="str">
        <f t="shared" si="39"/>
        <v>INTERRUTTORE 16</v>
      </c>
      <c r="R270" t="str">
        <f t="shared" si="40"/>
        <v>QILL1 -INTERRUTTORE ILLUMINAZIONE RINFORZO R3-SUD CHIUSO</v>
      </c>
      <c r="U270" t="str">
        <f t="shared" si="41"/>
        <v>Stato</v>
      </c>
      <c r="V270" t="str">
        <f t="shared" si="42"/>
        <v>QILL1</v>
      </c>
      <c r="W270" t="str">
        <f t="shared" si="43"/>
        <v>CABINA PRINCIPALE</v>
      </c>
      <c r="Z270" t="str">
        <f t="shared" si="44"/>
        <v>10.220.80.16</v>
      </c>
    </row>
    <row r="271" spans="1:26" x14ac:dyDescent="0.25">
      <c r="A271" t="s">
        <v>10</v>
      </c>
      <c r="B271" t="s">
        <v>11</v>
      </c>
      <c r="C271" t="s">
        <v>549</v>
      </c>
      <c r="D271" t="s">
        <v>361</v>
      </c>
      <c r="E271">
        <v>20</v>
      </c>
      <c r="F271" t="s">
        <v>362</v>
      </c>
      <c r="G271" t="s">
        <v>362</v>
      </c>
      <c r="H271" t="s">
        <v>362</v>
      </c>
      <c r="I271" t="s">
        <v>362</v>
      </c>
      <c r="J271" t="s">
        <v>363</v>
      </c>
      <c r="K271" t="str">
        <f t="shared" si="36"/>
        <v>---</v>
      </c>
      <c r="N271" t="str">
        <f t="shared" si="37"/>
        <v>---</v>
      </c>
      <c r="O271" t="str">
        <f t="shared" si="38"/>
        <v>---</v>
      </c>
      <c r="P271" t="str">
        <f t="shared" si="39"/>
        <v>SEZIONATORE 20</v>
      </c>
      <c r="R271" t="str">
        <f t="shared" si="40"/>
        <v>GENERALE QUADRO SENZA DIAGNOSTICA</v>
      </c>
      <c r="U271" t="str">
        <f t="shared" si="41"/>
        <v>---</v>
      </c>
      <c r="V271" t="str">
        <f t="shared" si="42"/>
        <v>QILL1</v>
      </c>
      <c r="W271" t="str">
        <f t="shared" si="43"/>
        <v>CABINA PRINCIPALE</v>
      </c>
      <c r="Z271" t="str">
        <f t="shared" si="44"/>
        <v>10.220.80.16</v>
      </c>
    </row>
    <row r="272" spans="1:26" x14ac:dyDescent="0.25">
      <c r="A272" t="s">
        <v>10</v>
      </c>
      <c r="B272" t="s">
        <v>11</v>
      </c>
      <c r="C272" t="s">
        <v>549</v>
      </c>
      <c r="D272" t="s">
        <v>49</v>
      </c>
      <c r="E272">
        <v>22</v>
      </c>
      <c r="F272" t="s">
        <v>14</v>
      </c>
      <c r="G272" t="s">
        <v>21</v>
      </c>
      <c r="H272" t="s">
        <v>22</v>
      </c>
      <c r="I272" t="s">
        <v>578</v>
      </c>
      <c r="J272" t="s">
        <v>579</v>
      </c>
      <c r="K272" t="str">
        <f t="shared" si="36"/>
        <v>1016.10</v>
      </c>
      <c r="N272" t="str">
        <f t="shared" si="37"/>
        <v>HOLDING REGISTER</v>
      </c>
      <c r="O272" t="str">
        <f t="shared" si="38"/>
        <v>BOOL</v>
      </c>
      <c r="P272" t="str">
        <f t="shared" si="39"/>
        <v>INTERRUTTORE 22</v>
      </c>
      <c r="R272" t="str">
        <f t="shared" si="40"/>
        <v>QILL1 -INTERRUTTORE ILLUMINAZIONE PERMANENTI P1 CHIUSO</v>
      </c>
      <c r="U272" t="str">
        <f t="shared" si="41"/>
        <v>Stato</v>
      </c>
      <c r="V272" t="str">
        <f t="shared" si="42"/>
        <v>QILL1</v>
      </c>
      <c r="W272" t="str">
        <f t="shared" si="43"/>
        <v>CABINA PRINCIPALE</v>
      </c>
      <c r="Z272" t="str">
        <f t="shared" si="44"/>
        <v>10.220.80.16</v>
      </c>
    </row>
    <row r="273" spans="1:26" x14ac:dyDescent="0.25">
      <c r="A273" t="s">
        <v>10</v>
      </c>
      <c r="B273" t="s">
        <v>11</v>
      </c>
      <c r="C273" t="s">
        <v>549</v>
      </c>
      <c r="D273" t="s">
        <v>49</v>
      </c>
      <c r="E273">
        <v>22</v>
      </c>
      <c r="F273" t="s">
        <v>14</v>
      </c>
      <c r="G273" t="s">
        <v>28</v>
      </c>
      <c r="H273" t="s">
        <v>22</v>
      </c>
      <c r="I273" t="s">
        <v>580</v>
      </c>
      <c r="J273" t="s">
        <v>581</v>
      </c>
      <c r="K273" t="str">
        <f t="shared" si="36"/>
        <v>1016.11</v>
      </c>
      <c r="N273" t="str">
        <f t="shared" si="37"/>
        <v>HOLDING REGISTER</v>
      </c>
      <c r="O273" t="str">
        <f t="shared" si="38"/>
        <v>BOOL</v>
      </c>
      <c r="P273" t="str">
        <f t="shared" si="39"/>
        <v>INTERRUTTORE 22</v>
      </c>
      <c r="R273" t="str">
        <f t="shared" si="40"/>
        <v>QILL1 -INTERRUTTORE ILLUMINAZIONE PERMANENTI P1 SCATTATO</v>
      </c>
      <c r="U273" t="str">
        <f t="shared" si="41"/>
        <v>Allarme</v>
      </c>
      <c r="V273" t="str">
        <f t="shared" si="42"/>
        <v>QILL1</v>
      </c>
      <c r="W273" t="str">
        <f t="shared" si="43"/>
        <v>CABINA PRINCIPALE</v>
      </c>
      <c r="Z273" t="str">
        <f t="shared" si="44"/>
        <v>10.220.80.16</v>
      </c>
    </row>
    <row r="274" spans="1:26" x14ac:dyDescent="0.25">
      <c r="A274" t="s">
        <v>10</v>
      </c>
      <c r="B274" t="s">
        <v>11</v>
      </c>
      <c r="C274" t="s">
        <v>549</v>
      </c>
      <c r="D274" t="s">
        <v>49</v>
      </c>
      <c r="E274">
        <v>23</v>
      </c>
      <c r="F274" t="s">
        <v>14</v>
      </c>
      <c r="G274" t="s">
        <v>21</v>
      </c>
      <c r="H274" t="s">
        <v>22</v>
      </c>
      <c r="I274" t="s">
        <v>582</v>
      </c>
      <c r="J274" t="s">
        <v>583</v>
      </c>
      <c r="K274" t="str">
        <f t="shared" si="36"/>
        <v>1016.12</v>
      </c>
      <c r="N274" t="str">
        <f t="shared" si="37"/>
        <v>HOLDING REGISTER</v>
      </c>
      <c r="O274" t="str">
        <f t="shared" si="38"/>
        <v>BOOL</v>
      </c>
      <c r="P274" t="str">
        <f t="shared" si="39"/>
        <v>INTERRUTTORE 23</v>
      </c>
      <c r="R274" t="str">
        <f t="shared" si="40"/>
        <v>QILL1 -INTERRUTTORE ILLUMINAZIONE PERMANENTI P2 CHIUSO</v>
      </c>
      <c r="U274" t="str">
        <f t="shared" si="41"/>
        <v>Stato</v>
      </c>
      <c r="V274" t="str">
        <f t="shared" si="42"/>
        <v>QILL1</v>
      </c>
      <c r="W274" t="str">
        <f t="shared" si="43"/>
        <v>CABINA PRINCIPALE</v>
      </c>
      <c r="Z274" t="str">
        <f t="shared" si="44"/>
        <v>10.220.80.16</v>
      </c>
    </row>
    <row r="275" spans="1:26" x14ac:dyDescent="0.25">
      <c r="A275" t="s">
        <v>10</v>
      </c>
      <c r="B275" t="s">
        <v>11</v>
      </c>
      <c r="C275" t="s">
        <v>549</v>
      </c>
      <c r="D275" t="s">
        <v>49</v>
      </c>
      <c r="E275">
        <v>23</v>
      </c>
      <c r="F275" t="s">
        <v>14</v>
      </c>
      <c r="G275" t="s">
        <v>28</v>
      </c>
      <c r="H275" t="s">
        <v>22</v>
      </c>
      <c r="I275" t="s">
        <v>584</v>
      </c>
      <c r="J275" t="s">
        <v>585</v>
      </c>
      <c r="K275" t="str">
        <f t="shared" si="36"/>
        <v>1016.13</v>
      </c>
      <c r="N275" t="str">
        <f t="shared" si="37"/>
        <v>HOLDING REGISTER</v>
      </c>
      <c r="O275" t="str">
        <f t="shared" si="38"/>
        <v>BOOL</v>
      </c>
      <c r="P275" t="str">
        <f t="shared" si="39"/>
        <v>INTERRUTTORE 23</v>
      </c>
      <c r="R275" t="str">
        <f t="shared" si="40"/>
        <v>QILL1 -INTERRUTTORE ILLUMINAZIONE PERMANENTI P2 SCATTATO</v>
      </c>
      <c r="U275" t="str">
        <f t="shared" si="41"/>
        <v>Allarme</v>
      </c>
      <c r="V275" t="str">
        <f t="shared" si="42"/>
        <v>QILL1</v>
      </c>
      <c r="W275" t="str">
        <f t="shared" si="43"/>
        <v>CABINA PRINCIPALE</v>
      </c>
      <c r="Z275" t="str">
        <f t="shared" si="44"/>
        <v>10.220.80.16</v>
      </c>
    </row>
    <row r="276" spans="1:26" x14ac:dyDescent="0.25">
      <c r="A276" t="s">
        <v>10</v>
      </c>
      <c r="B276" t="s">
        <v>11</v>
      </c>
      <c r="C276" t="s">
        <v>549</v>
      </c>
      <c r="D276" t="s">
        <v>49</v>
      </c>
      <c r="E276">
        <v>24</v>
      </c>
      <c r="F276" t="s">
        <v>14</v>
      </c>
      <c r="G276" t="s">
        <v>21</v>
      </c>
      <c r="H276" t="s">
        <v>22</v>
      </c>
      <c r="I276" t="s">
        <v>586</v>
      </c>
      <c r="J276" t="s">
        <v>587</v>
      </c>
      <c r="K276" t="str">
        <f t="shared" si="36"/>
        <v>1016.14</v>
      </c>
      <c r="N276" t="str">
        <f t="shared" si="37"/>
        <v>HOLDING REGISTER</v>
      </c>
      <c r="O276" t="str">
        <f t="shared" si="38"/>
        <v>BOOL</v>
      </c>
      <c r="P276" t="str">
        <f t="shared" si="39"/>
        <v>INTERRUTTORE 24</v>
      </c>
      <c r="R276" t="str">
        <f t="shared" si="40"/>
        <v>QILL1 -INTERRUTTORE ILLUMINAZIONE PERMANENTI P3 CHIUSO</v>
      </c>
      <c r="U276" t="str">
        <f t="shared" si="41"/>
        <v>Stato</v>
      </c>
      <c r="V276" t="str">
        <f t="shared" si="42"/>
        <v>QILL1</v>
      </c>
      <c r="W276" t="str">
        <f t="shared" si="43"/>
        <v>CABINA PRINCIPALE</v>
      </c>
      <c r="Z276" t="str">
        <f t="shared" si="44"/>
        <v>10.220.80.16</v>
      </c>
    </row>
    <row r="277" spans="1:26" x14ac:dyDescent="0.25">
      <c r="A277" t="s">
        <v>10</v>
      </c>
      <c r="B277" t="s">
        <v>11</v>
      </c>
      <c r="C277" t="s">
        <v>549</v>
      </c>
      <c r="D277" t="s">
        <v>49</v>
      </c>
      <c r="E277">
        <v>24</v>
      </c>
      <c r="F277" t="s">
        <v>14</v>
      </c>
      <c r="G277" t="s">
        <v>28</v>
      </c>
      <c r="H277" t="s">
        <v>22</v>
      </c>
      <c r="I277" t="s">
        <v>588</v>
      </c>
      <c r="J277" t="s">
        <v>589</v>
      </c>
      <c r="K277" t="str">
        <f t="shared" si="36"/>
        <v>1016.15</v>
      </c>
      <c r="N277" t="str">
        <f t="shared" si="37"/>
        <v>HOLDING REGISTER</v>
      </c>
      <c r="O277" t="str">
        <f t="shared" si="38"/>
        <v>BOOL</v>
      </c>
      <c r="P277" t="str">
        <f t="shared" si="39"/>
        <v>INTERRUTTORE 24</v>
      </c>
      <c r="R277" t="str">
        <f t="shared" si="40"/>
        <v>QILL1 -INTERRUTTORE ILLUMINAZIONE PERMANENTI P3 SCATTATO</v>
      </c>
      <c r="U277" t="str">
        <f t="shared" si="41"/>
        <v>Allarme</v>
      </c>
      <c r="V277" t="str">
        <f t="shared" si="42"/>
        <v>QILL1</v>
      </c>
      <c r="W277" t="str">
        <f t="shared" si="43"/>
        <v>CABINA PRINCIPALE</v>
      </c>
      <c r="Z277" t="str">
        <f t="shared" si="44"/>
        <v>10.220.80.16</v>
      </c>
    </row>
    <row r="278" spans="1:26" x14ac:dyDescent="0.25">
      <c r="A278" t="s">
        <v>10</v>
      </c>
      <c r="B278" t="s">
        <v>11</v>
      </c>
      <c r="C278" t="s">
        <v>549</v>
      </c>
      <c r="D278" t="s">
        <v>49</v>
      </c>
      <c r="E278">
        <v>25</v>
      </c>
      <c r="F278" t="s">
        <v>14</v>
      </c>
      <c r="G278" t="s">
        <v>21</v>
      </c>
      <c r="H278" t="s">
        <v>22</v>
      </c>
      <c r="I278" t="s">
        <v>590</v>
      </c>
      <c r="J278" t="s">
        <v>591</v>
      </c>
      <c r="K278" t="str">
        <f t="shared" si="36"/>
        <v>1017.0</v>
      </c>
      <c r="N278" t="str">
        <f t="shared" si="37"/>
        <v>HOLDING REGISTER</v>
      </c>
      <c r="O278" t="str">
        <f t="shared" si="38"/>
        <v>BOOL</v>
      </c>
      <c r="P278" t="str">
        <f t="shared" si="39"/>
        <v>INTERRUTTORE 25</v>
      </c>
      <c r="R278" t="str">
        <f t="shared" si="40"/>
        <v>QILL1 -INTERRUTTORE ILLUMINAZIONE PERMANENTI P4 CHIUSO</v>
      </c>
      <c r="U278" t="str">
        <f t="shared" si="41"/>
        <v>Stato</v>
      </c>
      <c r="V278" t="str">
        <f t="shared" si="42"/>
        <v>QILL1</v>
      </c>
      <c r="W278" t="str">
        <f t="shared" si="43"/>
        <v>CABINA PRINCIPALE</v>
      </c>
      <c r="Z278" t="str">
        <f t="shared" si="44"/>
        <v>10.220.80.16</v>
      </c>
    </row>
    <row r="279" spans="1:26" x14ac:dyDescent="0.25">
      <c r="A279" t="s">
        <v>10</v>
      </c>
      <c r="B279" t="s">
        <v>11</v>
      </c>
      <c r="C279" t="s">
        <v>549</v>
      </c>
      <c r="D279" t="s">
        <v>49</v>
      </c>
      <c r="E279">
        <v>25</v>
      </c>
      <c r="F279" t="s">
        <v>14</v>
      </c>
      <c r="G279" t="s">
        <v>28</v>
      </c>
      <c r="H279" t="s">
        <v>22</v>
      </c>
      <c r="I279" t="s">
        <v>592</v>
      </c>
      <c r="J279" t="s">
        <v>593</v>
      </c>
      <c r="K279" t="str">
        <f t="shared" si="36"/>
        <v>1017.1</v>
      </c>
      <c r="N279" t="str">
        <f t="shared" si="37"/>
        <v>HOLDING REGISTER</v>
      </c>
      <c r="O279" t="str">
        <f t="shared" si="38"/>
        <v>BOOL</v>
      </c>
      <c r="P279" t="str">
        <f t="shared" si="39"/>
        <v>INTERRUTTORE 25</v>
      </c>
      <c r="R279" t="str">
        <f t="shared" si="40"/>
        <v>QILL1 -INTERRUTTORE ILLUMINAZIONE PERMANENTI P4 SCATTATO</v>
      </c>
      <c r="U279" t="str">
        <f t="shared" si="41"/>
        <v>Allarme</v>
      </c>
      <c r="V279" t="str">
        <f t="shared" si="42"/>
        <v>QILL1</v>
      </c>
      <c r="W279" t="str">
        <f t="shared" si="43"/>
        <v>CABINA PRINCIPALE</v>
      </c>
      <c r="Z279" t="str">
        <f t="shared" si="44"/>
        <v>10.220.80.16</v>
      </c>
    </row>
    <row r="280" spans="1:26" x14ac:dyDescent="0.25">
      <c r="A280" t="s">
        <v>10</v>
      </c>
      <c r="B280" t="s">
        <v>11</v>
      </c>
      <c r="C280" t="s">
        <v>549</v>
      </c>
      <c r="D280" t="s">
        <v>49</v>
      </c>
      <c r="E280">
        <v>26</v>
      </c>
      <c r="F280" t="s">
        <v>14</v>
      </c>
      <c r="G280" t="s">
        <v>21</v>
      </c>
      <c r="H280" t="s">
        <v>22</v>
      </c>
      <c r="I280" t="s">
        <v>594</v>
      </c>
      <c r="J280" t="s">
        <v>595</v>
      </c>
      <c r="K280" t="str">
        <f t="shared" si="36"/>
        <v>1017.2</v>
      </c>
      <c r="N280" t="str">
        <f t="shared" si="37"/>
        <v>HOLDING REGISTER</v>
      </c>
      <c r="O280" t="str">
        <f t="shared" si="38"/>
        <v>BOOL</v>
      </c>
      <c r="P280" t="str">
        <f t="shared" si="39"/>
        <v>INTERRUTTORE 26</v>
      </c>
      <c r="R280" t="str">
        <f t="shared" si="40"/>
        <v>QILL1 -INTERRUTTORE ILLUMINAZIONE PERMANENTI P5 CHIUSO</v>
      </c>
      <c r="U280" t="str">
        <f t="shared" si="41"/>
        <v>Stato</v>
      </c>
      <c r="V280" t="str">
        <f t="shared" si="42"/>
        <v>QILL1</v>
      </c>
      <c r="W280" t="str">
        <f t="shared" si="43"/>
        <v>CABINA PRINCIPALE</v>
      </c>
      <c r="Z280" t="str">
        <f t="shared" si="44"/>
        <v>10.220.80.16</v>
      </c>
    </row>
    <row r="281" spans="1:26" x14ac:dyDescent="0.25">
      <c r="A281" t="s">
        <v>10</v>
      </c>
      <c r="B281" t="s">
        <v>11</v>
      </c>
      <c r="C281" t="s">
        <v>549</v>
      </c>
      <c r="D281" t="s">
        <v>49</v>
      </c>
      <c r="E281">
        <v>26</v>
      </c>
      <c r="F281" t="s">
        <v>14</v>
      </c>
      <c r="G281" t="s">
        <v>28</v>
      </c>
      <c r="H281" t="s">
        <v>22</v>
      </c>
      <c r="I281" t="s">
        <v>596</v>
      </c>
      <c r="J281" t="s">
        <v>597</v>
      </c>
      <c r="K281" t="str">
        <f t="shared" si="36"/>
        <v>1017.3</v>
      </c>
      <c r="N281" t="str">
        <f t="shared" si="37"/>
        <v>HOLDING REGISTER</v>
      </c>
      <c r="O281" t="str">
        <f t="shared" si="38"/>
        <v>BOOL</v>
      </c>
      <c r="P281" t="str">
        <f t="shared" si="39"/>
        <v>INTERRUTTORE 26</v>
      </c>
      <c r="R281" t="str">
        <f t="shared" si="40"/>
        <v>QILL1 -INTERRUTTORE ILLUMINAZIONE PERMANENTI P5 SCATTATO</v>
      </c>
      <c r="U281" t="str">
        <f t="shared" si="41"/>
        <v>Allarme</v>
      </c>
      <c r="V281" t="str">
        <f t="shared" si="42"/>
        <v>QILL1</v>
      </c>
      <c r="W281" t="str">
        <f t="shared" si="43"/>
        <v>CABINA PRINCIPALE</v>
      </c>
      <c r="Z281" t="str">
        <f t="shared" si="44"/>
        <v>10.220.80.16</v>
      </c>
    </row>
    <row r="282" spans="1:26" x14ac:dyDescent="0.25">
      <c r="A282" t="s">
        <v>10</v>
      </c>
      <c r="B282" t="s">
        <v>11</v>
      </c>
      <c r="C282" t="s">
        <v>549</v>
      </c>
      <c r="D282" t="s">
        <v>49</v>
      </c>
      <c r="E282">
        <v>27</v>
      </c>
      <c r="F282" t="s">
        <v>14</v>
      </c>
      <c r="G282" t="s">
        <v>21</v>
      </c>
      <c r="H282" t="s">
        <v>22</v>
      </c>
      <c r="I282" t="s">
        <v>598</v>
      </c>
      <c r="J282" t="s">
        <v>599</v>
      </c>
      <c r="K282" t="str">
        <f t="shared" si="36"/>
        <v>1017.4</v>
      </c>
      <c r="N282" t="str">
        <f t="shared" si="37"/>
        <v>HOLDING REGISTER</v>
      </c>
      <c r="O282" t="str">
        <f t="shared" si="38"/>
        <v>BOOL</v>
      </c>
      <c r="P282" t="str">
        <f t="shared" si="39"/>
        <v>INTERRUTTORE 27</v>
      </c>
      <c r="R282" t="str">
        <f t="shared" si="40"/>
        <v>QILL1 -INTERRUTTORE ILLUMINAZIONE PERMANENTI P6 CHIUSO</v>
      </c>
      <c r="U282" t="str">
        <f t="shared" si="41"/>
        <v>Stato</v>
      </c>
      <c r="V282" t="str">
        <f t="shared" si="42"/>
        <v>QILL1</v>
      </c>
      <c r="W282" t="str">
        <f t="shared" si="43"/>
        <v>CABINA PRINCIPALE</v>
      </c>
      <c r="Z282" t="str">
        <f t="shared" si="44"/>
        <v>10.220.80.16</v>
      </c>
    </row>
    <row r="283" spans="1:26" x14ac:dyDescent="0.25">
      <c r="A283" t="s">
        <v>10</v>
      </c>
      <c r="B283" t="s">
        <v>11</v>
      </c>
      <c r="C283" t="s">
        <v>549</v>
      </c>
      <c r="D283" t="s">
        <v>49</v>
      </c>
      <c r="E283">
        <v>27</v>
      </c>
      <c r="F283" t="s">
        <v>14</v>
      </c>
      <c r="G283" t="s">
        <v>28</v>
      </c>
      <c r="H283" t="s">
        <v>22</v>
      </c>
      <c r="I283" t="s">
        <v>600</v>
      </c>
      <c r="J283" t="s">
        <v>601</v>
      </c>
      <c r="K283" t="str">
        <f t="shared" si="36"/>
        <v>1017.5</v>
      </c>
      <c r="N283" t="str">
        <f t="shared" si="37"/>
        <v>HOLDING REGISTER</v>
      </c>
      <c r="O283" t="str">
        <f t="shared" si="38"/>
        <v>BOOL</v>
      </c>
      <c r="P283" t="str">
        <f t="shared" si="39"/>
        <v>INTERRUTTORE 27</v>
      </c>
      <c r="R283" t="str">
        <f t="shared" si="40"/>
        <v>QILL1 -INTERRUTTORE ILLUMINAZIONE PERMANENTI P6 SCATTATO</v>
      </c>
      <c r="U283" t="str">
        <f t="shared" si="41"/>
        <v>Allarme</v>
      </c>
      <c r="V283" t="str">
        <f t="shared" si="42"/>
        <v>QILL1</v>
      </c>
      <c r="W283" t="str">
        <f t="shared" si="43"/>
        <v>CABINA PRINCIPALE</v>
      </c>
      <c r="Z283" t="str">
        <f t="shared" si="44"/>
        <v>10.220.80.16</v>
      </c>
    </row>
    <row r="284" spans="1:26" x14ac:dyDescent="0.25">
      <c r="A284" t="s">
        <v>10</v>
      </c>
      <c r="B284" t="s">
        <v>11</v>
      </c>
      <c r="C284" t="s">
        <v>549</v>
      </c>
      <c r="D284" t="s">
        <v>49</v>
      </c>
      <c r="E284">
        <v>28</v>
      </c>
      <c r="F284" t="s">
        <v>14</v>
      </c>
      <c r="G284" t="s">
        <v>21</v>
      </c>
      <c r="H284" t="s">
        <v>22</v>
      </c>
      <c r="I284" t="s">
        <v>602</v>
      </c>
      <c r="J284" t="s">
        <v>603</v>
      </c>
      <c r="K284" t="str">
        <f t="shared" si="36"/>
        <v>1017.6</v>
      </c>
      <c r="N284" t="str">
        <f t="shared" si="37"/>
        <v>HOLDING REGISTER</v>
      </c>
      <c r="O284" t="str">
        <f t="shared" si="38"/>
        <v>BOOL</v>
      </c>
      <c r="P284" t="str">
        <f t="shared" si="39"/>
        <v>INTERRUTTORE 28</v>
      </c>
      <c r="R284" t="str">
        <f t="shared" si="40"/>
        <v>QILL1 -INTERRUTTORE ILLUMINAZIONE PERMANENTI P7 CHIUSO</v>
      </c>
      <c r="U284" t="str">
        <f t="shared" si="41"/>
        <v>Stato</v>
      </c>
      <c r="V284" t="str">
        <f t="shared" si="42"/>
        <v>QILL1</v>
      </c>
      <c r="W284" t="str">
        <f t="shared" si="43"/>
        <v>CABINA PRINCIPALE</v>
      </c>
      <c r="Z284" t="str">
        <f t="shared" si="44"/>
        <v>10.220.80.16</v>
      </c>
    </row>
    <row r="285" spans="1:26" x14ac:dyDescent="0.25">
      <c r="A285" t="s">
        <v>10</v>
      </c>
      <c r="B285" t="s">
        <v>11</v>
      </c>
      <c r="C285" t="s">
        <v>549</v>
      </c>
      <c r="D285" t="s">
        <v>49</v>
      </c>
      <c r="E285">
        <v>28</v>
      </c>
      <c r="F285" t="s">
        <v>14</v>
      </c>
      <c r="G285" t="s">
        <v>28</v>
      </c>
      <c r="H285" t="s">
        <v>22</v>
      </c>
      <c r="I285" t="s">
        <v>604</v>
      </c>
      <c r="J285" t="s">
        <v>605</v>
      </c>
      <c r="K285" t="str">
        <f t="shared" si="36"/>
        <v>1017.7</v>
      </c>
      <c r="N285" t="str">
        <f t="shared" si="37"/>
        <v>HOLDING REGISTER</v>
      </c>
      <c r="O285" t="str">
        <f t="shared" si="38"/>
        <v>BOOL</v>
      </c>
      <c r="P285" t="str">
        <f t="shared" si="39"/>
        <v>INTERRUTTORE 28</v>
      </c>
      <c r="R285" t="str">
        <f t="shared" si="40"/>
        <v>QILL1 -INTERRUTTORE ILLUMINAZIONE PERMANENTI P7 SCATTATO</v>
      </c>
      <c r="U285" t="str">
        <f t="shared" si="41"/>
        <v>Allarme</v>
      </c>
      <c r="V285" t="str">
        <f t="shared" si="42"/>
        <v>QILL1</v>
      </c>
      <c r="W285" t="str">
        <f t="shared" si="43"/>
        <v>CABINA PRINCIPALE</v>
      </c>
      <c r="Z285" t="str">
        <f t="shared" si="44"/>
        <v>10.220.80.16</v>
      </c>
    </row>
    <row r="286" spans="1:26" x14ac:dyDescent="0.25">
      <c r="A286" t="s">
        <v>10</v>
      </c>
      <c r="B286" t="s">
        <v>11</v>
      </c>
      <c r="C286" t="s">
        <v>549</v>
      </c>
      <c r="D286" t="s">
        <v>49</v>
      </c>
      <c r="E286">
        <v>29</v>
      </c>
      <c r="F286" t="s">
        <v>14</v>
      </c>
      <c r="G286" t="s">
        <v>21</v>
      </c>
      <c r="H286" t="s">
        <v>22</v>
      </c>
      <c r="I286" t="s">
        <v>606</v>
      </c>
      <c r="J286" t="s">
        <v>607</v>
      </c>
      <c r="K286" t="str">
        <f t="shared" si="36"/>
        <v>1017.8</v>
      </c>
      <c r="N286" t="str">
        <f t="shared" si="37"/>
        <v>HOLDING REGISTER</v>
      </c>
      <c r="O286" t="str">
        <f t="shared" si="38"/>
        <v>BOOL</v>
      </c>
      <c r="P286" t="str">
        <f t="shared" si="39"/>
        <v>INTERRUTTORE 29</v>
      </c>
      <c r="R286" t="str">
        <f t="shared" si="40"/>
        <v>QILL1 -INTERRUTTORE ILLUMINAZIONE PERMANENTI P8 CHIUSO</v>
      </c>
      <c r="U286" t="str">
        <f t="shared" si="41"/>
        <v>Stato</v>
      </c>
      <c r="V286" t="str">
        <f t="shared" si="42"/>
        <v>QILL1</v>
      </c>
      <c r="W286" t="str">
        <f t="shared" si="43"/>
        <v>CABINA PRINCIPALE</v>
      </c>
      <c r="Z286" t="str">
        <f t="shared" si="44"/>
        <v>10.220.80.16</v>
      </c>
    </row>
    <row r="287" spans="1:26" x14ac:dyDescent="0.25">
      <c r="A287" t="s">
        <v>10</v>
      </c>
      <c r="B287" t="s">
        <v>11</v>
      </c>
      <c r="C287" t="s">
        <v>549</v>
      </c>
      <c r="D287" t="s">
        <v>49</v>
      </c>
      <c r="E287">
        <v>29</v>
      </c>
      <c r="F287" t="s">
        <v>14</v>
      </c>
      <c r="G287" t="s">
        <v>28</v>
      </c>
      <c r="H287" t="s">
        <v>22</v>
      </c>
      <c r="I287" t="s">
        <v>608</v>
      </c>
      <c r="J287" t="s">
        <v>609</v>
      </c>
      <c r="K287" t="str">
        <f t="shared" si="36"/>
        <v>1017.9</v>
      </c>
      <c r="N287" t="str">
        <f t="shared" si="37"/>
        <v>HOLDING REGISTER</v>
      </c>
      <c r="O287" t="str">
        <f t="shared" si="38"/>
        <v>BOOL</v>
      </c>
      <c r="P287" t="str">
        <f t="shared" si="39"/>
        <v>INTERRUTTORE 29</v>
      </c>
      <c r="R287" t="str">
        <f t="shared" si="40"/>
        <v>QILL1 -INTERRUTTORE ILLUMINAZIONE PERMANENTI P8 SCATTATO</v>
      </c>
      <c r="U287" t="str">
        <f t="shared" si="41"/>
        <v>Allarme</v>
      </c>
      <c r="V287" t="str">
        <f t="shared" si="42"/>
        <v>QILL1</v>
      </c>
      <c r="W287" t="str">
        <f t="shared" si="43"/>
        <v>CABINA PRINCIPALE</v>
      </c>
      <c r="Z287" t="str">
        <f t="shared" si="44"/>
        <v>10.220.80.16</v>
      </c>
    </row>
    <row r="288" spans="1:26" x14ac:dyDescent="0.25">
      <c r="A288" t="s">
        <v>10</v>
      </c>
      <c r="B288" t="s">
        <v>11</v>
      </c>
      <c r="C288" t="s">
        <v>549</v>
      </c>
      <c r="D288" t="s">
        <v>49</v>
      </c>
      <c r="E288">
        <v>30</v>
      </c>
      <c r="F288" t="s">
        <v>14</v>
      </c>
      <c r="G288" t="s">
        <v>21</v>
      </c>
      <c r="H288" t="s">
        <v>22</v>
      </c>
      <c r="I288" t="s">
        <v>610</v>
      </c>
      <c r="J288" t="s">
        <v>611</v>
      </c>
      <c r="K288" t="str">
        <f t="shared" si="36"/>
        <v>1017.10</v>
      </c>
      <c r="N288" t="str">
        <f t="shared" si="37"/>
        <v>HOLDING REGISTER</v>
      </c>
      <c r="O288" t="str">
        <f t="shared" si="38"/>
        <v>BOOL</v>
      </c>
      <c r="P288" t="str">
        <f t="shared" si="39"/>
        <v>INTERRUTTORE 30</v>
      </c>
      <c r="R288" t="str">
        <f t="shared" si="40"/>
        <v>QILL1 -INTERRUTTORE ILLUMINAZIONE PERMANENTI P9 CHIUSO</v>
      </c>
      <c r="U288" t="str">
        <f t="shared" si="41"/>
        <v>Stato</v>
      </c>
      <c r="V288" t="str">
        <f t="shared" si="42"/>
        <v>QILL1</v>
      </c>
      <c r="W288" t="str">
        <f t="shared" si="43"/>
        <v>CABINA PRINCIPALE</v>
      </c>
      <c r="Z288" t="str">
        <f t="shared" si="44"/>
        <v>10.220.80.16</v>
      </c>
    </row>
    <row r="289" spans="1:26" x14ac:dyDescent="0.25">
      <c r="A289" t="s">
        <v>10</v>
      </c>
      <c r="B289" t="s">
        <v>11</v>
      </c>
      <c r="C289" t="s">
        <v>549</v>
      </c>
      <c r="D289" t="s">
        <v>49</v>
      </c>
      <c r="E289">
        <v>30</v>
      </c>
      <c r="F289" t="s">
        <v>14</v>
      </c>
      <c r="G289" t="s">
        <v>28</v>
      </c>
      <c r="H289" t="s">
        <v>22</v>
      </c>
      <c r="I289" t="s">
        <v>612</v>
      </c>
      <c r="J289" t="s">
        <v>613</v>
      </c>
      <c r="K289" t="str">
        <f t="shared" si="36"/>
        <v>1017.11</v>
      </c>
      <c r="N289" t="str">
        <f t="shared" si="37"/>
        <v>HOLDING REGISTER</v>
      </c>
      <c r="O289" t="str">
        <f t="shared" si="38"/>
        <v>BOOL</v>
      </c>
      <c r="P289" t="str">
        <f t="shared" si="39"/>
        <v>INTERRUTTORE 30</v>
      </c>
      <c r="R289" t="str">
        <f t="shared" si="40"/>
        <v>QILL1 -INTERRUTTORE ILLUMINAZIONE PERMANENTI P9 SCATTATO</v>
      </c>
      <c r="U289" t="str">
        <f t="shared" si="41"/>
        <v>Allarme</v>
      </c>
      <c r="V289" t="str">
        <f t="shared" si="42"/>
        <v>QILL1</v>
      </c>
      <c r="W289" t="str">
        <f t="shared" si="43"/>
        <v>CABINA PRINCIPALE</v>
      </c>
      <c r="Z289" t="str">
        <f t="shared" si="44"/>
        <v>10.220.80.16</v>
      </c>
    </row>
    <row r="290" spans="1:26" x14ac:dyDescent="0.25">
      <c r="A290" t="s">
        <v>10</v>
      </c>
      <c r="B290" t="s">
        <v>11</v>
      </c>
      <c r="C290" t="s">
        <v>549</v>
      </c>
      <c r="D290" t="s">
        <v>49</v>
      </c>
      <c r="E290">
        <v>31</v>
      </c>
      <c r="F290" t="s">
        <v>14</v>
      </c>
      <c r="G290" t="s">
        <v>21</v>
      </c>
      <c r="H290" t="s">
        <v>22</v>
      </c>
      <c r="I290" t="s">
        <v>614</v>
      </c>
      <c r="J290" t="s">
        <v>615</v>
      </c>
      <c r="K290" t="str">
        <f t="shared" si="36"/>
        <v>1017.12</v>
      </c>
      <c r="N290" t="str">
        <f t="shared" si="37"/>
        <v>HOLDING REGISTER</v>
      </c>
      <c r="O290" t="str">
        <f t="shared" si="38"/>
        <v>BOOL</v>
      </c>
      <c r="P290" t="str">
        <f t="shared" si="39"/>
        <v>INTERRUTTORE 31</v>
      </c>
      <c r="R290" t="str">
        <f t="shared" si="40"/>
        <v>QILL1 -INTERRUTTORE ILLUMINAZIONE PERMANENTI P10 CHIUSO</v>
      </c>
      <c r="U290" t="str">
        <f t="shared" si="41"/>
        <v>Stato</v>
      </c>
      <c r="V290" t="str">
        <f t="shared" si="42"/>
        <v>QILL1</v>
      </c>
      <c r="W290" t="str">
        <f t="shared" si="43"/>
        <v>CABINA PRINCIPALE</v>
      </c>
      <c r="Z290" t="str">
        <f t="shared" si="44"/>
        <v>10.220.80.16</v>
      </c>
    </row>
    <row r="291" spans="1:26" x14ac:dyDescent="0.25">
      <c r="A291" t="s">
        <v>10</v>
      </c>
      <c r="B291" t="s">
        <v>11</v>
      </c>
      <c r="C291" t="s">
        <v>549</v>
      </c>
      <c r="D291" t="s">
        <v>49</v>
      </c>
      <c r="E291">
        <v>31</v>
      </c>
      <c r="F291" t="s">
        <v>14</v>
      </c>
      <c r="G291" t="s">
        <v>28</v>
      </c>
      <c r="H291" t="s">
        <v>22</v>
      </c>
      <c r="I291" t="s">
        <v>616</v>
      </c>
      <c r="J291" t="s">
        <v>617</v>
      </c>
      <c r="K291" t="str">
        <f t="shared" si="36"/>
        <v>1017.13</v>
      </c>
      <c r="N291" t="str">
        <f t="shared" si="37"/>
        <v>HOLDING REGISTER</v>
      </c>
      <c r="O291" t="str">
        <f t="shared" si="38"/>
        <v>BOOL</v>
      </c>
      <c r="P291" t="str">
        <f t="shared" si="39"/>
        <v>INTERRUTTORE 31</v>
      </c>
      <c r="R291" t="str">
        <f t="shared" si="40"/>
        <v>QILL1 -INTERRUTTORE ILLUMINAZIONE PERMANENTI P10 SCATTATO</v>
      </c>
      <c r="U291" t="str">
        <f t="shared" si="41"/>
        <v>Allarme</v>
      </c>
      <c r="V291" t="str">
        <f t="shared" si="42"/>
        <v>QILL1</v>
      </c>
      <c r="W291" t="str">
        <f t="shared" si="43"/>
        <v>CABINA PRINCIPALE</v>
      </c>
      <c r="Z291" t="str">
        <f t="shared" si="44"/>
        <v>10.220.80.16</v>
      </c>
    </row>
    <row r="292" spans="1:26" x14ac:dyDescent="0.25">
      <c r="A292" t="s">
        <v>10</v>
      </c>
      <c r="B292" t="s">
        <v>11</v>
      </c>
      <c r="C292" t="s">
        <v>549</v>
      </c>
      <c r="D292" t="s">
        <v>49</v>
      </c>
      <c r="E292">
        <v>32</v>
      </c>
      <c r="F292" t="s">
        <v>14</v>
      </c>
      <c r="G292" t="s">
        <v>21</v>
      </c>
      <c r="H292" t="s">
        <v>22</v>
      </c>
      <c r="I292" t="s">
        <v>618</v>
      </c>
      <c r="J292" t="s">
        <v>619</v>
      </c>
      <c r="K292" t="str">
        <f t="shared" si="36"/>
        <v>1017.14</v>
      </c>
      <c r="N292" t="str">
        <f t="shared" si="37"/>
        <v>HOLDING REGISTER</v>
      </c>
      <c r="O292" t="str">
        <f t="shared" si="38"/>
        <v>BOOL</v>
      </c>
      <c r="P292" t="str">
        <f t="shared" si="39"/>
        <v>INTERRUTTORE 32</v>
      </c>
      <c r="R292" t="str">
        <f t="shared" si="40"/>
        <v>QILL1 -INTERRUTTORE ILLUMINAZIONE PERMANENTI P11 CHIUSO</v>
      </c>
      <c r="U292" t="str">
        <f t="shared" si="41"/>
        <v>Stato</v>
      </c>
      <c r="V292" t="str">
        <f t="shared" si="42"/>
        <v>QILL1</v>
      </c>
      <c r="W292" t="str">
        <f t="shared" si="43"/>
        <v>CABINA PRINCIPALE</v>
      </c>
      <c r="Z292" t="str">
        <f t="shared" si="44"/>
        <v>10.220.80.16</v>
      </c>
    </row>
    <row r="293" spans="1:26" x14ac:dyDescent="0.25">
      <c r="A293" t="s">
        <v>10</v>
      </c>
      <c r="B293" t="s">
        <v>11</v>
      </c>
      <c r="C293" t="s">
        <v>549</v>
      </c>
      <c r="D293" t="s">
        <v>49</v>
      </c>
      <c r="E293">
        <v>32</v>
      </c>
      <c r="F293" t="s">
        <v>14</v>
      </c>
      <c r="G293" t="s">
        <v>28</v>
      </c>
      <c r="H293" t="s">
        <v>22</v>
      </c>
      <c r="I293" t="s">
        <v>620</v>
      </c>
      <c r="J293" t="s">
        <v>621</v>
      </c>
      <c r="K293" t="str">
        <f t="shared" si="36"/>
        <v>1017.15</v>
      </c>
      <c r="N293" t="str">
        <f t="shared" si="37"/>
        <v>HOLDING REGISTER</v>
      </c>
      <c r="O293" t="str">
        <f t="shared" si="38"/>
        <v>BOOL</v>
      </c>
      <c r="P293" t="str">
        <f t="shared" si="39"/>
        <v>INTERRUTTORE 32</v>
      </c>
      <c r="R293" t="str">
        <f t="shared" si="40"/>
        <v>QILL1 -INTERRUTTORE ILLUMINAZIONE PERMANENTI P11 SCATTATO</v>
      </c>
      <c r="U293" t="str">
        <f t="shared" si="41"/>
        <v>Allarme</v>
      </c>
      <c r="V293" t="str">
        <f t="shared" si="42"/>
        <v>QILL1</v>
      </c>
      <c r="W293" t="str">
        <f t="shared" si="43"/>
        <v>CABINA PRINCIPALE</v>
      </c>
      <c r="Z293" t="str">
        <f t="shared" si="44"/>
        <v>10.220.80.16</v>
      </c>
    </row>
    <row r="294" spans="1:26" x14ac:dyDescent="0.25">
      <c r="A294" t="s">
        <v>10</v>
      </c>
      <c r="B294" t="s">
        <v>11</v>
      </c>
      <c r="C294" t="s">
        <v>549</v>
      </c>
      <c r="D294" t="s">
        <v>49</v>
      </c>
      <c r="E294">
        <v>33</v>
      </c>
      <c r="F294" t="s">
        <v>14</v>
      </c>
      <c r="G294" t="s">
        <v>21</v>
      </c>
      <c r="H294" t="s">
        <v>22</v>
      </c>
      <c r="I294" t="s">
        <v>622</v>
      </c>
      <c r="J294" t="s">
        <v>623</v>
      </c>
      <c r="K294" t="str">
        <f t="shared" si="36"/>
        <v>1018.0</v>
      </c>
      <c r="N294" t="str">
        <f t="shared" si="37"/>
        <v>HOLDING REGISTER</v>
      </c>
      <c r="O294" t="str">
        <f t="shared" si="38"/>
        <v>BOOL</v>
      </c>
      <c r="P294" t="str">
        <f t="shared" si="39"/>
        <v>INTERRUTTORE 33</v>
      </c>
      <c r="R294" t="str">
        <f t="shared" si="40"/>
        <v>QILL1 -INTERRUTTORE ILLUMINAZIONE PERMANENTI P12 CHIUSO</v>
      </c>
      <c r="U294" t="str">
        <f t="shared" si="41"/>
        <v>Stato</v>
      </c>
      <c r="V294" t="str">
        <f t="shared" si="42"/>
        <v>QILL1</v>
      </c>
      <c r="W294" t="str">
        <f t="shared" si="43"/>
        <v>CABINA PRINCIPALE</v>
      </c>
      <c r="Z294" t="str">
        <f t="shared" si="44"/>
        <v>10.220.80.16</v>
      </c>
    </row>
    <row r="295" spans="1:26" x14ac:dyDescent="0.25">
      <c r="A295" t="s">
        <v>10</v>
      </c>
      <c r="B295" t="s">
        <v>11</v>
      </c>
      <c r="C295" t="s">
        <v>549</v>
      </c>
      <c r="D295" t="s">
        <v>49</v>
      </c>
      <c r="E295">
        <v>33</v>
      </c>
      <c r="F295" t="s">
        <v>14</v>
      </c>
      <c r="G295" t="s">
        <v>28</v>
      </c>
      <c r="H295" t="s">
        <v>22</v>
      </c>
      <c r="I295" t="s">
        <v>624</v>
      </c>
      <c r="J295" t="s">
        <v>625</v>
      </c>
      <c r="K295" t="str">
        <f t="shared" si="36"/>
        <v>1018.1</v>
      </c>
      <c r="N295" t="str">
        <f t="shared" si="37"/>
        <v>HOLDING REGISTER</v>
      </c>
      <c r="O295" t="str">
        <f t="shared" si="38"/>
        <v>BOOL</v>
      </c>
      <c r="P295" t="str">
        <f t="shared" si="39"/>
        <v>INTERRUTTORE 33</v>
      </c>
      <c r="R295" t="str">
        <f t="shared" si="40"/>
        <v>QILL1 -INTERRUTTORE ILLUMINAZIONE PERMANENTI P12 SCATTATO</v>
      </c>
      <c r="U295" t="str">
        <f t="shared" si="41"/>
        <v>Allarme</v>
      </c>
      <c r="V295" t="str">
        <f t="shared" si="42"/>
        <v>QILL1</v>
      </c>
      <c r="W295" t="str">
        <f t="shared" si="43"/>
        <v>CABINA PRINCIPALE</v>
      </c>
      <c r="Z295" t="str">
        <f t="shared" si="44"/>
        <v>10.220.80.16</v>
      </c>
    </row>
    <row r="296" spans="1:26" x14ac:dyDescent="0.25">
      <c r="A296" t="s">
        <v>10</v>
      </c>
      <c r="B296" t="s">
        <v>11</v>
      </c>
      <c r="C296" t="s">
        <v>549</v>
      </c>
      <c r="D296" t="s">
        <v>49</v>
      </c>
      <c r="E296">
        <v>34</v>
      </c>
      <c r="F296" t="s">
        <v>14</v>
      </c>
      <c r="G296" t="s">
        <v>21</v>
      </c>
      <c r="H296" t="s">
        <v>22</v>
      </c>
      <c r="I296" t="s">
        <v>626</v>
      </c>
      <c r="J296" t="s">
        <v>627</v>
      </c>
      <c r="K296" t="str">
        <f t="shared" si="36"/>
        <v>1018.2</v>
      </c>
      <c r="N296" t="str">
        <f t="shared" si="37"/>
        <v>HOLDING REGISTER</v>
      </c>
      <c r="O296" t="str">
        <f t="shared" si="38"/>
        <v>BOOL</v>
      </c>
      <c r="P296" t="str">
        <f t="shared" si="39"/>
        <v>INTERRUTTORE 34</v>
      </c>
      <c r="R296" t="str">
        <f t="shared" si="40"/>
        <v>QILL1 -INTERRUTTORE ILLUMINAZIONE PERMANENTI P13 CHIUSO</v>
      </c>
      <c r="U296" t="str">
        <f t="shared" si="41"/>
        <v>Stato</v>
      </c>
      <c r="V296" t="str">
        <f t="shared" si="42"/>
        <v>QILL1</v>
      </c>
      <c r="W296" t="str">
        <f t="shared" si="43"/>
        <v>CABINA PRINCIPALE</v>
      </c>
      <c r="Z296" t="str">
        <f t="shared" si="44"/>
        <v>10.220.80.16</v>
      </c>
    </row>
    <row r="297" spans="1:26" x14ac:dyDescent="0.25">
      <c r="A297" t="s">
        <v>10</v>
      </c>
      <c r="B297" t="s">
        <v>11</v>
      </c>
      <c r="C297" t="s">
        <v>549</v>
      </c>
      <c r="D297" t="s">
        <v>49</v>
      </c>
      <c r="E297">
        <v>34</v>
      </c>
      <c r="F297" t="s">
        <v>14</v>
      </c>
      <c r="G297" t="s">
        <v>28</v>
      </c>
      <c r="H297" t="s">
        <v>22</v>
      </c>
      <c r="I297" t="s">
        <v>628</v>
      </c>
      <c r="J297" t="s">
        <v>629</v>
      </c>
      <c r="K297" t="str">
        <f t="shared" si="36"/>
        <v>1018.3</v>
      </c>
      <c r="N297" t="str">
        <f t="shared" si="37"/>
        <v>HOLDING REGISTER</v>
      </c>
      <c r="O297" t="str">
        <f t="shared" si="38"/>
        <v>BOOL</v>
      </c>
      <c r="P297" t="str">
        <f t="shared" si="39"/>
        <v>INTERRUTTORE 34</v>
      </c>
      <c r="R297" t="str">
        <f t="shared" si="40"/>
        <v>QILL1 -INTERRUTTORE ILLUMINAZIONE PERMANENTI P13 SCATTATO</v>
      </c>
      <c r="U297" t="str">
        <f t="shared" si="41"/>
        <v>Allarme</v>
      </c>
      <c r="V297" t="str">
        <f t="shared" si="42"/>
        <v>QILL1</v>
      </c>
      <c r="W297" t="str">
        <f t="shared" si="43"/>
        <v>CABINA PRINCIPALE</v>
      </c>
      <c r="Z297" t="str">
        <f t="shared" si="44"/>
        <v>10.220.80.16</v>
      </c>
    </row>
    <row r="298" spans="1:26" x14ac:dyDescent="0.25">
      <c r="A298" t="s">
        <v>10</v>
      </c>
      <c r="B298" t="s">
        <v>11</v>
      </c>
      <c r="C298" t="s">
        <v>549</v>
      </c>
      <c r="D298" t="s">
        <v>49</v>
      </c>
      <c r="E298">
        <v>35</v>
      </c>
      <c r="F298" t="s">
        <v>14</v>
      </c>
      <c r="G298" t="s">
        <v>21</v>
      </c>
      <c r="H298" t="s">
        <v>22</v>
      </c>
      <c r="I298" t="s">
        <v>630</v>
      </c>
      <c r="J298" t="s">
        <v>631</v>
      </c>
      <c r="K298" t="str">
        <f t="shared" si="36"/>
        <v>1018.4</v>
      </c>
      <c r="N298" t="str">
        <f t="shared" si="37"/>
        <v>HOLDING REGISTER</v>
      </c>
      <c r="O298" t="str">
        <f t="shared" si="38"/>
        <v>BOOL</v>
      </c>
      <c r="P298" t="str">
        <f t="shared" si="39"/>
        <v>INTERRUTTORE 35</v>
      </c>
      <c r="R298" t="str">
        <f t="shared" si="40"/>
        <v>QILL1 -INTERRUTTORE ILLUMINAZIONE PERMANENTI P14 CHIUSO</v>
      </c>
      <c r="U298" t="str">
        <f t="shared" si="41"/>
        <v>Stato</v>
      </c>
      <c r="V298" t="str">
        <f t="shared" si="42"/>
        <v>QILL1</v>
      </c>
      <c r="W298" t="str">
        <f t="shared" si="43"/>
        <v>CABINA PRINCIPALE</v>
      </c>
      <c r="Z298" t="str">
        <f t="shared" si="44"/>
        <v>10.220.80.16</v>
      </c>
    </row>
    <row r="299" spans="1:26" x14ac:dyDescent="0.25">
      <c r="A299" t="s">
        <v>10</v>
      </c>
      <c r="B299" t="s">
        <v>11</v>
      </c>
      <c r="C299" t="s">
        <v>549</v>
      </c>
      <c r="D299" t="s">
        <v>49</v>
      </c>
      <c r="E299">
        <v>35</v>
      </c>
      <c r="F299" t="s">
        <v>14</v>
      </c>
      <c r="G299" t="s">
        <v>28</v>
      </c>
      <c r="H299" t="s">
        <v>22</v>
      </c>
      <c r="I299" t="s">
        <v>632</v>
      </c>
      <c r="J299" t="s">
        <v>633</v>
      </c>
      <c r="K299" t="str">
        <f t="shared" si="36"/>
        <v>1018.5</v>
      </c>
      <c r="N299" t="str">
        <f t="shared" si="37"/>
        <v>HOLDING REGISTER</v>
      </c>
      <c r="O299" t="str">
        <f t="shared" si="38"/>
        <v>BOOL</v>
      </c>
      <c r="P299" t="str">
        <f t="shared" si="39"/>
        <v>INTERRUTTORE 35</v>
      </c>
      <c r="R299" t="str">
        <f t="shared" si="40"/>
        <v>QILL1 -INTERRUTTORE ILLUMINAZIONE PERMANENTI P14 SCATTATO</v>
      </c>
      <c r="U299" t="str">
        <f t="shared" si="41"/>
        <v>Allarme</v>
      </c>
      <c r="V299" t="str">
        <f t="shared" si="42"/>
        <v>QILL1</v>
      </c>
      <c r="W299" t="str">
        <f t="shared" si="43"/>
        <v>CABINA PRINCIPALE</v>
      </c>
      <c r="Z299" t="str">
        <f t="shared" si="44"/>
        <v>10.220.80.16</v>
      </c>
    </row>
    <row r="300" spans="1:26" x14ac:dyDescent="0.25">
      <c r="A300" t="s">
        <v>10</v>
      </c>
      <c r="B300" t="s">
        <v>11</v>
      </c>
      <c r="C300" t="s">
        <v>549</v>
      </c>
      <c r="D300" t="s">
        <v>205</v>
      </c>
      <c r="E300" t="s">
        <v>206</v>
      </c>
      <c r="F300" t="s">
        <v>14</v>
      </c>
      <c r="G300" t="s">
        <v>28</v>
      </c>
      <c r="H300" t="s">
        <v>22</v>
      </c>
      <c r="I300" t="s">
        <v>634</v>
      </c>
      <c r="J300" t="s">
        <v>635</v>
      </c>
      <c r="K300" t="str">
        <f t="shared" si="36"/>
        <v>1018.6</v>
      </c>
      <c r="N300" t="str">
        <f t="shared" si="37"/>
        <v>HOLDING REGISTER</v>
      </c>
      <c r="O300" t="str">
        <f t="shared" si="38"/>
        <v>BOOL</v>
      </c>
      <c r="P300" t="str">
        <f t="shared" si="39"/>
        <v>REMOTE I/O RIO</v>
      </c>
      <c r="R300" t="str">
        <f t="shared" si="40"/>
        <v>QILL1 -ERRORE DI COMUNICAZIONE CON RIO</v>
      </c>
      <c r="U300" t="str">
        <f t="shared" si="41"/>
        <v>Allarme</v>
      </c>
      <c r="V300" t="str">
        <f t="shared" si="42"/>
        <v>QILL1</v>
      </c>
      <c r="W300" t="str">
        <f t="shared" si="43"/>
        <v>CABINA PRINCIPALE</v>
      </c>
      <c r="Z300" t="str">
        <f t="shared" si="44"/>
        <v>10.220.80.16</v>
      </c>
    </row>
    <row r="301" spans="1:26" x14ac:dyDescent="0.25">
      <c r="A301" t="s">
        <v>10</v>
      </c>
      <c r="B301" t="s">
        <v>11</v>
      </c>
      <c r="C301" t="s">
        <v>636</v>
      </c>
      <c r="D301" t="s">
        <v>49</v>
      </c>
      <c r="E301">
        <v>1</v>
      </c>
      <c r="F301" t="s">
        <v>14</v>
      </c>
      <c r="G301" t="s">
        <v>28</v>
      </c>
      <c r="H301" t="s">
        <v>22</v>
      </c>
      <c r="I301" t="s">
        <v>637</v>
      </c>
      <c r="J301" t="s">
        <v>638</v>
      </c>
      <c r="K301" t="str">
        <f t="shared" si="36"/>
        <v>1018.7</v>
      </c>
      <c r="N301" t="str">
        <f t="shared" si="37"/>
        <v>HOLDING REGISTER</v>
      </c>
      <c r="O301" t="str">
        <f t="shared" si="38"/>
        <v>BOOL</v>
      </c>
      <c r="P301" t="str">
        <f t="shared" si="39"/>
        <v>INTERRUTTORE 1</v>
      </c>
      <c r="R301" t="str">
        <f t="shared" si="40"/>
        <v>QILL2 -SEZIONATORE GENERALE ILLUMINAZIONE RINFORZO NORD CHIUSO</v>
      </c>
      <c r="U301" t="str">
        <f t="shared" si="41"/>
        <v>Allarme</v>
      </c>
      <c r="V301" t="str">
        <f t="shared" si="42"/>
        <v>QILL2</v>
      </c>
      <c r="W301" t="str">
        <f t="shared" si="43"/>
        <v>CABINA PRINCIPALE</v>
      </c>
      <c r="Z301" t="str">
        <f t="shared" si="44"/>
        <v>10.220.80.16</v>
      </c>
    </row>
    <row r="302" spans="1:26" x14ac:dyDescent="0.25">
      <c r="A302" t="s">
        <v>10</v>
      </c>
      <c r="B302" t="s">
        <v>11</v>
      </c>
      <c r="C302" t="s">
        <v>636</v>
      </c>
      <c r="D302" t="s">
        <v>552</v>
      </c>
      <c r="E302" t="s">
        <v>295</v>
      </c>
      <c r="F302" t="s">
        <v>14</v>
      </c>
      <c r="G302" t="s">
        <v>21</v>
      </c>
      <c r="H302" t="s">
        <v>22</v>
      </c>
      <c r="I302" t="s">
        <v>639</v>
      </c>
      <c r="J302" t="s">
        <v>640</v>
      </c>
      <c r="K302" t="str">
        <f t="shared" si="36"/>
        <v>1018.8</v>
      </c>
      <c r="N302" t="str">
        <f t="shared" si="37"/>
        <v>HOLDING REGISTER</v>
      </c>
      <c r="O302" t="str">
        <f t="shared" si="38"/>
        <v>BOOL</v>
      </c>
      <c r="P302" t="str">
        <f t="shared" si="39"/>
        <v>CONTATTORE 2K1</v>
      </c>
      <c r="R302" t="str">
        <f t="shared" si="40"/>
        <v>QILL2 -CONTATTORE ILLUMINAZIONE RINFORZI NORD CHIUSO</v>
      </c>
      <c r="U302" t="str">
        <f t="shared" si="41"/>
        <v>Stato</v>
      </c>
      <c r="V302" t="str">
        <f t="shared" si="42"/>
        <v>QILL2</v>
      </c>
      <c r="W302" t="str">
        <f t="shared" si="43"/>
        <v>CABINA PRINCIPALE</v>
      </c>
      <c r="Z302" t="str">
        <f t="shared" si="44"/>
        <v>10.220.80.16</v>
      </c>
    </row>
    <row r="303" spans="1:26" x14ac:dyDescent="0.25">
      <c r="A303" t="s">
        <v>10</v>
      </c>
      <c r="B303" t="s">
        <v>11</v>
      </c>
      <c r="C303" t="s">
        <v>636</v>
      </c>
      <c r="D303" t="s">
        <v>555</v>
      </c>
      <c r="E303" t="s">
        <v>556</v>
      </c>
      <c r="F303" t="s">
        <v>14</v>
      </c>
      <c r="G303" t="s">
        <v>21</v>
      </c>
      <c r="H303" t="s">
        <v>22</v>
      </c>
      <c r="I303" t="s">
        <v>641</v>
      </c>
      <c r="J303" t="s">
        <v>642</v>
      </c>
      <c r="K303" t="str">
        <f t="shared" si="36"/>
        <v>1018.9</v>
      </c>
      <c r="N303" t="str">
        <f t="shared" si="37"/>
        <v>HOLDING REGISTER</v>
      </c>
      <c r="O303" t="str">
        <f t="shared" si="38"/>
        <v>BOOL</v>
      </c>
      <c r="P303" t="str">
        <f t="shared" si="39"/>
        <v>SELETTORE 2S1</v>
      </c>
      <c r="R303" t="str">
        <f t="shared" si="40"/>
        <v>QILL2 -SELETTORE ILLUMINAZIONE RINFORZI NORD IN AUTOMATICO</v>
      </c>
      <c r="U303" t="str">
        <f t="shared" si="41"/>
        <v>Stato</v>
      </c>
      <c r="V303" t="str">
        <f t="shared" si="42"/>
        <v>QILL2</v>
      </c>
      <c r="W303" t="str">
        <f t="shared" si="43"/>
        <v>CABINA PRINCIPALE</v>
      </c>
      <c r="Z303" t="str">
        <f t="shared" si="44"/>
        <v>10.220.80.16</v>
      </c>
    </row>
    <row r="304" spans="1:26" x14ac:dyDescent="0.25">
      <c r="A304" t="s">
        <v>10</v>
      </c>
      <c r="B304" t="s">
        <v>11</v>
      </c>
      <c r="C304" t="s">
        <v>636</v>
      </c>
      <c r="D304" t="s">
        <v>49</v>
      </c>
      <c r="E304">
        <v>4</v>
      </c>
      <c r="F304" t="s">
        <v>14</v>
      </c>
      <c r="G304" t="s">
        <v>21</v>
      </c>
      <c r="H304" t="s">
        <v>22</v>
      </c>
      <c r="I304" t="s">
        <v>643</v>
      </c>
      <c r="J304" t="s">
        <v>644</v>
      </c>
      <c r="K304" t="str">
        <f t="shared" si="36"/>
        <v>1018.10</v>
      </c>
      <c r="N304" t="str">
        <f t="shared" si="37"/>
        <v>HOLDING REGISTER</v>
      </c>
      <c r="O304" t="str">
        <f t="shared" si="38"/>
        <v>BOOL</v>
      </c>
      <c r="P304" t="str">
        <f t="shared" si="39"/>
        <v>INTERRUTTORE 4</v>
      </c>
      <c r="R304" t="str">
        <f t="shared" si="40"/>
        <v>QILL2 -INTERRUTTORE ILLUMINAZIONE RINFORZO R4-NORD CHIUSO</v>
      </c>
      <c r="U304" t="str">
        <f t="shared" si="41"/>
        <v>Stato</v>
      </c>
      <c r="V304" t="str">
        <f t="shared" si="42"/>
        <v>QILL2</v>
      </c>
      <c r="W304" t="str">
        <f t="shared" si="43"/>
        <v>CABINA PRINCIPALE</v>
      </c>
      <c r="Z304" t="str">
        <f t="shared" si="44"/>
        <v>10.220.80.16</v>
      </c>
    </row>
    <row r="305" spans="1:26" x14ac:dyDescent="0.25">
      <c r="A305" t="s">
        <v>10</v>
      </c>
      <c r="B305" t="s">
        <v>11</v>
      </c>
      <c r="C305" t="s">
        <v>636</v>
      </c>
      <c r="D305" t="s">
        <v>49</v>
      </c>
      <c r="E305">
        <v>5</v>
      </c>
      <c r="F305" t="s">
        <v>14</v>
      </c>
      <c r="G305" t="s">
        <v>21</v>
      </c>
      <c r="H305" t="s">
        <v>22</v>
      </c>
      <c r="I305" t="s">
        <v>645</v>
      </c>
      <c r="J305" t="s">
        <v>646</v>
      </c>
      <c r="K305" t="str">
        <f t="shared" si="36"/>
        <v>1018.11</v>
      </c>
      <c r="N305" t="str">
        <f t="shared" si="37"/>
        <v>HOLDING REGISTER</v>
      </c>
      <c r="O305" t="str">
        <f t="shared" si="38"/>
        <v>BOOL</v>
      </c>
      <c r="P305" t="str">
        <f t="shared" si="39"/>
        <v>INTERRUTTORE 5</v>
      </c>
      <c r="R305" t="str">
        <f t="shared" si="40"/>
        <v>QILL2 -INTERRUTTORE ILLUMINAZIONE RINFORZO R5-NORD CHIUSO</v>
      </c>
      <c r="U305" t="str">
        <f t="shared" si="41"/>
        <v>Stato</v>
      </c>
      <c r="V305" t="str">
        <f t="shared" si="42"/>
        <v>QILL2</v>
      </c>
      <c r="W305" t="str">
        <f t="shared" si="43"/>
        <v>CABINA PRINCIPALE</v>
      </c>
      <c r="Z305" t="str">
        <f t="shared" si="44"/>
        <v>10.220.80.16</v>
      </c>
    </row>
    <row r="306" spans="1:26" x14ac:dyDescent="0.25">
      <c r="A306" t="s">
        <v>10</v>
      </c>
      <c r="B306" t="s">
        <v>11</v>
      </c>
      <c r="C306" t="s">
        <v>636</v>
      </c>
      <c r="D306" t="s">
        <v>49</v>
      </c>
      <c r="E306">
        <v>6</v>
      </c>
      <c r="F306" t="s">
        <v>14</v>
      </c>
      <c r="G306" t="s">
        <v>21</v>
      </c>
      <c r="H306" t="s">
        <v>22</v>
      </c>
      <c r="I306" t="s">
        <v>647</v>
      </c>
      <c r="J306" t="s">
        <v>648</v>
      </c>
      <c r="K306" t="str">
        <f t="shared" si="36"/>
        <v>1018.12</v>
      </c>
      <c r="N306" t="str">
        <f t="shared" si="37"/>
        <v>HOLDING REGISTER</v>
      </c>
      <c r="O306" t="str">
        <f t="shared" si="38"/>
        <v>BOOL</v>
      </c>
      <c r="P306" t="str">
        <f t="shared" si="39"/>
        <v>INTERRUTTORE 6</v>
      </c>
      <c r="R306" t="str">
        <f t="shared" si="40"/>
        <v>QILL2 -INTERRUTTORE ILLUMINAZIONE RINFORZO R6-NORD CHIUSO</v>
      </c>
      <c r="U306" t="str">
        <f t="shared" si="41"/>
        <v>Stato</v>
      </c>
      <c r="V306" t="str">
        <f t="shared" si="42"/>
        <v>QILL2</v>
      </c>
      <c r="W306" t="str">
        <f t="shared" si="43"/>
        <v>CABINA PRINCIPALE</v>
      </c>
      <c r="Z306" t="str">
        <f t="shared" si="44"/>
        <v>10.220.80.16</v>
      </c>
    </row>
    <row r="307" spans="1:26" x14ac:dyDescent="0.25">
      <c r="A307" t="s">
        <v>10</v>
      </c>
      <c r="B307" t="s">
        <v>11</v>
      </c>
      <c r="C307" t="s">
        <v>636</v>
      </c>
      <c r="D307" t="s">
        <v>49</v>
      </c>
      <c r="E307">
        <v>10</v>
      </c>
      <c r="F307" t="s">
        <v>14</v>
      </c>
      <c r="G307" t="s">
        <v>21</v>
      </c>
      <c r="H307" t="s">
        <v>22</v>
      </c>
      <c r="I307" t="s">
        <v>649</v>
      </c>
      <c r="J307" t="s">
        <v>638</v>
      </c>
      <c r="K307" t="str">
        <f t="shared" si="36"/>
        <v>1018.13</v>
      </c>
      <c r="N307" t="str">
        <f t="shared" si="37"/>
        <v>HOLDING REGISTER</v>
      </c>
      <c r="O307" t="str">
        <f t="shared" si="38"/>
        <v>BOOL</v>
      </c>
      <c r="P307" t="str">
        <f t="shared" si="39"/>
        <v>INTERRUTTORE 10</v>
      </c>
      <c r="R307" t="str">
        <f t="shared" si="40"/>
        <v>QILL2 -SEZIONATORE GENERALE ILLUMINAZIONE RINFORZO NORD CHIUSO</v>
      </c>
      <c r="U307" t="str">
        <f t="shared" si="41"/>
        <v>Stato</v>
      </c>
      <c r="V307" t="str">
        <f t="shared" si="42"/>
        <v>QILL2</v>
      </c>
      <c r="W307" t="str">
        <f t="shared" si="43"/>
        <v>CABINA PRINCIPALE</v>
      </c>
      <c r="Z307" t="str">
        <f t="shared" si="44"/>
        <v>10.220.80.16</v>
      </c>
    </row>
    <row r="308" spans="1:26" x14ac:dyDescent="0.25">
      <c r="A308" t="s">
        <v>10</v>
      </c>
      <c r="B308" t="s">
        <v>11</v>
      </c>
      <c r="C308" t="s">
        <v>636</v>
      </c>
      <c r="D308" t="s">
        <v>552</v>
      </c>
      <c r="E308" t="s">
        <v>566</v>
      </c>
      <c r="F308" t="s">
        <v>14</v>
      </c>
      <c r="G308" t="s">
        <v>21</v>
      </c>
      <c r="H308" t="s">
        <v>22</v>
      </c>
      <c r="I308" t="s">
        <v>650</v>
      </c>
      <c r="J308" t="s">
        <v>651</v>
      </c>
      <c r="K308" t="str">
        <f t="shared" si="36"/>
        <v>1018.14</v>
      </c>
      <c r="N308" t="str">
        <f t="shared" si="37"/>
        <v>HOLDING REGISTER</v>
      </c>
      <c r="O308" t="str">
        <f t="shared" si="38"/>
        <v>BOOL</v>
      </c>
      <c r="P308" t="str">
        <f t="shared" si="39"/>
        <v>CONTATTORE 3K1</v>
      </c>
      <c r="R308" t="str">
        <f t="shared" si="40"/>
        <v>QILL2 -CONTATTORE ILLUMINAZIONE RINFORZI SUD CHIUSO</v>
      </c>
      <c r="U308" t="str">
        <f t="shared" si="41"/>
        <v>Stato</v>
      </c>
      <c r="V308" t="str">
        <f t="shared" si="42"/>
        <v>QILL2</v>
      </c>
      <c r="W308" t="str">
        <f t="shared" si="43"/>
        <v>CABINA PRINCIPALE</v>
      </c>
      <c r="Z308" t="str">
        <f t="shared" si="44"/>
        <v>10.220.80.16</v>
      </c>
    </row>
    <row r="309" spans="1:26" x14ac:dyDescent="0.25">
      <c r="A309" t="s">
        <v>10</v>
      </c>
      <c r="B309" t="s">
        <v>11</v>
      </c>
      <c r="C309" t="s">
        <v>636</v>
      </c>
      <c r="D309" t="s">
        <v>555</v>
      </c>
      <c r="E309" t="s">
        <v>569</v>
      </c>
      <c r="F309" t="s">
        <v>14</v>
      </c>
      <c r="G309" t="s">
        <v>21</v>
      </c>
      <c r="H309" t="s">
        <v>22</v>
      </c>
      <c r="I309" t="s">
        <v>652</v>
      </c>
      <c r="J309" t="s">
        <v>653</v>
      </c>
      <c r="K309" t="str">
        <f t="shared" si="36"/>
        <v>1018.15</v>
      </c>
      <c r="N309" t="str">
        <f t="shared" si="37"/>
        <v>HOLDING REGISTER</v>
      </c>
      <c r="O309" t="str">
        <f t="shared" si="38"/>
        <v>BOOL</v>
      </c>
      <c r="P309" t="str">
        <f t="shared" si="39"/>
        <v>SELETTORE 3S1</v>
      </c>
      <c r="R309" t="str">
        <f t="shared" si="40"/>
        <v>QILL2 -SELETTORE ILLUMINAZIONE RINFORZI SUD IN AUTOMATICO</v>
      </c>
      <c r="U309" t="str">
        <f t="shared" si="41"/>
        <v>Stato</v>
      </c>
      <c r="V309" t="str">
        <f t="shared" si="42"/>
        <v>QILL2</v>
      </c>
      <c r="W309" t="str">
        <f t="shared" si="43"/>
        <v>CABINA PRINCIPALE</v>
      </c>
      <c r="Z309" t="str">
        <f t="shared" si="44"/>
        <v>10.220.80.16</v>
      </c>
    </row>
    <row r="310" spans="1:26" x14ac:dyDescent="0.25">
      <c r="A310" t="s">
        <v>10</v>
      </c>
      <c r="B310" t="s">
        <v>11</v>
      </c>
      <c r="C310" t="s">
        <v>636</v>
      </c>
      <c r="D310" t="s">
        <v>49</v>
      </c>
      <c r="E310">
        <v>14</v>
      </c>
      <c r="F310" t="s">
        <v>14</v>
      </c>
      <c r="G310" t="s">
        <v>21</v>
      </c>
      <c r="H310" t="s">
        <v>22</v>
      </c>
      <c r="I310" t="s">
        <v>654</v>
      </c>
      <c r="J310" t="s">
        <v>655</v>
      </c>
      <c r="K310" t="str">
        <f t="shared" si="36"/>
        <v>1019.0</v>
      </c>
      <c r="N310" t="str">
        <f t="shared" si="37"/>
        <v>HOLDING REGISTER</v>
      </c>
      <c r="O310" t="str">
        <f t="shared" si="38"/>
        <v>BOOL</v>
      </c>
      <c r="P310" t="str">
        <f t="shared" si="39"/>
        <v>INTERRUTTORE 14</v>
      </c>
      <c r="R310" t="str">
        <f t="shared" si="40"/>
        <v>QILL2 -INTERRUTTORE ILLUMINAZIONE RINFORZO R1-SUD CHIUSO</v>
      </c>
      <c r="U310" t="str">
        <f t="shared" si="41"/>
        <v>Stato</v>
      </c>
      <c r="V310" t="str">
        <f t="shared" si="42"/>
        <v>QILL2</v>
      </c>
      <c r="W310" t="str">
        <f t="shared" si="43"/>
        <v>CABINA PRINCIPALE</v>
      </c>
      <c r="Z310" t="str">
        <f t="shared" si="44"/>
        <v>10.220.80.16</v>
      </c>
    </row>
    <row r="311" spans="1:26" x14ac:dyDescent="0.25">
      <c r="A311" t="s">
        <v>10</v>
      </c>
      <c r="B311" t="s">
        <v>11</v>
      </c>
      <c r="C311" t="s">
        <v>636</v>
      </c>
      <c r="D311" t="s">
        <v>49</v>
      </c>
      <c r="E311">
        <v>15</v>
      </c>
      <c r="F311" t="s">
        <v>14</v>
      </c>
      <c r="G311" t="s">
        <v>21</v>
      </c>
      <c r="H311" t="s">
        <v>22</v>
      </c>
      <c r="I311" t="s">
        <v>656</v>
      </c>
      <c r="J311" t="s">
        <v>657</v>
      </c>
      <c r="K311" t="str">
        <f t="shared" si="36"/>
        <v>1019.1</v>
      </c>
      <c r="N311" t="str">
        <f t="shared" si="37"/>
        <v>HOLDING REGISTER</v>
      </c>
      <c r="O311" t="str">
        <f t="shared" si="38"/>
        <v>BOOL</v>
      </c>
      <c r="P311" t="str">
        <f t="shared" si="39"/>
        <v>INTERRUTTORE 15</v>
      </c>
      <c r="R311" t="str">
        <f t="shared" si="40"/>
        <v>QILL2 -INTERRUTTORE ILLUMINAZIONE RINFORZO R2-SUD CHIUSO</v>
      </c>
      <c r="U311" t="str">
        <f t="shared" si="41"/>
        <v>Stato</v>
      </c>
      <c r="V311" t="str">
        <f t="shared" si="42"/>
        <v>QILL2</v>
      </c>
      <c r="W311" t="str">
        <f t="shared" si="43"/>
        <v>CABINA PRINCIPALE</v>
      </c>
      <c r="Z311" t="str">
        <f t="shared" si="44"/>
        <v>10.220.80.16</v>
      </c>
    </row>
    <row r="312" spans="1:26" x14ac:dyDescent="0.25">
      <c r="A312" t="s">
        <v>10</v>
      </c>
      <c r="B312" t="s">
        <v>11</v>
      </c>
      <c r="C312" t="s">
        <v>636</v>
      </c>
      <c r="D312" t="s">
        <v>49</v>
      </c>
      <c r="E312">
        <v>16</v>
      </c>
      <c r="F312" t="s">
        <v>14</v>
      </c>
      <c r="G312" t="s">
        <v>21</v>
      </c>
      <c r="H312" t="s">
        <v>22</v>
      </c>
      <c r="I312" t="s">
        <v>658</v>
      </c>
      <c r="J312" t="s">
        <v>659</v>
      </c>
      <c r="K312" t="str">
        <f t="shared" si="36"/>
        <v>1019.2</v>
      </c>
      <c r="N312" t="str">
        <f t="shared" si="37"/>
        <v>HOLDING REGISTER</v>
      </c>
      <c r="O312" t="str">
        <f t="shared" si="38"/>
        <v>BOOL</v>
      </c>
      <c r="P312" t="str">
        <f t="shared" si="39"/>
        <v>INTERRUTTORE 16</v>
      </c>
      <c r="R312" t="str">
        <f t="shared" si="40"/>
        <v>QILL2 -INTERRUTTORE ILLUMINAZIONE RINFORZO R3-SUD CHIUSO</v>
      </c>
      <c r="U312" t="str">
        <f t="shared" si="41"/>
        <v>Stato</v>
      </c>
      <c r="V312" t="str">
        <f t="shared" si="42"/>
        <v>QILL2</v>
      </c>
      <c r="W312" t="str">
        <f t="shared" si="43"/>
        <v>CABINA PRINCIPALE</v>
      </c>
      <c r="Z312" t="str">
        <f t="shared" si="44"/>
        <v>10.220.80.16</v>
      </c>
    </row>
    <row r="313" spans="1:26" x14ac:dyDescent="0.25">
      <c r="A313" t="s">
        <v>10</v>
      </c>
      <c r="B313" t="s">
        <v>11</v>
      </c>
      <c r="C313" t="s">
        <v>636</v>
      </c>
      <c r="D313" t="s">
        <v>361</v>
      </c>
      <c r="E313">
        <v>20</v>
      </c>
      <c r="F313" t="s">
        <v>362</v>
      </c>
      <c r="G313" t="s">
        <v>362</v>
      </c>
      <c r="H313" t="s">
        <v>362</v>
      </c>
      <c r="I313" t="s">
        <v>362</v>
      </c>
      <c r="J313" t="s">
        <v>363</v>
      </c>
      <c r="K313" t="str">
        <f t="shared" si="36"/>
        <v>---</v>
      </c>
      <c r="N313" t="str">
        <f t="shared" si="37"/>
        <v>---</v>
      </c>
      <c r="O313" t="str">
        <f t="shared" si="38"/>
        <v>---</v>
      </c>
      <c r="P313" t="str">
        <f t="shared" si="39"/>
        <v>SEZIONATORE 20</v>
      </c>
      <c r="R313" t="str">
        <f t="shared" si="40"/>
        <v>GENERALE QUADRO SENZA DIAGNOSTICA</v>
      </c>
      <c r="U313" t="str">
        <f t="shared" si="41"/>
        <v>---</v>
      </c>
      <c r="V313" t="str">
        <f t="shared" si="42"/>
        <v>QILL2</v>
      </c>
      <c r="W313" t="str">
        <f t="shared" si="43"/>
        <v>CABINA PRINCIPALE</v>
      </c>
      <c r="Z313" t="str">
        <f t="shared" si="44"/>
        <v>10.220.80.16</v>
      </c>
    </row>
    <row r="314" spans="1:26" x14ac:dyDescent="0.25">
      <c r="A314" t="s">
        <v>10</v>
      </c>
      <c r="B314" t="s">
        <v>11</v>
      </c>
      <c r="C314" t="s">
        <v>636</v>
      </c>
      <c r="D314" t="s">
        <v>49</v>
      </c>
      <c r="E314">
        <v>22</v>
      </c>
      <c r="F314" t="s">
        <v>14</v>
      </c>
      <c r="G314" t="s">
        <v>21</v>
      </c>
      <c r="H314" t="s">
        <v>22</v>
      </c>
      <c r="I314" t="s">
        <v>660</v>
      </c>
      <c r="J314" t="s">
        <v>661</v>
      </c>
      <c r="K314" t="str">
        <f t="shared" si="36"/>
        <v>1019.3</v>
      </c>
      <c r="N314" t="str">
        <f t="shared" si="37"/>
        <v>HOLDING REGISTER</v>
      </c>
      <c r="O314" t="str">
        <f t="shared" si="38"/>
        <v>BOOL</v>
      </c>
      <c r="P314" t="str">
        <f t="shared" si="39"/>
        <v>INTERRUTTORE 22</v>
      </c>
      <c r="R314" t="str">
        <f t="shared" si="40"/>
        <v>QILL2 -INTERRUTTORE ILLUMINAZIONE PERMANENTI P1 CHIUSO</v>
      </c>
      <c r="U314" t="str">
        <f t="shared" si="41"/>
        <v>Stato</v>
      </c>
      <c r="V314" t="str">
        <f t="shared" si="42"/>
        <v>QILL2</v>
      </c>
      <c r="W314" t="str">
        <f t="shared" si="43"/>
        <v>CABINA PRINCIPALE</v>
      </c>
      <c r="Z314" t="str">
        <f t="shared" si="44"/>
        <v>10.220.80.16</v>
      </c>
    </row>
    <row r="315" spans="1:26" x14ac:dyDescent="0.25">
      <c r="A315" t="s">
        <v>10</v>
      </c>
      <c r="B315" t="s">
        <v>11</v>
      </c>
      <c r="C315" t="s">
        <v>636</v>
      </c>
      <c r="D315" t="s">
        <v>49</v>
      </c>
      <c r="E315">
        <v>22</v>
      </c>
      <c r="F315" t="s">
        <v>14</v>
      </c>
      <c r="G315" t="s">
        <v>28</v>
      </c>
      <c r="H315" t="s">
        <v>22</v>
      </c>
      <c r="I315" t="s">
        <v>662</v>
      </c>
      <c r="J315" t="s">
        <v>663</v>
      </c>
      <c r="K315" t="str">
        <f t="shared" si="36"/>
        <v>1019.4</v>
      </c>
      <c r="N315" t="str">
        <f t="shared" si="37"/>
        <v>HOLDING REGISTER</v>
      </c>
      <c r="O315" t="str">
        <f t="shared" si="38"/>
        <v>BOOL</v>
      </c>
      <c r="P315" t="str">
        <f t="shared" si="39"/>
        <v>INTERRUTTORE 22</v>
      </c>
      <c r="R315" t="str">
        <f t="shared" si="40"/>
        <v>QILL2 -INTERRUTTORE ILLUMINAZIONE PERMANENTI P1 SCATTATO</v>
      </c>
      <c r="U315" t="str">
        <f t="shared" si="41"/>
        <v>Allarme</v>
      </c>
      <c r="V315" t="str">
        <f t="shared" si="42"/>
        <v>QILL2</v>
      </c>
      <c r="W315" t="str">
        <f t="shared" si="43"/>
        <v>CABINA PRINCIPALE</v>
      </c>
      <c r="Z315" t="str">
        <f t="shared" si="44"/>
        <v>10.220.80.16</v>
      </c>
    </row>
    <row r="316" spans="1:26" x14ac:dyDescent="0.25">
      <c r="A316" t="s">
        <v>10</v>
      </c>
      <c r="B316" t="s">
        <v>11</v>
      </c>
      <c r="C316" t="s">
        <v>636</v>
      </c>
      <c r="D316" t="s">
        <v>49</v>
      </c>
      <c r="E316">
        <v>23</v>
      </c>
      <c r="F316" t="s">
        <v>14</v>
      </c>
      <c r="G316" t="s">
        <v>21</v>
      </c>
      <c r="H316" t="s">
        <v>22</v>
      </c>
      <c r="I316" t="s">
        <v>664</v>
      </c>
      <c r="J316" t="s">
        <v>665</v>
      </c>
      <c r="K316" t="str">
        <f t="shared" si="36"/>
        <v>1019.5</v>
      </c>
      <c r="N316" t="str">
        <f t="shared" si="37"/>
        <v>HOLDING REGISTER</v>
      </c>
      <c r="O316" t="str">
        <f t="shared" si="38"/>
        <v>BOOL</v>
      </c>
      <c r="P316" t="str">
        <f t="shared" si="39"/>
        <v>INTERRUTTORE 23</v>
      </c>
      <c r="R316" t="str">
        <f t="shared" si="40"/>
        <v>QILL2 -INTERRUTTORE ILLUMINAZIONE PERMANENTI P2 CHIUSO</v>
      </c>
      <c r="U316" t="str">
        <f t="shared" si="41"/>
        <v>Stato</v>
      </c>
      <c r="V316" t="str">
        <f t="shared" si="42"/>
        <v>QILL2</v>
      </c>
      <c r="W316" t="str">
        <f t="shared" si="43"/>
        <v>CABINA PRINCIPALE</v>
      </c>
      <c r="Z316" t="str">
        <f t="shared" si="44"/>
        <v>10.220.80.16</v>
      </c>
    </row>
    <row r="317" spans="1:26" x14ac:dyDescent="0.25">
      <c r="A317" t="s">
        <v>10</v>
      </c>
      <c r="B317" t="s">
        <v>11</v>
      </c>
      <c r="C317" t="s">
        <v>636</v>
      </c>
      <c r="D317" t="s">
        <v>49</v>
      </c>
      <c r="E317">
        <v>23</v>
      </c>
      <c r="F317" t="s">
        <v>14</v>
      </c>
      <c r="G317" t="s">
        <v>28</v>
      </c>
      <c r="H317" t="s">
        <v>22</v>
      </c>
      <c r="I317" t="s">
        <v>666</v>
      </c>
      <c r="J317" t="s">
        <v>667</v>
      </c>
      <c r="K317" t="str">
        <f t="shared" si="36"/>
        <v>1019.6</v>
      </c>
      <c r="N317" t="str">
        <f t="shared" si="37"/>
        <v>HOLDING REGISTER</v>
      </c>
      <c r="O317" t="str">
        <f t="shared" si="38"/>
        <v>BOOL</v>
      </c>
      <c r="P317" t="str">
        <f t="shared" si="39"/>
        <v>INTERRUTTORE 23</v>
      </c>
      <c r="R317" t="str">
        <f t="shared" si="40"/>
        <v>QILL2 -INTERRUTTORE ILLUMINAZIONE PERMANENTI P2 SCATTATO</v>
      </c>
      <c r="U317" t="str">
        <f t="shared" si="41"/>
        <v>Allarme</v>
      </c>
      <c r="V317" t="str">
        <f t="shared" si="42"/>
        <v>QILL2</v>
      </c>
      <c r="W317" t="str">
        <f t="shared" si="43"/>
        <v>CABINA PRINCIPALE</v>
      </c>
      <c r="Z317" t="str">
        <f t="shared" si="44"/>
        <v>10.220.80.16</v>
      </c>
    </row>
    <row r="318" spans="1:26" x14ac:dyDescent="0.25">
      <c r="A318" t="s">
        <v>10</v>
      </c>
      <c r="B318" t="s">
        <v>11</v>
      </c>
      <c r="C318" t="s">
        <v>636</v>
      </c>
      <c r="D318" t="s">
        <v>49</v>
      </c>
      <c r="E318">
        <v>24</v>
      </c>
      <c r="F318" t="s">
        <v>14</v>
      </c>
      <c r="G318" t="s">
        <v>21</v>
      </c>
      <c r="H318" t="s">
        <v>22</v>
      </c>
      <c r="I318" t="s">
        <v>668</v>
      </c>
      <c r="J318" t="s">
        <v>669</v>
      </c>
      <c r="K318" t="str">
        <f t="shared" si="36"/>
        <v>1019.7</v>
      </c>
      <c r="N318" t="str">
        <f t="shared" si="37"/>
        <v>HOLDING REGISTER</v>
      </c>
      <c r="O318" t="str">
        <f t="shared" si="38"/>
        <v>BOOL</v>
      </c>
      <c r="P318" t="str">
        <f t="shared" si="39"/>
        <v>INTERRUTTORE 24</v>
      </c>
      <c r="R318" t="str">
        <f t="shared" si="40"/>
        <v>QILL2 -INTERRUTTORE ILLUMINAZIONE PERMANENTI P3 CHIUSO</v>
      </c>
      <c r="U318" t="str">
        <f t="shared" si="41"/>
        <v>Stato</v>
      </c>
      <c r="V318" t="str">
        <f t="shared" si="42"/>
        <v>QILL2</v>
      </c>
      <c r="W318" t="str">
        <f t="shared" si="43"/>
        <v>CABINA PRINCIPALE</v>
      </c>
      <c r="Z318" t="str">
        <f t="shared" si="44"/>
        <v>10.220.80.16</v>
      </c>
    </row>
    <row r="319" spans="1:26" x14ac:dyDescent="0.25">
      <c r="A319" t="s">
        <v>10</v>
      </c>
      <c r="B319" t="s">
        <v>11</v>
      </c>
      <c r="C319" t="s">
        <v>636</v>
      </c>
      <c r="D319" t="s">
        <v>49</v>
      </c>
      <c r="E319">
        <v>24</v>
      </c>
      <c r="F319" t="s">
        <v>14</v>
      </c>
      <c r="G319" t="s">
        <v>28</v>
      </c>
      <c r="H319" t="s">
        <v>22</v>
      </c>
      <c r="I319" t="s">
        <v>670</v>
      </c>
      <c r="J319" t="s">
        <v>671</v>
      </c>
      <c r="K319" t="str">
        <f t="shared" si="36"/>
        <v>1019.8</v>
      </c>
      <c r="N319" t="str">
        <f t="shared" si="37"/>
        <v>HOLDING REGISTER</v>
      </c>
      <c r="O319" t="str">
        <f t="shared" si="38"/>
        <v>BOOL</v>
      </c>
      <c r="P319" t="str">
        <f t="shared" si="39"/>
        <v>INTERRUTTORE 24</v>
      </c>
      <c r="R319" t="str">
        <f t="shared" si="40"/>
        <v>QILL2 -INTERRUTTORE ILLUMINAZIONE PERMANENTI P3 SCATTATO</v>
      </c>
      <c r="U319" t="str">
        <f t="shared" si="41"/>
        <v>Allarme</v>
      </c>
      <c r="V319" t="str">
        <f t="shared" si="42"/>
        <v>QILL2</v>
      </c>
      <c r="W319" t="str">
        <f t="shared" si="43"/>
        <v>CABINA PRINCIPALE</v>
      </c>
      <c r="Z319" t="str">
        <f t="shared" si="44"/>
        <v>10.220.80.16</v>
      </c>
    </row>
    <row r="320" spans="1:26" x14ac:dyDescent="0.25">
      <c r="A320" t="s">
        <v>10</v>
      </c>
      <c r="B320" t="s">
        <v>11</v>
      </c>
      <c r="C320" t="s">
        <v>636</v>
      </c>
      <c r="D320" t="s">
        <v>49</v>
      </c>
      <c r="E320">
        <v>25</v>
      </c>
      <c r="F320" t="s">
        <v>14</v>
      </c>
      <c r="G320" t="s">
        <v>21</v>
      </c>
      <c r="H320" t="s">
        <v>22</v>
      </c>
      <c r="I320" t="s">
        <v>672</v>
      </c>
      <c r="J320" t="s">
        <v>673</v>
      </c>
      <c r="K320" t="str">
        <f t="shared" si="36"/>
        <v>1019.9</v>
      </c>
      <c r="N320" t="str">
        <f t="shared" si="37"/>
        <v>HOLDING REGISTER</v>
      </c>
      <c r="O320" t="str">
        <f t="shared" si="38"/>
        <v>BOOL</v>
      </c>
      <c r="P320" t="str">
        <f t="shared" si="39"/>
        <v>INTERRUTTORE 25</v>
      </c>
      <c r="R320" t="str">
        <f t="shared" si="40"/>
        <v>QILL2 -INTERRUTTORE ILLUMINAZIONE PERMANENTI P4 CHIUSO</v>
      </c>
      <c r="U320" t="str">
        <f t="shared" si="41"/>
        <v>Stato</v>
      </c>
      <c r="V320" t="str">
        <f t="shared" si="42"/>
        <v>QILL2</v>
      </c>
      <c r="W320" t="str">
        <f t="shared" si="43"/>
        <v>CABINA PRINCIPALE</v>
      </c>
      <c r="Z320" t="str">
        <f t="shared" si="44"/>
        <v>10.220.80.16</v>
      </c>
    </row>
    <row r="321" spans="1:26" x14ac:dyDescent="0.25">
      <c r="A321" t="s">
        <v>10</v>
      </c>
      <c r="B321" t="s">
        <v>11</v>
      </c>
      <c r="C321" t="s">
        <v>636</v>
      </c>
      <c r="D321" t="s">
        <v>49</v>
      </c>
      <c r="E321">
        <v>25</v>
      </c>
      <c r="F321" t="s">
        <v>14</v>
      </c>
      <c r="G321" t="s">
        <v>28</v>
      </c>
      <c r="H321" t="s">
        <v>22</v>
      </c>
      <c r="I321" t="s">
        <v>674</v>
      </c>
      <c r="J321" t="s">
        <v>675</v>
      </c>
      <c r="K321" t="str">
        <f t="shared" si="36"/>
        <v>1019.10</v>
      </c>
      <c r="N321" t="str">
        <f t="shared" si="37"/>
        <v>HOLDING REGISTER</v>
      </c>
      <c r="O321" t="str">
        <f t="shared" si="38"/>
        <v>BOOL</v>
      </c>
      <c r="P321" t="str">
        <f t="shared" si="39"/>
        <v>INTERRUTTORE 25</v>
      </c>
      <c r="R321" t="str">
        <f t="shared" si="40"/>
        <v>QILL2 -INTERRUTTORE ILLUMINAZIONE PERMANENTI P4 SCATTATO</v>
      </c>
      <c r="U321" t="str">
        <f t="shared" si="41"/>
        <v>Allarme</v>
      </c>
      <c r="V321" t="str">
        <f t="shared" si="42"/>
        <v>QILL2</v>
      </c>
      <c r="W321" t="str">
        <f t="shared" si="43"/>
        <v>CABINA PRINCIPALE</v>
      </c>
      <c r="Z321" t="str">
        <f t="shared" si="44"/>
        <v>10.220.80.16</v>
      </c>
    </row>
    <row r="322" spans="1:26" x14ac:dyDescent="0.25">
      <c r="A322" t="s">
        <v>10</v>
      </c>
      <c r="B322" t="s">
        <v>11</v>
      </c>
      <c r="C322" t="s">
        <v>636</v>
      </c>
      <c r="D322" t="s">
        <v>49</v>
      </c>
      <c r="E322">
        <v>26</v>
      </c>
      <c r="F322" t="s">
        <v>14</v>
      </c>
      <c r="G322" t="s">
        <v>21</v>
      </c>
      <c r="H322" t="s">
        <v>22</v>
      </c>
      <c r="I322" t="s">
        <v>676</v>
      </c>
      <c r="J322" t="s">
        <v>677</v>
      </c>
      <c r="K322" t="str">
        <f t="shared" si="36"/>
        <v>1019.11</v>
      </c>
      <c r="N322" t="str">
        <f t="shared" si="37"/>
        <v>HOLDING REGISTER</v>
      </c>
      <c r="O322" t="str">
        <f t="shared" si="38"/>
        <v>BOOL</v>
      </c>
      <c r="P322" t="str">
        <f t="shared" si="39"/>
        <v>INTERRUTTORE 26</v>
      </c>
      <c r="R322" t="str">
        <f t="shared" si="40"/>
        <v>QILL2 -INTERRUTTORE ILLUMINAZIONE PERMANENTI P5 CHIUSO</v>
      </c>
      <c r="U322" t="str">
        <f t="shared" si="41"/>
        <v>Stato</v>
      </c>
      <c r="V322" t="str">
        <f t="shared" si="42"/>
        <v>QILL2</v>
      </c>
      <c r="W322" t="str">
        <f t="shared" si="43"/>
        <v>CABINA PRINCIPALE</v>
      </c>
      <c r="Z322" t="str">
        <f t="shared" si="44"/>
        <v>10.220.80.16</v>
      </c>
    </row>
    <row r="323" spans="1:26" x14ac:dyDescent="0.25">
      <c r="A323" t="s">
        <v>10</v>
      </c>
      <c r="B323" t="s">
        <v>11</v>
      </c>
      <c r="C323" t="s">
        <v>636</v>
      </c>
      <c r="D323" t="s">
        <v>49</v>
      </c>
      <c r="E323">
        <v>26</v>
      </c>
      <c r="F323" t="s">
        <v>14</v>
      </c>
      <c r="G323" t="s">
        <v>28</v>
      </c>
      <c r="H323" t="s">
        <v>22</v>
      </c>
      <c r="I323" t="s">
        <v>678</v>
      </c>
      <c r="J323" t="s">
        <v>679</v>
      </c>
      <c r="K323" t="str">
        <f t="shared" ref="K323:K386" si="45">IF(I323="","",I323)</f>
        <v>1019.12</v>
      </c>
      <c r="N323" t="str">
        <f t="shared" ref="N323:N386" si="46">IF(F323="","",F323)</f>
        <v>HOLDING REGISTER</v>
      </c>
      <c r="O323" t="str">
        <f t="shared" ref="O323:O386" si="47">IF(H323="","",H323)</f>
        <v>BOOL</v>
      </c>
      <c r="P323" t="str">
        <f t="shared" ref="P323:P386" si="48">_xlfn.CONCAT(D323," ",E323)</f>
        <v>INTERRUTTORE 26</v>
      </c>
      <c r="R323" t="str">
        <f t="shared" ref="R323:R386" si="49">IF(J323="","",J323)</f>
        <v>QILL2 -INTERRUTTORE ILLUMINAZIONE PERMANENTI P5 SCATTATO</v>
      </c>
      <c r="U323" t="str">
        <f t="shared" ref="U323:U386" si="50">IF(G323="","",G323)</f>
        <v>Allarme</v>
      </c>
      <c r="V323" t="str">
        <f t="shared" ref="V323:V386" si="51">IF(C323="","",C323)</f>
        <v>QILL2</v>
      </c>
      <c r="W323" t="str">
        <f t="shared" ref="W323:W386" si="52">IF(B323="","",B323)</f>
        <v>CABINA PRINCIPALE</v>
      </c>
      <c r="Z323" t="str">
        <f t="shared" ref="Z323:Z386" si="53">IF(A323="","",A323)</f>
        <v>10.220.80.16</v>
      </c>
    </row>
    <row r="324" spans="1:26" x14ac:dyDescent="0.25">
      <c r="A324" t="s">
        <v>10</v>
      </c>
      <c r="B324" t="s">
        <v>11</v>
      </c>
      <c r="C324" t="s">
        <v>636</v>
      </c>
      <c r="D324" t="s">
        <v>49</v>
      </c>
      <c r="E324">
        <v>27</v>
      </c>
      <c r="F324" t="s">
        <v>14</v>
      </c>
      <c r="G324" t="s">
        <v>21</v>
      </c>
      <c r="H324" t="s">
        <v>22</v>
      </c>
      <c r="I324" t="s">
        <v>680</v>
      </c>
      <c r="J324" t="s">
        <v>681</v>
      </c>
      <c r="K324" t="str">
        <f t="shared" si="45"/>
        <v>1019.13</v>
      </c>
      <c r="N324" t="str">
        <f t="shared" si="46"/>
        <v>HOLDING REGISTER</v>
      </c>
      <c r="O324" t="str">
        <f t="shared" si="47"/>
        <v>BOOL</v>
      </c>
      <c r="P324" t="str">
        <f t="shared" si="48"/>
        <v>INTERRUTTORE 27</v>
      </c>
      <c r="R324" t="str">
        <f t="shared" si="49"/>
        <v>QILL2 -INTERRUTTORE ILLUMINAZIONE PERMANENTI P6 CHIUSO</v>
      </c>
      <c r="U324" t="str">
        <f t="shared" si="50"/>
        <v>Stato</v>
      </c>
      <c r="V324" t="str">
        <f t="shared" si="51"/>
        <v>QILL2</v>
      </c>
      <c r="W324" t="str">
        <f t="shared" si="52"/>
        <v>CABINA PRINCIPALE</v>
      </c>
      <c r="Z324" t="str">
        <f t="shared" si="53"/>
        <v>10.220.80.16</v>
      </c>
    </row>
    <row r="325" spans="1:26" x14ac:dyDescent="0.25">
      <c r="A325" t="s">
        <v>10</v>
      </c>
      <c r="B325" t="s">
        <v>11</v>
      </c>
      <c r="C325" t="s">
        <v>636</v>
      </c>
      <c r="D325" t="s">
        <v>49</v>
      </c>
      <c r="E325">
        <v>27</v>
      </c>
      <c r="F325" t="s">
        <v>14</v>
      </c>
      <c r="G325" t="s">
        <v>28</v>
      </c>
      <c r="H325" t="s">
        <v>22</v>
      </c>
      <c r="I325" t="s">
        <v>682</v>
      </c>
      <c r="J325" t="s">
        <v>683</v>
      </c>
      <c r="K325" t="str">
        <f t="shared" si="45"/>
        <v>1019.14</v>
      </c>
      <c r="N325" t="str">
        <f t="shared" si="46"/>
        <v>HOLDING REGISTER</v>
      </c>
      <c r="O325" t="str">
        <f t="shared" si="47"/>
        <v>BOOL</v>
      </c>
      <c r="P325" t="str">
        <f t="shared" si="48"/>
        <v>INTERRUTTORE 27</v>
      </c>
      <c r="R325" t="str">
        <f t="shared" si="49"/>
        <v>QILL2 -INTERRUTTORE ILLUMINAZIONE PERMANENTI P6 SCATTATO</v>
      </c>
      <c r="U325" t="str">
        <f t="shared" si="50"/>
        <v>Allarme</v>
      </c>
      <c r="V325" t="str">
        <f t="shared" si="51"/>
        <v>QILL2</v>
      </c>
      <c r="W325" t="str">
        <f t="shared" si="52"/>
        <v>CABINA PRINCIPALE</v>
      </c>
      <c r="Z325" t="str">
        <f t="shared" si="53"/>
        <v>10.220.80.16</v>
      </c>
    </row>
    <row r="326" spans="1:26" x14ac:dyDescent="0.25">
      <c r="A326" t="s">
        <v>10</v>
      </c>
      <c r="B326" t="s">
        <v>11</v>
      </c>
      <c r="C326" t="s">
        <v>636</v>
      </c>
      <c r="D326" t="s">
        <v>49</v>
      </c>
      <c r="E326">
        <v>28</v>
      </c>
      <c r="F326" t="s">
        <v>14</v>
      </c>
      <c r="G326" t="s">
        <v>21</v>
      </c>
      <c r="H326" t="s">
        <v>22</v>
      </c>
      <c r="I326" t="s">
        <v>684</v>
      </c>
      <c r="J326" t="s">
        <v>685</v>
      </c>
      <c r="K326" t="str">
        <f t="shared" si="45"/>
        <v>1019.15</v>
      </c>
      <c r="N326" t="str">
        <f t="shared" si="46"/>
        <v>HOLDING REGISTER</v>
      </c>
      <c r="O326" t="str">
        <f t="shared" si="47"/>
        <v>BOOL</v>
      </c>
      <c r="P326" t="str">
        <f t="shared" si="48"/>
        <v>INTERRUTTORE 28</v>
      </c>
      <c r="R326" t="str">
        <f t="shared" si="49"/>
        <v>QILL2 -INTERRUTTORE ILLUMINAZIONE PERMANENTI P7 CHIUSO</v>
      </c>
      <c r="U326" t="str">
        <f t="shared" si="50"/>
        <v>Stato</v>
      </c>
      <c r="V326" t="str">
        <f t="shared" si="51"/>
        <v>QILL2</v>
      </c>
      <c r="W326" t="str">
        <f t="shared" si="52"/>
        <v>CABINA PRINCIPALE</v>
      </c>
      <c r="Z326" t="str">
        <f t="shared" si="53"/>
        <v>10.220.80.16</v>
      </c>
    </row>
    <row r="327" spans="1:26" x14ac:dyDescent="0.25">
      <c r="A327" t="s">
        <v>10</v>
      </c>
      <c r="B327" t="s">
        <v>11</v>
      </c>
      <c r="C327" t="s">
        <v>636</v>
      </c>
      <c r="D327" t="s">
        <v>49</v>
      </c>
      <c r="E327">
        <v>28</v>
      </c>
      <c r="F327" t="s">
        <v>14</v>
      </c>
      <c r="G327" t="s">
        <v>28</v>
      </c>
      <c r="H327" t="s">
        <v>22</v>
      </c>
      <c r="I327" t="s">
        <v>686</v>
      </c>
      <c r="J327" t="s">
        <v>687</v>
      </c>
      <c r="K327" t="str">
        <f t="shared" si="45"/>
        <v>1020.0</v>
      </c>
      <c r="N327" t="str">
        <f t="shared" si="46"/>
        <v>HOLDING REGISTER</v>
      </c>
      <c r="O327" t="str">
        <f t="shared" si="47"/>
        <v>BOOL</v>
      </c>
      <c r="P327" t="str">
        <f t="shared" si="48"/>
        <v>INTERRUTTORE 28</v>
      </c>
      <c r="R327" t="str">
        <f t="shared" si="49"/>
        <v>QILL2 -INTERRUTTORE ILLUMINAZIONE PERMANENTI P7 SCATTATO</v>
      </c>
      <c r="U327" t="str">
        <f t="shared" si="50"/>
        <v>Allarme</v>
      </c>
      <c r="V327" t="str">
        <f t="shared" si="51"/>
        <v>QILL2</v>
      </c>
      <c r="W327" t="str">
        <f t="shared" si="52"/>
        <v>CABINA PRINCIPALE</v>
      </c>
      <c r="Z327" t="str">
        <f t="shared" si="53"/>
        <v>10.220.80.16</v>
      </c>
    </row>
    <row r="328" spans="1:26" x14ac:dyDescent="0.25">
      <c r="A328" t="s">
        <v>10</v>
      </c>
      <c r="B328" t="s">
        <v>11</v>
      </c>
      <c r="C328" t="s">
        <v>636</v>
      </c>
      <c r="D328" t="s">
        <v>49</v>
      </c>
      <c r="E328">
        <v>29</v>
      </c>
      <c r="F328" t="s">
        <v>14</v>
      </c>
      <c r="G328" t="s">
        <v>21</v>
      </c>
      <c r="H328" t="s">
        <v>22</v>
      </c>
      <c r="I328" t="s">
        <v>688</v>
      </c>
      <c r="J328" t="s">
        <v>689</v>
      </c>
      <c r="K328" t="str">
        <f t="shared" si="45"/>
        <v>1020.1</v>
      </c>
      <c r="N328" t="str">
        <f t="shared" si="46"/>
        <v>HOLDING REGISTER</v>
      </c>
      <c r="O328" t="str">
        <f t="shared" si="47"/>
        <v>BOOL</v>
      </c>
      <c r="P328" t="str">
        <f t="shared" si="48"/>
        <v>INTERRUTTORE 29</v>
      </c>
      <c r="R328" t="str">
        <f t="shared" si="49"/>
        <v>QILL2 -INTERRUTTORE ILLUMINAZIONE PERMANENTI P8 CHIUSO</v>
      </c>
      <c r="U328" t="str">
        <f t="shared" si="50"/>
        <v>Stato</v>
      </c>
      <c r="V328" t="str">
        <f t="shared" si="51"/>
        <v>QILL2</v>
      </c>
      <c r="W328" t="str">
        <f t="shared" si="52"/>
        <v>CABINA PRINCIPALE</v>
      </c>
      <c r="Z328" t="str">
        <f t="shared" si="53"/>
        <v>10.220.80.16</v>
      </c>
    </row>
    <row r="329" spans="1:26" x14ac:dyDescent="0.25">
      <c r="A329" t="s">
        <v>10</v>
      </c>
      <c r="B329" t="s">
        <v>11</v>
      </c>
      <c r="C329" t="s">
        <v>636</v>
      </c>
      <c r="D329" t="s">
        <v>49</v>
      </c>
      <c r="E329">
        <v>29</v>
      </c>
      <c r="F329" t="s">
        <v>14</v>
      </c>
      <c r="G329" t="s">
        <v>28</v>
      </c>
      <c r="H329" t="s">
        <v>22</v>
      </c>
      <c r="I329" t="s">
        <v>690</v>
      </c>
      <c r="J329" t="s">
        <v>691</v>
      </c>
      <c r="K329" t="str">
        <f t="shared" si="45"/>
        <v>1020.2</v>
      </c>
      <c r="N329" t="str">
        <f t="shared" si="46"/>
        <v>HOLDING REGISTER</v>
      </c>
      <c r="O329" t="str">
        <f t="shared" si="47"/>
        <v>BOOL</v>
      </c>
      <c r="P329" t="str">
        <f t="shared" si="48"/>
        <v>INTERRUTTORE 29</v>
      </c>
      <c r="R329" t="str">
        <f t="shared" si="49"/>
        <v>QILL2 -INTERRUTTORE ILLUMINAZIONE PERMANENTI P8 SCATTATO</v>
      </c>
      <c r="U329" t="str">
        <f t="shared" si="50"/>
        <v>Allarme</v>
      </c>
      <c r="V329" t="str">
        <f t="shared" si="51"/>
        <v>QILL2</v>
      </c>
      <c r="W329" t="str">
        <f t="shared" si="52"/>
        <v>CABINA PRINCIPALE</v>
      </c>
      <c r="Z329" t="str">
        <f t="shared" si="53"/>
        <v>10.220.80.16</v>
      </c>
    </row>
    <row r="330" spans="1:26" x14ac:dyDescent="0.25">
      <c r="A330" t="s">
        <v>10</v>
      </c>
      <c r="B330" t="s">
        <v>11</v>
      </c>
      <c r="C330" t="s">
        <v>636</v>
      </c>
      <c r="D330" t="s">
        <v>49</v>
      </c>
      <c r="E330">
        <v>30</v>
      </c>
      <c r="F330" t="s">
        <v>14</v>
      </c>
      <c r="G330" t="s">
        <v>21</v>
      </c>
      <c r="H330" t="s">
        <v>22</v>
      </c>
      <c r="I330" t="s">
        <v>692</v>
      </c>
      <c r="J330" t="s">
        <v>693</v>
      </c>
      <c r="K330" t="str">
        <f t="shared" si="45"/>
        <v>1020.3</v>
      </c>
      <c r="N330" t="str">
        <f t="shared" si="46"/>
        <v>HOLDING REGISTER</v>
      </c>
      <c r="O330" t="str">
        <f t="shared" si="47"/>
        <v>BOOL</v>
      </c>
      <c r="P330" t="str">
        <f t="shared" si="48"/>
        <v>INTERRUTTORE 30</v>
      </c>
      <c r="R330" t="str">
        <f t="shared" si="49"/>
        <v>QILL2 -INTERRUTTORE ILLUMINAZIONE PERMANENTI P9 CHIUSO</v>
      </c>
      <c r="U330" t="str">
        <f t="shared" si="50"/>
        <v>Stato</v>
      </c>
      <c r="V330" t="str">
        <f t="shared" si="51"/>
        <v>QILL2</v>
      </c>
      <c r="W330" t="str">
        <f t="shared" si="52"/>
        <v>CABINA PRINCIPALE</v>
      </c>
      <c r="Z330" t="str">
        <f t="shared" si="53"/>
        <v>10.220.80.16</v>
      </c>
    </row>
    <row r="331" spans="1:26" x14ac:dyDescent="0.25">
      <c r="A331" t="s">
        <v>10</v>
      </c>
      <c r="B331" t="s">
        <v>11</v>
      </c>
      <c r="C331" t="s">
        <v>636</v>
      </c>
      <c r="D331" t="s">
        <v>49</v>
      </c>
      <c r="E331">
        <v>30</v>
      </c>
      <c r="F331" t="s">
        <v>14</v>
      </c>
      <c r="G331" t="s">
        <v>28</v>
      </c>
      <c r="H331" t="s">
        <v>22</v>
      </c>
      <c r="I331" t="s">
        <v>694</v>
      </c>
      <c r="J331" t="s">
        <v>695</v>
      </c>
      <c r="K331" t="str">
        <f t="shared" si="45"/>
        <v>1020.4</v>
      </c>
      <c r="N331" t="str">
        <f t="shared" si="46"/>
        <v>HOLDING REGISTER</v>
      </c>
      <c r="O331" t="str">
        <f t="shared" si="47"/>
        <v>BOOL</v>
      </c>
      <c r="P331" t="str">
        <f t="shared" si="48"/>
        <v>INTERRUTTORE 30</v>
      </c>
      <c r="R331" t="str">
        <f t="shared" si="49"/>
        <v>QILL2 -INTERRUTTORE ILLUMINAZIONE PERMANENTI P9 SCATTATO</v>
      </c>
      <c r="U331" t="str">
        <f t="shared" si="50"/>
        <v>Allarme</v>
      </c>
      <c r="V331" t="str">
        <f t="shared" si="51"/>
        <v>QILL2</v>
      </c>
      <c r="W331" t="str">
        <f t="shared" si="52"/>
        <v>CABINA PRINCIPALE</v>
      </c>
      <c r="Z331" t="str">
        <f t="shared" si="53"/>
        <v>10.220.80.16</v>
      </c>
    </row>
    <row r="332" spans="1:26" x14ac:dyDescent="0.25">
      <c r="A332" t="s">
        <v>10</v>
      </c>
      <c r="B332" t="s">
        <v>11</v>
      </c>
      <c r="C332" t="s">
        <v>636</v>
      </c>
      <c r="D332" t="s">
        <v>49</v>
      </c>
      <c r="E332">
        <v>31</v>
      </c>
      <c r="F332" t="s">
        <v>14</v>
      </c>
      <c r="G332" t="s">
        <v>21</v>
      </c>
      <c r="H332" t="s">
        <v>22</v>
      </c>
      <c r="I332" t="s">
        <v>696</v>
      </c>
      <c r="J332" t="s">
        <v>697</v>
      </c>
      <c r="K332" t="str">
        <f t="shared" si="45"/>
        <v>1020.5</v>
      </c>
      <c r="N332" t="str">
        <f t="shared" si="46"/>
        <v>HOLDING REGISTER</v>
      </c>
      <c r="O332" t="str">
        <f t="shared" si="47"/>
        <v>BOOL</v>
      </c>
      <c r="P332" t="str">
        <f t="shared" si="48"/>
        <v>INTERRUTTORE 31</v>
      </c>
      <c r="R332" t="str">
        <f t="shared" si="49"/>
        <v>QILL2 -INTERRUTTORE ILLUMINAZIONE PERMANENTI P10 CHIUSO</v>
      </c>
      <c r="U332" t="str">
        <f t="shared" si="50"/>
        <v>Stato</v>
      </c>
      <c r="V332" t="str">
        <f t="shared" si="51"/>
        <v>QILL2</v>
      </c>
      <c r="W332" t="str">
        <f t="shared" si="52"/>
        <v>CABINA PRINCIPALE</v>
      </c>
      <c r="Z332" t="str">
        <f t="shared" si="53"/>
        <v>10.220.80.16</v>
      </c>
    </row>
    <row r="333" spans="1:26" x14ac:dyDescent="0.25">
      <c r="A333" t="s">
        <v>10</v>
      </c>
      <c r="B333" t="s">
        <v>11</v>
      </c>
      <c r="C333" t="s">
        <v>636</v>
      </c>
      <c r="D333" t="s">
        <v>49</v>
      </c>
      <c r="E333">
        <v>31</v>
      </c>
      <c r="F333" t="s">
        <v>14</v>
      </c>
      <c r="G333" t="s">
        <v>28</v>
      </c>
      <c r="H333" t="s">
        <v>22</v>
      </c>
      <c r="I333" t="s">
        <v>698</v>
      </c>
      <c r="J333" t="s">
        <v>699</v>
      </c>
      <c r="K333" t="str">
        <f t="shared" si="45"/>
        <v>1020.6</v>
      </c>
      <c r="N333" t="str">
        <f t="shared" si="46"/>
        <v>HOLDING REGISTER</v>
      </c>
      <c r="O333" t="str">
        <f t="shared" si="47"/>
        <v>BOOL</v>
      </c>
      <c r="P333" t="str">
        <f t="shared" si="48"/>
        <v>INTERRUTTORE 31</v>
      </c>
      <c r="R333" t="str">
        <f t="shared" si="49"/>
        <v>QILL2 -INTERRUTTORE ILLUMINAZIONE PERMANENTI P10 SCATTATO</v>
      </c>
      <c r="U333" t="str">
        <f t="shared" si="50"/>
        <v>Allarme</v>
      </c>
      <c r="V333" t="str">
        <f t="shared" si="51"/>
        <v>QILL2</v>
      </c>
      <c r="W333" t="str">
        <f t="shared" si="52"/>
        <v>CABINA PRINCIPALE</v>
      </c>
      <c r="Z333" t="str">
        <f t="shared" si="53"/>
        <v>10.220.80.16</v>
      </c>
    </row>
    <row r="334" spans="1:26" x14ac:dyDescent="0.25">
      <c r="A334" t="s">
        <v>10</v>
      </c>
      <c r="B334" t="s">
        <v>11</v>
      </c>
      <c r="C334" t="s">
        <v>636</v>
      </c>
      <c r="D334" t="s">
        <v>49</v>
      </c>
      <c r="E334">
        <v>32</v>
      </c>
      <c r="F334" t="s">
        <v>14</v>
      </c>
      <c r="G334" t="s">
        <v>21</v>
      </c>
      <c r="H334" t="s">
        <v>22</v>
      </c>
      <c r="I334" t="s">
        <v>700</v>
      </c>
      <c r="J334" t="s">
        <v>701</v>
      </c>
      <c r="K334" t="str">
        <f t="shared" si="45"/>
        <v>1020.7</v>
      </c>
      <c r="N334" t="str">
        <f t="shared" si="46"/>
        <v>HOLDING REGISTER</v>
      </c>
      <c r="O334" t="str">
        <f t="shared" si="47"/>
        <v>BOOL</v>
      </c>
      <c r="P334" t="str">
        <f t="shared" si="48"/>
        <v>INTERRUTTORE 32</v>
      </c>
      <c r="R334" t="str">
        <f t="shared" si="49"/>
        <v>QILL2 -INTERRUTTORE ILLUMINAZIONE PERMANENTI P11 CHIUSO</v>
      </c>
      <c r="U334" t="str">
        <f t="shared" si="50"/>
        <v>Stato</v>
      </c>
      <c r="V334" t="str">
        <f t="shared" si="51"/>
        <v>QILL2</v>
      </c>
      <c r="W334" t="str">
        <f t="shared" si="52"/>
        <v>CABINA PRINCIPALE</v>
      </c>
      <c r="Z334" t="str">
        <f t="shared" si="53"/>
        <v>10.220.80.16</v>
      </c>
    </row>
    <row r="335" spans="1:26" x14ac:dyDescent="0.25">
      <c r="A335" t="s">
        <v>10</v>
      </c>
      <c r="B335" t="s">
        <v>11</v>
      </c>
      <c r="C335" t="s">
        <v>636</v>
      </c>
      <c r="D335" t="s">
        <v>49</v>
      </c>
      <c r="E335">
        <v>32</v>
      </c>
      <c r="F335" t="s">
        <v>14</v>
      </c>
      <c r="G335" t="s">
        <v>28</v>
      </c>
      <c r="H335" t="s">
        <v>22</v>
      </c>
      <c r="I335" t="s">
        <v>702</v>
      </c>
      <c r="J335" t="s">
        <v>703</v>
      </c>
      <c r="K335" t="str">
        <f t="shared" si="45"/>
        <v>1020.8</v>
      </c>
      <c r="N335" t="str">
        <f t="shared" si="46"/>
        <v>HOLDING REGISTER</v>
      </c>
      <c r="O335" t="str">
        <f t="shared" si="47"/>
        <v>BOOL</v>
      </c>
      <c r="P335" t="str">
        <f t="shared" si="48"/>
        <v>INTERRUTTORE 32</v>
      </c>
      <c r="R335" t="str">
        <f t="shared" si="49"/>
        <v>QILL2 -INTERRUTTORE ILLUMINAZIONE PERMANENTI P11 SCATTATO</v>
      </c>
      <c r="U335" t="str">
        <f t="shared" si="50"/>
        <v>Allarme</v>
      </c>
      <c r="V335" t="str">
        <f t="shared" si="51"/>
        <v>QILL2</v>
      </c>
      <c r="W335" t="str">
        <f t="shared" si="52"/>
        <v>CABINA PRINCIPALE</v>
      </c>
      <c r="Z335" t="str">
        <f t="shared" si="53"/>
        <v>10.220.80.16</v>
      </c>
    </row>
    <row r="336" spans="1:26" x14ac:dyDescent="0.25">
      <c r="A336" t="s">
        <v>10</v>
      </c>
      <c r="B336" t="s">
        <v>11</v>
      </c>
      <c r="C336" t="s">
        <v>636</v>
      </c>
      <c r="D336" t="s">
        <v>205</v>
      </c>
      <c r="E336" t="s">
        <v>206</v>
      </c>
      <c r="F336" t="s">
        <v>14</v>
      </c>
      <c r="G336" t="s">
        <v>28</v>
      </c>
      <c r="H336" t="s">
        <v>22</v>
      </c>
      <c r="I336" t="s">
        <v>704</v>
      </c>
      <c r="J336" t="s">
        <v>705</v>
      </c>
      <c r="K336" t="str">
        <f t="shared" si="45"/>
        <v>1020.9</v>
      </c>
      <c r="N336" t="str">
        <f t="shared" si="46"/>
        <v>HOLDING REGISTER</v>
      </c>
      <c r="O336" t="str">
        <f t="shared" si="47"/>
        <v>BOOL</v>
      </c>
      <c r="P336" t="str">
        <f t="shared" si="48"/>
        <v>REMOTE I/O RIO</v>
      </c>
      <c r="R336" t="str">
        <f t="shared" si="49"/>
        <v>QILL2 -ERRORE DI COMUNICAZIONE CON RIO</v>
      </c>
      <c r="U336" t="str">
        <f t="shared" si="50"/>
        <v>Allarme</v>
      </c>
      <c r="V336" t="str">
        <f t="shared" si="51"/>
        <v>QILL2</v>
      </c>
      <c r="W336" t="str">
        <f t="shared" si="52"/>
        <v>CABINA PRINCIPALE</v>
      </c>
      <c r="Z336" t="str">
        <f t="shared" si="53"/>
        <v>10.220.80.16</v>
      </c>
    </row>
    <row r="337" spans="1:26" x14ac:dyDescent="0.25">
      <c r="A337" t="s">
        <v>10</v>
      </c>
      <c r="B337" t="s">
        <v>11</v>
      </c>
      <c r="C337" t="s">
        <v>3665</v>
      </c>
      <c r="D337" t="s">
        <v>49</v>
      </c>
      <c r="E337" t="s">
        <v>706</v>
      </c>
      <c r="F337" t="s">
        <v>14</v>
      </c>
      <c r="G337" t="s">
        <v>21</v>
      </c>
      <c r="H337" t="s">
        <v>22</v>
      </c>
      <c r="I337" t="s">
        <v>707</v>
      </c>
      <c r="J337" t="s">
        <v>708</v>
      </c>
      <c r="K337" t="str">
        <f t="shared" si="45"/>
        <v>1020.10</v>
      </c>
      <c r="N337" t="str">
        <f t="shared" si="46"/>
        <v>HOLDING REGISTER</v>
      </c>
      <c r="O337" t="str">
        <f t="shared" si="47"/>
        <v>BOOL</v>
      </c>
      <c r="P337" t="str">
        <f t="shared" si="48"/>
        <v>INTERRUTTORE 1A</v>
      </c>
      <c r="R337" t="str">
        <f t="shared" si="49"/>
        <v>QVE1 -INTERRUTTORE GENERALE TRAFO 1 690Vac CHIUSO</v>
      </c>
      <c r="U337" t="str">
        <f t="shared" si="50"/>
        <v>Stato</v>
      </c>
      <c r="V337" t="str">
        <f t="shared" si="51"/>
        <v>QVE 1</v>
      </c>
      <c r="W337" t="str">
        <f t="shared" si="52"/>
        <v>CABINA PRINCIPALE</v>
      </c>
      <c r="Z337" t="str">
        <f t="shared" si="53"/>
        <v>10.220.80.16</v>
      </c>
    </row>
    <row r="338" spans="1:26" x14ac:dyDescent="0.25">
      <c r="A338" t="s">
        <v>10</v>
      </c>
      <c r="B338" t="s">
        <v>11</v>
      </c>
      <c r="C338" t="s">
        <v>3665</v>
      </c>
      <c r="D338" t="s">
        <v>49</v>
      </c>
      <c r="E338" t="s">
        <v>706</v>
      </c>
      <c r="F338" t="s">
        <v>14</v>
      </c>
      <c r="G338" t="s">
        <v>28</v>
      </c>
      <c r="H338" t="s">
        <v>22</v>
      </c>
      <c r="I338" t="s">
        <v>709</v>
      </c>
      <c r="J338" t="s">
        <v>710</v>
      </c>
      <c r="K338" t="str">
        <f t="shared" si="45"/>
        <v>1020.11</v>
      </c>
      <c r="N338" t="str">
        <f t="shared" si="46"/>
        <v>HOLDING REGISTER</v>
      </c>
      <c r="O338" t="str">
        <f t="shared" si="47"/>
        <v>BOOL</v>
      </c>
      <c r="P338" t="str">
        <f t="shared" si="48"/>
        <v>INTERRUTTORE 1A</v>
      </c>
      <c r="R338" t="str">
        <f t="shared" si="49"/>
        <v>QVE1 -INTERRUTTORE GENERALE TRAFO 1 690Vac SCATTATO</v>
      </c>
      <c r="U338" t="str">
        <f t="shared" si="50"/>
        <v>Allarme</v>
      </c>
      <c r="V338" t="str">
        <f t="shared" si="51"/>
        <v>QVE 1</v>
      </c>
      <c r="W338" t="str">
        <f t="shared" si="52"/>
        <v>CABINA PRINCIPALE</v>
      </c>
      <c r="Z338" t="str">
        <f t="shared" si="53"/>
        <v>10.220.80.16</v>
      </c>
    </row>
    <row r="339" spans="1:26" x14ac:dyDescent="0.25">
      <c r="A339" t="s">
        <v>10</v>
      </c>
      <c r="B339" t="s">
        <v>11</v>
      </c>
      <c r="C339" t="s">
        <v>3665</v>
      </c>
      <c r="D339" t="s">
        <v>49</v>
      </c>
      <c r="E339" t="s">
        <v>711</v>
      </c>
      <c r="F339" t="s">
        <v>14</v>
      </c>
      <c r="G339" t="s">
        <v>21</v>
      </c>
      <c r="H339" t="s">
        <v>22</v>
      </c>
      <c r="I339" t="s">
        <v>712</v>
      </c>
      <c r="J339" t="s">
        <v>713</v>
      </c>
      <c r="K339" t="str">
        <f t="shared" si="45"/>
        <v>1020.12</v>
      </c>
      <c r="N339" t="str">
        <f t="shared" si="46"/>
        <v>HOLDING REGISTER</v>
      </c>
      <c r="O339" t="str">
        <f t="shared" si="47"/>
        <v>BOOL</v>
      </c>
      <c r="P339" t="str">
        <f t="shared" si="48"/>
        <v>INTERRUTTORE 1B</v>
      </c>
      <c r="R339" t="str">
        <f t="shared" si="49"/>
        <v>QVE1 -INTERRUTTORE GENERALE TRAFO 2 690Vac CHIUSO</v>
      </c>
      <c r="U339" t="str">
        <f t="shared" si="50"/>
        <v>Stato</v>
      </c>
      <c r="V339" t="str">
        <f t="shared" si="51"/>
        <v>QVE 1</v>
      </c>
      <c r="W339" t="str">
        <f t="shared" si="52"/>
        <v>CABINA PRINCIPALE</v>
      </c>
      <c r="Z339" t="str">
        <f t="shared" si="53"/>
        <v>10.220.80.16</v>
      </c>
    </row>
    <row r="340" spans="1:26" x14ac:dyDescent="0.25">
      <c r="A340" t="s">
        <v>10</v>
      </c>
      <c r="B340" t="s">
        <v>11</v>
      </c>
      <c r="C340" t="s">
        <v>3665</v>
      </c>
      <c r="D340" t="s">
        <v>49</v>
      </c>
      <c r="E340" t="s">
        <v>711</v>
      </c>
      <c r="F340" t="s">
        <v>14</v>
      </c>
      <c r="G340" t="s">
        <v>28</v>
      </c>
      <c r="H340" t="s">
        <v>22</v>
      </c>
      <c r="I340" t="s">
        <v>714</v>
      </c>
      <c r="J340" t="s">
        <v>715</v>
      </c>
      <c r="K340" t="str">
        <f t="shared" si="45"/>
        <v>1020.13</v>
      </c>
      <c r="N340" t="str">
        <f t="shared" si="46"/>
        <v>HOLDING REGISTER</v>
      </c>
      <c r="O340" t="str">
        <f t="shared" si="47"/>
        <v>BOOL</v>
      </c>
      <c r="P340" t="str">
        <f t="shared" si="48"/>
        <v>INTERRUTTORE 1B</v>
      </c>
      <c r="R340" t="str">
        <f t="shared" si="49"/>
        <v>QVE1 -INTERRUTTORE GENERALE TRAFO 2 690Vac SCATTATO</v>
      </c>
      <c r="U340" t="str">
        <f t="shared" si="50"/>
        <v>Allarme</v>
      </c>
      <c r="V340" t="str">
        <f t="shared" si="51"/>
        <v>QVE 1</v>
      </c>
      <c r="W340" t="str">
        <f t="shared" si="52"/>
        <v>CABINA PRINCIPALE</v>
      </c>
      <c r="Z340" t="str">
        <f t="shared" si="53"/>
        <v>10.220.80.16</v>
      </c>
    </row>
    <row r="341" spans="1:26" x14ac:dyDescent="0.25">
      <c r="A341" t="s">
        <v>10</v>
      </c>
      <c r="B341" t="s">
        <v>11</v>
      </c>
      <c r="C341" t="s">
        <v>3665</v>
      </c>
      <c r="D341" t="s">
        <v>49</v>
      </c>
      <c r="E341">
        <v>20</v>
      </c>
      <c r="F341" t="s">
        <v>14</v>
      </c>
      <c r="G341" t="s">
        <v>21</v>
      </c>
      <c r="H341" t="s">
        <v>22</v>
      </c>
      <c r="I341" t="s">
        <v>716</v>
      </c>
      <c r="J341" t="s">
        <v>717</v>
      </c>
      <c r="K341" t="str">
        <f t="shared" si="45"/>
        <v>1020.14</v>
      </c>
      <c r="N341" t="str">
        <f t="shared" si="46"/>
        <v>HOLDING REGISTER</v>
      </c>
      <c r="O341" t="str">
        <f t="shared" si="47"/>
        <v>BOOL</v>
      </c>
      <c r="P341" t="str">
        <f t="shared" si="48"/>
        <v>INTERRUTTORE 20</v>
      </c>
      <c r="R341" t="str">
        <f t="shared" si="49"/>
        <v>QVE1 -INTERRUTTORE AUX QUADRO SEZIONE PRIVILEGIATA CHIUSO</v>
      </c>
      <c r="U341" t="str">
        <f t="shared" si="50"/>
        <v>Stato</v>
      </c>
      <c r="V341" t="str">
        <f t="shared" si="51"/>
        <v>QVE 1</v>
      </c>
      <c r="W341" t="str">
        <f t="shared" si="52"/>
        <v>CABINA PRINCIPALE</v>
      </c>
      <c r="Z341" t="str">
        <f t="shared" si="53"/>
        <v>10.220.80.16</v>
      </c>
    </row>
    <row r="342" spans="1:26" x14ac:dyDescent="0.25">
      <c r="A342" t="s">
        <v>10</v>
      </c>
      <c r="B342" t="s">
        <v>11</v>
      </c>
      <c r="C342" t="s">
        <v>3665</v>
      </c>
      <c r="D342" t="s">
        <v>49</v>
      </c>
      <c r="E342">
        <v>2</v>
      </c>
      <c r="F342" t="s">
        <v>14</v>
      </c>
      <c r="G342" t="s">
        <v>21</v>
      </c>
      <c r="H342" t="s">
        <v>22</v>
      </c>
      <c r="I342" t="s">
        <v>718</v>
      </c>
      <c r="J342" t="s">
        <v>719</v>
      </c>
      <c r="K342" t="str">
        <f t="shared" si="45"/>
        <v>1020.15</v>
      </c>
      <c r="N342" t="str">
        <f t="shared" si="46"/>
        <v>HOLDING REGISTER</v>
      </c>
      <c r="O342" t="str">
        <f t="shared" si="47"/>
        <v>BOOL</v>
      </c>
      <c r="P342" t="str">
        <f t="shared" si="48"/>
        <v>INTERRUTTORE 2</v>
      </c>
      <c r="R342" t="str">
        <f t="shared" si="49"/>
        <v>QVE1 -INTERRUTTORE V1 DX CHIUSO</v>
      </c>
      <c r="U342" t="str">
        <f t="shared" si="50"/>
        <v>Stato</v>
      </c>
      <c r="V342" t="str">
        <f t="shared" si="51"/>
        <v>QVE 1</v>
      </c>
      <c r="W342" t="str">
        <f t="shared" si="52"/>
        <v>CABINA PRINCIPALE</v>
      </c>
      <c r="Z342" t="str">
        <f t="shared" si="53"/>
        <v>10.220.80.16</v>
      </c>
    </row>
    <row r="343" spans="1:26" x14ac:dyDescent="0.25">
      <c r="A343" t="s">
        <v>10</v>
      </c>
      <c r="B343" t="s">
        <v>11</v>
      </c>
      <c r="C343" t="s">
        <v>3665</v>
      </c>
      <c r="D343" t="s">
        <v>49</v>
      </c>
      <c r="E343">
        <v>3</v>
      </c>
      <c r="F343" t="s">
        <v>14</v>
      </c>
      <c r="G343" t="s">
        <v>21</v>
      </c>
      <c r="H343" t="s">
        <v>22</v>
      </c>
      <c r="I343" t="s">
        <v>720</v>
      </c>
      <c r="J343" t="s">
        <v>721</v>
      </c>
      <c r="K343" t="str">
        <f t="shared" si="45"/>
        <v>1021.0</v>
      </c>
      <c r="N343" t="str">
        <f t="shared" si="46"/>
        <v>HOLDING REGISTER</v>
      </c>
      <c r="O343" t="str">
        <f t="shared" si="47"/>
        <v>BOOL</v>
      </c>
      <c r="P343" t="str">
        <f t="shared" si="48"/>
        <v>INTERRUTTORE 3</v>
      </c>
      <c r="R343" t="str">
        <f t="shared" si="49"/>
        <v>QVE1 -INTERRUTTORE V1 SX CHIUSO</v>
      </c>
      <c r="U343" t="str">
        <f t="shared" si="50"/>
        <v>Stato</v>
      </c>
      <c r="V343" t="str">
        <f t="shared" si="51"/>
        <v>QVE 1</v>
      </c>
      <c r="W343" t="str">
        <f t="shared" si="52"/>
        <v>CABINA PRINCIPALE</v>
      </c>
      <c r="Z343" t="str">
        <f t="shared" si="53"/>
        <v>10.220.80.16</v>
      </c>
    </row>
    <row r="344" spans="1:26" x14ac:dyDescent="0.25">
      <c r="A344" t="s">
        <v>10</v>
      </c>
      <c r="B344" t="s">
        <v>11</v>
      </c>
      <c r="C344" t="s">
        <v>3665</v>
      </c>
      <c r="D344" t="s">
        <v>49</v>
      </c>
      <c r="E344">
        <v>4</v>
      </c>
      <c r="F344" t="s">
        <v>14</v>
      </c>
      <c r="G344" t="s">
        <v>21</v>
      </c>
      <c r="H344" t="s">
        <v>22</v>
      </c>
      <c r="I344" t="s">
        <v>722</v>
      </c>
      <c r="J344" t="s">
        <v>723</v>
      </c>
      <c r="K344" t="str">
        <f t="shared" si="45"/>
        <v>1021.1</v>
      </c>
      <c r="N344" t="str">
        <f t="shared" si="46"/>
        <v>HOLDING REGISTER</v>
      </c>
      <c r="O344" t="str">
        <f t="shared" si="47"/>
        <v>BOOL</v>
      </c>
      <c r="P344" t="str">
        <f t="shared" si="48"/>
        <v>INTERRUTTORE 4</v>
      </c>
      <c r="R344" t="str">
        <f t="shared" si="49"/>
        <v>QVE1 -INTERRUTTORE V2 DX CHIUSO</v>
      </c>
      <c r="U344" t="str">
        <f t="shared" si="50"/>
        <v>Stato</v>
      </c>
      <c r="V344" t="str">
        <f t="shared" si="51"/>
        <v>QVE 1</v>
      </c>
      <c r="W344" t="str">
        <f t="shared" si="52"/>
        <v>CABINA PRINCIPALE</v>
      </c>
      <c r="Z344" t="str">
        <f t="shared" si="53"/>
        <v>10.220.80.16</v>
      </c>
    </row>
    <row r="345" spans="1:26" x14ac:dyDescent="0.25">
      <c r="A345" t="s">
        <v>10</v>
      </c>
      <c r="B345" t="s">
        <v>11</v>
      </c>
      <c r="C345" t="s">
        <v>3665</v>
      </c>
      <c r="D345" t="s">
        <v>49</v>
      </c>
      <c r="E345">
        <v>5</v>
      </c>
      <c r="F345" t="s">
        <v>14</v>
      </c>
      <c r="G345" t="s">
        <v>21</v>
      </c>
      <c r="H345" t="s">
        <v>22</v>
      </c>
      <c r="I345" t="s">
        <v>724</v>
      </c>
      <c r="J345" t="s">
        <v>725</v>
      </c>
      <c r="K345" t="str">
        <f t="shared" si="45"/>
        <v>1021.2</v>
      </c>
      <c r="N345" t="str">
        <f t="shared" si="46"/>
        <v>HOLDING REGISTER</v>
      </c>
      <c r="O345" t="str">
        <f t="shared" si="47"/>
        <v>BOOL</v>
      </c>
      <c r="P345" t="str">
        <f t="shared" si="48"/>
        <v>INTERRUTTORE 5</v>
      </c>
      <c r="R345" t="str">
        <f t="shared" si="49"/>
        <v>QVE1 -INTERRUTTORE V2 SX CHIUSO</v>
      </c>
      <c r="U345" t="str">
        <f t="shared" si="50"/>
        <v>Stato</v>
      </c>
      <c r="V345" t="str">
        <f t="shared" si="51"/>
        <v>QVE 1</v>
      </c>
      <c r="W345" t="str">
        <f t="shared" si="52"/>
        <v>CABINA PRINCIPALE</v>
      </c>
      <c r="Z345" t="str">
        <f t="shared" si="53"/>
        <v>10.220.80.16</v>
      </c>
    </row>
    <row r="346" spans="1:26" x14ac:dyDescent="0.25">
      <c r="A346" t="s">
        <v>10</v>
      </c>
      <c r="B346" t="s">
        <v>11</v>
      </c>
      <c r="C346" t="s">
        <v>3665</v>
      </c>
      <c r="D346" t="s">
        <v>49</v>
      </c>
      <c r="E346">
        <v>6</v>
      </c>
      <c r="F346" t="s">
        <v>14</v>
      </c>
      <c r="G346" t="s">
        <v>21</v>
      </c>
      <c r="H346" t="s">
        <v>22</v>
      </c>
      <c r="I346" t="s">
        <v>726</v>
      </c>
      <c r="J346" t="s">
        <v>727</v>
      </c>
      <c r="K346" t="str">
        <f t="shared" si="45"/>
        <v>1021.3</v>
      </c>
      <c r="N346" t="str">
        <f t="shared" si="46"/>
        <v>HOLDING REGISTER</v>
      </c>
      <c r="O346" t="str">
        <f t="shared" si="47"/>
        <v>BOOL</v>
      </c>
      <c r="P346" t="str">
        <f t="shared" si="48"/>
        <v>INTERRUTTORE 6</v>
      </c>
      <c r="R346" t="str">
        <f t="shared" si="49"/>
        <v>QVE1 -INTERRUTTORE V3 DX CHIUSO</v>
      </c>
      <c r="U346" t="str">
        <f t="shared" si="50"/>
        <v>Stato</v>
      </c>
      <c r="V346" t="str">
        <f t="shared" si="51"/>
        <v>QVE 1</v>
      </c>
      <c r="W346" t="str">
        <f t="shared" si="52"/>
        <v>CABINA PRINCIPALE</v>
      </c>
      <c r="Z346" t="str">
        <f t="shared" si="53"/>
        <v>10.220.80.16</v>
      </c>
    </row>
    <row r="347" spans="1:26" x14ac:dyDescent="0.25">
      <c r="A347" t="s">
        <v>10</v>
      </c>
      <c r="B347" t="s">
        <v>11</v>
      </c>
      <c r="C347" t="s">
        <v>3665</v>
      </c>
      <c r="D347" t="s">
        <v>49</v>
      </c>
      <c r="E347">
        <v>7</v>
      </c>
      <c r="F347" t="s">
        <v>14</v>
      </c>
      <c r="G347" t="s">
        <v>21</v>
      </c>
      <c r="H347" t="s">
        <v>22</v>
      </c>
      <c r="I347" t="s">
        <v>728</v>
      </c>
      <c r="J347" t="s">
        <v>729</v>
      </c>
      <c r="K347" t="str">
        <f t="shared" si="45"/>
        <v>1021.4</v>
      </c>
      <c r="N347" t="str">
        <f t="shared" si="46"/>
        <v>HOLDING REGISTER</v>
      </c>
      <c r="O347" t="str">
        <f t="shared" si="47"/>
        <v>BOOL</v>
      </c>
      <c r="P347" t="str">
        <f t="shared" si="48"/>
        <v>INTERRUTTORE 7</v>
      </c>
      <c r="R347" t="str">
        <f t="shared" si="49"/>
        <v>QVE1 -INTERRUTTORE V3 SX CHIUSO</v>
      </c>
      <c r="U347" t="str">
        <f t="shared" si="50"/>
        <v>Stato</v>
      </c>
      <c r="V347" t="str">
        <f t="shared" si="51"/>
        <v>QVE 1</v>
      </c>
      <c r="W347" t="str">
        <f t="shared" si="52"/>
        <v>CABINA PRINCIPALE</v>
      </c>
      <c r="Z347" t="str">
        <f t="shared" si="53"/>
        <v>10.220.80.16</v>
      </c>
    </row>
    <row r="348" spans="1:26" x14ac:dyDescent="0.25">
      <c r="A348" t="s">
        <v>10</v>
      </c>
      <c r="B348" t="s">
        <v>11</v>
      </c>
      <c r="C348" t="s">
        <v>3665</v>
      </c>
      <c r="D348" t="s">
        <v>49</v>
      </c>
      <c r="E348">
        <v>8</v>
      </c>
      <c r="F348" t="s">
        <v>14</v>
      </c>
      <c r="G348" t="s">
        <v>21</v>
      </c>
      <c r="H348" t="s">
        <v>22</v>
      </c>
      <c r="I348" t="s">
        <v>730</v>
      </c>
      <c r="J348" t="s">
        <v>731</v>
      </c>
      <c r="K348" t="str">
        <f t="shared" si="45"/>
        <v>1021.5</v>
      </c>
      <c r="N348" t="str">
        <f t="shared" si="46"/>
        <v>HOLDING REGISTER</v>
      </c>
      <c r="O348" t="str">
        <f t="shared" si="47"/>
        <v>BOOL</v>
      </c>
      <c r="P348" t="str">
        <f t="shared" si="48"/>
        <v>INTERRUTTORE 8</v>
      </c>
      <c r="R348" t="str">
        <f t="shared" si="49"/>
        <v>QVE1 -INTERRUTTORE V4 DX CHIUSO</v>
      </c>
      <c r="U348" t="str">
        <f t="shared" si="50"/>
        <v>Stato</v>
      </c>
      <c r="V348" t="str">
        <f t="shared" si="51"/>
        <v>QVE 1</v>
      </c>
      <c r="W348" t="str">
        <f t="shared" si="52"/>
        <v>CABINA PRINCIPALE</v>
      </c>
      <c r="Z348" t="str">
        <f t="shared" si="53"/>
        <v>10.220.80.16</v>
      </c>
    </row>
    <row r="349" spans="1:26" x14ac:dyDescent="0.25">
      <c r="A349" t="s">
        <v>10</v>
      </c>
      <c r="B349" t="s">
        <v>11</v>
      </c>
      <c r="C349" t="s">
        <v>3665</v>
      </c>
      <c r="D349" t="s">
        <v>49</v>
      </c>
      <c r="E349">
        <v>9</v>
      </c>
      <c r="F349" t="s">
        <v>14</v>
      </c>
      <c r="G349" t="s">
        <v>21</v>
      </c>
      <c r="H349" t="s">
        <v>22</v>
      </c>
      <c r="I349" t="s">
        <v>732</v>
      </c>
      <c r="J349" t="s">
        <v>733</v>
      </c>
      <c r="K349" t="str">
        <f t="shared" si="45"/>
        <v>1021.6</v>
      </c>
      <c r="N349" t="str">
        <f t="shared" si="46"/>
        <v>HOLDING REGISTER</v>
      </c>
      <c r="O349" t="str">
        <f t="shared" si="47"/>
        <v>BOOL</v>
      </c>
      <c r="P349" t="str">
        <f t="shared" si="48"/>
        <v>INTERRUTTORE 9</v>
      </c>
      <c r="R349" t="str">
        <f t="shared" si="49"/>
        <v>QVE1 -INTERRUTTORE V4 SX CHIUSO</v>
      </c>
      <c r="U349" t="str">
        <f t="shared" si="50"/>
        <v>Stato</v>
      </c>
      <c r="V349" t="str">
        <f t="shared" si="51"/>
        <v>QVE 1</v>
      </c>
      <c r="W349" t="str">
        <f t="shared" si="52"/>
        <v>CABINA PRINCIPALE</v>
      </c>
      <c r="Z349" t="str">
        <f t="shared" si="53"/>
        <v>10.220.80.16</v>
      </c>
    </row>
    <row r="350" spans="1:26" x14ac:dyDescent="0.25">
      <c r="A350" t="s">
        <v>10</v>
      </c>
      <c r="B350" t="s">
        <v>11</v>
      </c>
      <c r="C350" t="s">
        <v>3665</v>
      </c>
      <c r="D350" t="s">
        <v>734</v>
      </c>
      <c r="E350" t="s">
        <v>735</v>
      </c>
      <c r="F350" t="s">
        <v>14</v>
      </c>
      <c r="G350" t="s">
        <v>28</v>
      </c>
      <c r="H350" t="s">
        <v>22</v>
      </c>
      <c r="I350" t="s">
        <v>736</v>
      </c>
      <c r="J350" t="s">
        <v>737</v>
      </c>
      <c r="K350" t="str">
        <f t="shared" si="45"/>
        <v>1021.7</v>
      </c>
      <c r="N350" t="str">
        <f t="shared" si="46"/>
        <v>HOLDING REGISTER</v>
      </c>
      <c r="O350" t="str">
        <f t="shared" si="47"/>
        <v>BOOL</v>
      </c>
      <c r="P350" t="str">
        <f t="shared" si="48"/>
        <v>DIFFERENZIALE/SOFTSTART 32RD1/17AVV1</v>
      </c>
      <c r="R350" t="str">
        <f t="shared" si="49"/>
        <v>QVE1 -INTERRUTTORE V1 DXALLARME SOFTSTART/DIFFERENZIALE</v>
      </c>
      <c r="U350" t="str">
        <f t="shared" si="50"/>
        <v>Allarme</v>
      </c>
      <c r="V350" t="str">
        <f t="shared" si="51"/>
        <v>QVE 1</v>
      </c>
      <c r="W350" t="str">
        <f t="shared" si="52"/>
        <v>CABINA PRINCIPALE</v>
      </c>
      <c r="Z350" t="str">
        <f t="shared" si="53"/>
        <v>10.220.80.16</v>
      </c>
    </row>
    <row r="351" spans="1:26" x14ac:dyDescent="0.25">
      <c r="A351" t="s">
        <v>10</v>
      </c>
      <c r="B351" t="s">
        <v>11</v>
      </c>
      <c r="C351" t="s">
        <v>3665</v>
      </c>
      <c r="D351" t="s">
        <v>552</v>
      </c>
      <c r="E351" t="s">
        <v>566</v>
      </c>
      <c r="F351" t="s">
        <v>14</v>
      </c>
      <c r="G351" t="s">
        <v>21</v>
      </c>
      <c r="H351" t="s">
        <v>22</v>
      </c>
      <c r="I351" t="s">
        <v>738</v>
      </c>
      <c r="J351" t="s">
        <v>739</v>
      </c>
      <c r="K351" t="str">
        <f t="shared" si="45"/>
        <v>1021.8</v>
      </c>
      <c r="N351" t="str">
        <f t="shared" si="46"/>
        <v>HOLDING REGISTER</v>
      </c>
      <c r="O351" t="str">
        <f t="shared" si="47"/>
        <v>BOOL</v>
      </c>
      <c r="P351" t="str">
        <f t="shared" si="48"/>
        <v>CONTATTORE 3K1</v>
      </c>
      <c r="R351" t="str">
        <f t="shared" si="49"/>
        <v>QVE1 -V1 DX IN MARCIA DIR. NORD</v>
      </c>
      <c r="U351" t="str">
        <f t="shared" si="50"/>
        <v>Stato</v>
      </c>
      <c r="V351" t="str">
        <f t="shared" si="51"/>
        <v>QVE 1</v>
      </c>
      <c r="W351" t="str">
        <f t="shared" si="52"/>
        <v>CABINA PRINCIPALE</v>
      </c>
      <c r="Z351" t="str">
        <f t="shared" si="53"/>
        <v>10.220.80.16</v>
      </c>
    </row>
    <row r="352" spans="1:26" x14ac:dyDescent="0.25">
      <c r="A352" t="s">
        <v>10</v>
      </c>
      <c r="B352" t="s">
        <v>11</v>
      </c>
      <c r="C352" t="s">
        <v>3665</v>
      </c>
      <c r="D352" t="s">
        <v>555</v>
      </c>
      <c r="E352" t="s">
        <v>569</v>
      </c>
      <c r="F352" t="s">
        <v>14</v>
      </c>
      <c r="G352" t="s">
        <v>21</v>
      </c>
      <c r="H352" t="s">
        <v>22</v>
      </c>
      <c r="I352" t="s">
        <v>740</v>
      </c>
      <c r="J352" t="s">
        <v>741</v>
      </c>
      <c r="K352" t="str">
        <f t="shared" si="45"/>
        <v>1021.9</v>
      </c>
      <c r="N352" t="str">
        <f t="shared" si="46"/>
        <v>HOLDING REGISTER</v>
      </c>
      <c r="O352" t="str">
        <f t="shared" si="47"/>
        <v>BOOL</v>
      </c>
      <c r="P352" t="str">
        <f t="shared" si="48"/>
        <v>SELETTORE 3S1</v>
      </c>
      <c r="R352" t="str">
        <f t="shared" si="49"/>
        <v>QVE1 -SELETTORE V1 DX IN AUTOMATICOMATICO DA QUADRO</v>
      </c>
      <c r="U352" t="str">
        <f t="shared" si="50"/>
        <v>Stato</v>
      </c>
      <c r="V352" t="str">
        <f t="shared" si="51"/>
        <v>QVE 1</v>
      </c>
      <c r="W352" t="str">
        <f t="shared" si="52"/>
        <v>CABINA PRINCIPALE</v>
      </c>
      <c r="Z352" t="str">
        <f t="shared" si="53"/>
        <v>10.220.80.16</v>
      </c>
    </row>
    <row r="353" spans="1:26" x14ac:dyDescent="0.25">
      <c r="A353" t="s">
        <v>10</v>
      </c>
      <c r="B353" t="s">
        <v>11</v>
      </c>
      <c r="C353" t="s">
        <v>3665</v>
      </c>
      <c r="D353" t="s">
        <v>552</v>
      </c>
      <c r="E353" t="s">
        <v>742</v>
      </c>
      <c r="F353" t="s">
        <v>14</v>
      </c>
      <c r="G353" t="s">
        <v>21</v>
      </c>
      <c r="H353" t="s">
        <v>22</v>
      </c>
      <c r="I353" t="s">
        <v>743</v>
      </c>
      <c r="J353" t="s">
        <v>744</v>
      </c>
      <c r="K353" t="str">
        <f t="shared" si="45"/>
        <v>1021.10</v>
      </c>
      <c r="N353" t="str">
        <f t="shared" si="46"/>
        <v>HOLDING REGISTER</v>
      </c>
      <c r="O353" t="str">
        <f t="shared" si="47"/>
        <v>BOOL</v>
      </c>
      <c r="P353" t="str">
        <f t="shared" si="48"/>
        <v>CONTATTORE 3K2</v>
      </c>
      <c r="R353" t="str">
        <f t="shared" si="49"/>
        <v>QVE1 -V1 DX IN MARCIA DIR. SUD</v>
      </c>
      <c r="U353" t="str">
        <f t="shared" si="50"/>
        <v>Stato</v>
      </c>
      <c r="V353" t="str">
        <f t="shared" si="51"/>
        <v>QVE 1</v>
      </c>
      <c r="W353" t="str">
        <f t="shared" si="52"/>
        <v>CABINA PRINCIPALE</v>
      </c>
      <c r="Z353" t="str">
        <f t="shared" si="53"/>
        <v>10.220.80.16</v>
      </c>
    </row>
    <row r="354" spans="1:26" x14ac:dyDescent="0.25">
      <c r="A354" t="s">
        <v>10</v>
      </c>
      <c r="B354" t="s">
        <v>11</v>
      </c>
      <c r="C354" t="s">
        <v>3665</v>
      </c>
      <c r="D354" t="s">
        <v>552</v>
      </c>
      <c r="E354" t="s">
        <v>745</v>
      </c>
      <c r="F354" t="s">
        <v>14</v>
      </c>
      <c r="G354" t="s">
        <v>21</v>
      </c>
      <c r="H354" t="s">
        <v>22</v>
      </c>
      <c r="I354" t="s">
        <v>746</v>
      </c>
      <c r="J354" t="s">
        <v>747</v>
      </c>
      <c r="K354" t="str">
        <f t="shared" si="45"/>
        <v>1021.11</v>
      </c>
      <c r="N354" t="str">
        <f t="shared" si="46"/>
        <v>HOLDING REGISTER</v>
      </c>
      <c r="O354" t="str">
        <f t="shared" si="47"/>
        <v>BOOL</v>
      </c>
      <c r="P354" t="str">
        <f t="shared" si="48"/>
        <v>CONTATTORE 17K3</v>
      </c>
      <c r="R354" t="str">
        <f t="shared" si="49"/>
        <v>QVE1 -V1 DX CONTATTORE BY-PASS AVVIATORE</v>
      </c>
      <c r="U354" t="str">
        <f t="shared" si="50"/>
        <v>Stato</v>
      </c>
      <c r="V354" t="str">
        <f t="shared" si="51"/>
        <v>QVE 1</v>
      </c>
      <c r="W354" t="str">
        <f t="shared" si="52"/>
        <v>CABINA PRINCIPALE</v>
      </c>
      <c r="Z354" t="str">
        <f t="shared" si="53"/>
        <v>10.220.80.16</v>
      </c>
    </row>
    <row r="355" spans="1:26" x14ac:dyDescent="0.25">
      <c r="A355" t="s">
        <v>10</v>
      </c>
      <c r="B355" t="s">
        <v>11</v>
      </c>
      <c r="C355" t="s">
        <v>3665</v>
      </c>
      <c r="D355" t="s">
        <v>734</v>
      </c>
      <c r="E355" t="s">
        <v>748</v>
      </c>
      <c r="F355" t="s">
        <v>14</v>
      </c>
      <c r="G355" t="s">
        <v>28</v>
      </c>
      <c r="H355" t="s">
        <v>22</v>
      </c>
      <c r="I355" t="s">
        <v>749</v>
      </c>
      <c r="J355" t="s">
        <v>750</v>
      </c>
      <c r="K355" t="str">
        <f t="shared" si="45"/>
        <v>1021.12</v>
      </c>
      <c r="N355" t="str">
        <f t="shared" si="46"/>
        <v>HOLDING REGISTER</v>
      </c>
      <c r="O355" t="str">
        <f t="shared" si="47"/>
        <v>BOOL</v>
      </c>
      <c r="P355" t="str">
        <f t="shared" si="48"/>
        <v>DIFFERENZIALE/SOFTSTART 33RD1/18AVV1</v>
      </c>
      <c r="R355" t="str">
        <f t="shared" si="49"/>
        <v>QVE1 -INTERRUTTORE V1 SXALLARME SOFTSTART/DIFFERENZIALE</v>
      </c>
      <c r="U355" t="str">
        <f t="shared" si="50"/>
        <v>Allarme</v>
      </c>
      <c r="V355" t="str">
        <f t="shared" si="51"/>
        <v>QVE 1</v>
      </c>
      <c r="W355" t="str">
        <f t="shared" si="52"/>
        <v>CABINA PRINCIPALE</v>
      </c>
      <c r="Z355" t="str">
        <f t="shared" si="53"/>
        <v>10.220.80.16</v>
      </c>
    </row>
    <row r="356" spans="1:26" x14ac:dyDescent="0.25">
      <c r="A356" t="s">
        <v>10</v>
      </c>
      <c r="B356" t="s">
        <v>11</v>
      </c>
      <c r="C356" t="s">
        <v>3665</v>
      </c>
      <c r="D356" t="s">
        <v>552</v>
      </c>
      <c r="E356" t="s">
        <v>751</v>
      </c>
      <c r="F356" t="s">
        <v>14</v>
      </c>
      <c r="G356" t="s">
        <v>21</v>
      </c>
      <c r="H356" t="s">
        <v>22</v>
      </c>
      <c r="I356" t="s">
        <v>752</v>
      </c>
      <c r="J356" t="s">
        <v>753</v>
      </c>
      <c r="K356" t="str">
        <f t="shared" si="45"/>
        <v>1021.13</v>
      </c>
      <c r="N356" t="str">
        <f t="shared" si="46"/>
        <v>HOLDING REGISTER</v>
      </c>
      <c r="O356" t="str">
        <f t="shared" si="47"/>
        <v>BOOL</v>
      </c>
      <c r="P356" t="str">
        <f t="shared" si="48"/>
        <v>CONTATTORE 4K1</v>
      </c>
      <c r="R356" t="str">
        <f t="shared" si="49"/>
        <v>QVE1 -V1 SX IN MARCIA DIR. NORD</v>
      </c>
      <c r="U356" t="str">
        <f t="shared" si="50"/>
        <v>Stato</v>
      </c>
      <c r="V356" t="str">
        <f t="shared" si="51"/>
        <v>QVE 1</v>
      </c>
      <c r="W356" t="str">
        <f t="shared" si="52"/>
        <v>CABINA PRINCIPALE</v>
      </c>
      <c r="Z356" t="str">
        <f t="shared" si="53"/>
        <v>10.220.80.16</v>
      </c>
    </row>
    <row r="357" spans="1:26" x14ac:dyDescent="0.25">
      <c r="A357" t="s">
        <v>10</v>
      </c>
      <c r="B357" t="s">
        <v>11</v>
      </c>
      <c r="C357" t="s">
        <v>3665</v>
      </c>
      <c r="D357" t="s">
        <v>555</v>
      </c>
      <c r="E357" t="s">
        <v>754</v>
      </c>
      <c r="F357" t="s">
        <v>14</v>
      </c>
      <c r="G357" t="s">
        <v>21</v>
      </c>
      <c r="H357" t="s">
        <v>22</v>
      </c>
      <c r="I357" t="s">
        <v>755</v>
      </c>
      <c r="J357" t="s">
        <v>756</v>
      </c>
      <c r="K357" t="str">
        <f t="shared" si="45"/>
        <v>1021.14</v>
      </c>
      <c r="N357" t="str">
        <f t="shared" si="46"/>
        <v>HOLDING REGISTER</v>
      </c>
      <c r="O357" t="str">
        <f t="shared" si="47"/>
        <v>BOOL</v>
      </c>
      <c r="P357" t="str">
        <f t="shared" si="48"/>
        <v>SELETTORE 4S1</v>
      </c>
      <c r="R357" t="str">
        <f t="shared" si="49"/>
        <v>QVE1 -SELETTORE V1 SX IN AUTOMATICOMATICO DA QUADRO</v>
      </c>
      <c r="U357" t="str">
        <f t="shared" si="50"/>
        <v>Stato</v>
      </c>
      <c r="V357" t="str">
        <f t="shared" si="51"/>
        <v>QVE 1</v>
      </c>
      <c r="W357" t="str">
        <f t="shared" si="52"/>
        <v>CABINA PRINCIPALE</v>
      </c>
      <c r="Z357" t="str">
        <f t="shared" si="53"/>
        <v>10.220.80.16</v>
      </c>
    </row>
    <row r="358" spans="1:26" x14ac:dyDescent="0.25">
      <c r="A358" t="s">
        <v>10</v>
      </c>
      <c r="B358" t="s">
        <v>11</v>
      </c>
      <c r="C358" t="s">
        <v>3665</v>
      </c>
      <c r="D358" t="s">
        <v>552</v>
      </c>
      <c r="E358" t="s">
        <v>757</v>
      </c>
      <c r="F358" t="s">
        <v>14</v>
      </c>
      <c r="G358" t="s">
        <v>21</v>
      </c>
      <c r="H358" t="s">
        <v>22</v>
      </c>
      <c r="I358" t="s">
        <v>758</v>
      </c>
      <c r="J358" t="s">
        <v>759</v>
      </c>
      <c r="K358" t="str">
        <f t="shared" si="45"/>
        <v>1021.15</v>
      </c>
      <c r="N358" t="str">
        <f t="shared" si="46"/>
        <v>HOLDING REGISTER</v>
      </c>
      <c r="O358" t="str">
        <f t="shared" si="47"/>
        <v>BOOL</v>
      </c>
      <c r="P358" t="str">
        <f t="shared" si="48"/>
        <v>CONTATTORE 4K2</v>
      </c>
      <c r="R358" t="str">
        <f t="shared" si="49"/>
        <v>QVE1 -V1 SX IN MARCIA DIR. SUD</v>
      </c>
      <c r="U358" t="str">
        <f t="shared" si="50"/>
        <v>Stato</v>
      </c>
      <c r="V358" t="str">
        <f t="shared" si="51"/>
        <v>QVE 1</v>
      </c>
      <c r="W358" t="str">
        <f t="shared" si="52"/>
        <v>CABINA PRINCIPALE</v>
      </c>
      <c r="Z358" t="str">
        <f t="shared" si="53"/>
        <v>10.220.80.16</v>
      </c>
    </row>
    <row r="359" spans="1:26" x14ac:dyDescent="0.25">
      <c r="A359" t="s">
        <v>10</v>
      </c>
      <c r="B359" t="s">
        <v>11</v>
      </c>
      <c r="C359" t="s">
        <v>3665</v>
      </c>
      <c r="D359" t="s">
        <v>552</v>
      </c>
      <c r="E359" t="s">
        <v>760</v>
      </c>
      <c r="F359" t="s">
        <v>14</v>
      </c>
      <c r="G359" t="s">
        <v>21</v>
      </c>
      <c r="H359" t="s">
        <v>22</v>
      </c>
      <c r="I359" t="s">
        <v>761</v>
      </c>
      <c r="J359" t="s">
        <v>762</v>
      </c>
      <c r="K359" t="str">
        <f t="shared" si="45"/>
        <v>1022.0</v>
      </c>
      <c r="N359" t="str">
        <f t="shared" si="46"/>
        <v>HOLDING REGISTER</v>
      </c>
      <c r="O359" t="str">
        <f t="shared" si="47"/>
        <v>BOOL</v>
      </c>
      <c r="P359" t="str">
        <f t="shared" si="48"/>
        <v>CONTATTORE 18K3</v>
      </c>
      <c r="R359" t="str">
        <f t="shared" si="49"/>
        <v>QVE1 -V1 SX CONTATTORE BY-PASS AVVIATORE</v>
      </c>
      <c r="U359" t="str">
        <f t="shared" si="50"/>
        <v>Stato</v>
      </c>
      <c r="V359" t="str">
        <f t="shared" si="51"/>
        <v>QVE 1</v>
      </c>
      <c r="W359" t="str">
        <f t="shared" si="52"/>
        <v>CABINA PRINCIPALE</v>
      </c>
      <c r="Z359" t="str">
        <f t="shared" si="53"/>
        <v>10.220.80.16</v>
      </c>
    </row>
    <row r="360" spans="1:26" x14ac:dyDescent="0.25">
      <c r="A360" t="s">
        <v>10</v>
      </c>
      <c r="B360" t="s">
        <v>11</v>
      </c>
      <c r="C360" t="s">
        <v>3665</v>
      </c>
      <c r="D360" t="s">
        <v>734</v>
      </c>
      <c r="E360" t="s">
        <v>763</v>
      </c>
      <c r="F360" t="s">
        <v>14</v>
      </c>
      <c r="G360" t="s">
        <v>28</v>
      </c>
      <c r="H360" t="s">
        <v>22</v>
      </c>
      <c r="I360" t="s">
        <v>764</v>
      </c>
      <c r="J360" t="s">
        <v>765</v>
      </c>
      <c r="K360" t="str">
        <f t="shared" si="45"/>
        <v>1022.1</v>
      </c>
      <c r="N360" t="str">
        <f t="shared" si="46"/>
        <v>HOLDING REGISTER</v>
      </c>
      <c r="O360" t="str">
        <f t="shared" si="47"/>
        <v>BOOL</v>
      </c>
      <c r="P360" t="str">
        <f t="shared" si="48"/>
        <v>DIFFERENZIALE/SOFTSTART 34RD1/19AVV1</v>
      </c>
      <c r="R360" t="str">
        <f t="shared" si="49"/>
        <v>QVE1 -INTERRUTTORE V2 DXALLARME SOFTSTART/DIFFERENZIALE</v>
      </c>
      <c r="U360" t="str">
        <f t="shared" si="50"/>
        <v>Allarme</v>
      </c>
      <c r="V360" t="str">
        <f t="shared" si="51"/>
        <v>QVE 1</v>
      </c>
      <c r="W360" t="str">
        <f t="shared" si="52"/>
        <v>CABINA PRINCIPALE</v>
      </c>
      <c r="Z360" t="str">
        <f t="shared" si="53"/>
        <v>10.220.80.16</v>
      </c>
    </row>
    <row r="361" spans="1:26" x14ac:dyDescent="0.25">
      <c r="A361" t="s">
        <v>10</v>
      </c>
      <c r="B361" t="s">
        <v>11</v>
      </c>
      <c r="C361" t="s">
        <v>3665</v>
      </c>
      <c r="D361" t="s">
        <v>552</v>
      </c>
      <c r="E361" t="s">
        <v>766</v>
      </c>
      <c r="F361" t="s">
        <v>14</v>
      </c>
      <c r="G361" t="s">
        <v>21</v>
      </c>
      <c r="H361" t="s">
        <v>22</v>
      </c>
      <c r="I361" t="s">
        <v>767</v>
      </c>
      <c r="J361" t="s">
        <v>768</v>
      </c>
      <c r="K361" t="str">
        <f t="shared" si="45"/>
        <v>1022.2</v>
      </c>
      <c r="N361" t="str">
        <f t="shared" si="46"/>
        <v>HOLDING REGISTER</v>
      </c>
      <c r="O361" t="str">
        <f t="shared" si="47"/>
        <v>BOOL</v>
      </c>
      <c r="P361" t="str">
        <f t="shared" si="48"/>
        <v>CONTATTORE 5K1</v>
      </c>
      <c r="R361" t="str">
        <f t="shared" si="49"/>
        <v>QVE1 -V2 DX IN MARCIA DIR. NORD</v>
      </c>
      <c r="U361" t="str">
        <f t="shared" si="50"/>
        <v>Stato</v>
      </c>
      <c r="V361" t="str">
        <f t="shared" si="51"/>
        <v>QVE 1</v>
      </c>
      <c r="W361" t="str">
        <f t="shared" si="52"/>
        <v>CABINA PRINCIPALE</v>
      </c>
      <c r="Z361" t="str">
        <f t="shared" si="53"/>
        <v>10.220.80.16</v>
      </c>
    </row>
    <row r="362" spans="1:26" x14ac:dyDescent="0.25">
      <c r="A362" t="s">
        <v>10</v>
      </c>
      <c r="B362" t="s">
        <v>11</v>
      </c>
      <c r="C362" t="s">
        <v>3665</v>
      </c>
      <c r="D362" t="s">
        <v>555</v>
      </c>
      <c r="E362" t="s">
        <v>769</v>
      </c>
      <c r="F362" t="s">
        <v>14</v>
      </c>
      <c r="G362" t="s">
        <v>21</v>
      </c>
      <c r="H362" t="s">
        <v>22</v>
      </c>
      <c r="I362" t="s">
        <v>770</v>
      </c>
      <c r="J362" t="s">
        <v>771</v>
      </c>
      <c r="K362" t="str">
        <f t="shared" si="45"/>
        <v>1022.3</v>
      </c>
      <c r="N362" t="str">
        <f t="shared" si="46"/>
        <v>HOLDING REGISTER</v>
      </c>
      <c r="O362" t="str">
        <f t="shared" si="47"/>
        <v>BOOL</v>
      </c>
      <c r="P362" t="str">
        <f t="shared" si="48"/>
        <v>SELETTORE 5S1</v>
      </c>
      <c r="R362" t="str">
        <f t="shared" si="49"/>
        <v>QVE1 -SELETTORE V2 DX IN AUTOMATICOMATICO DA QUADRO</v>
      </c>
      <c r="U362" t="str">
        <f t="shared" si="50"/>
        <v>Stato</v>
      </c>
      <c r="V362" t="str">
        <f t="shared" si="51"/>
        <v>QVE 1</v>
      </c>
      <c r="W362" t="str">
        <f t="shared" si="52"/>
        <v>CABINA PRINCIPALE</v>
      </c>
      <c r="Z362" t="str">
        <f t="shared" si="53"/>
        <v>10.220.80.16</v>
      </c>
    </row>
    <row r="363" spans="1:26" x14ac:dyDescent="0.25">
      <c r="A363" t="s">
        <v>10</v>
      </c>
      <c r="B363" t="s">
        <v>11</v>
      </c>
      <c r="C363" t="s">
        <v>3665</v>
      </c>
      <c r="D363" t="s">
        <v>552</v>
      </c>
      <c r="E363" t="s">
        <v>772</v>
      </c>
      <c r="F363" t="s">
        <v>14</v>
      </c>
      <c r="G363" t="s">
        <v>21</v>
      </c>
      <c r="H363" t="s">
        <v>22</v>
      </c>
      <c r="I363" t="s">
        <v>773</v>
      </c>
      <c r="J363" t="s">
        <v>774</v>
      </c>
      <c r="K363" t="str">
        <f t="shared" si="45"/>
        <v>1022.4</v>
      </c>
      <c r="N363" t="str">
        <f t="shared" si="46"/>
        <v>HOLDING REGISTER</v>
      </c>
      <c r="O363" t="str">
        <f t="shared" si="47"/>
        <v>BOOL</v>
      </c>
      <c r="P363" t="str">
        <f t="shared" si="48"/>
        <v>CONTATTORE 5K2</v>
      </c>
      <c r="R363" t="str">
        <f t="shared" si="49"/>
        <v>QVE1 -V2 DX IN MARCIA DIR. SUD</v>
      </c>
      <c r="U363" t="str">
        <f t="shared" si="50"/>
        <v>Stato</v>
      </c>
      <c r="V363" t="str">
        <f t="shared" si="51"/>
        <v>QVE 1</v>
      </c>
      <c r="W363" t="str">
        <f t="shared" si="52"/>
        <v>CABINA PRINCIPALE</v>
      </c>
      <c r="Z363" t="str">
        <f t="shared" si="53"/>
        <v>10.220.80.16</v>
      </c>
    </row>
    <row r="364" spans="1:26" x14ac:dyDescent="0.25">
      <c r="A364" t="s">
        <v>10</v>
      </c>
      <c r="B364" t="s">
        <v>11</v>
      </c>
      <c r="C364" t="s">
        <v>3665</v>
      </c>
      <c r="D364" t="s">
        <v>552</v>
      </c>
      <c r="E364" t="s">
        <v>775</v>
      </c>
      <c r="F364" t="s">
        <v>14</v>
      </c>
      <c r="G364" t="s">
        <v>21</v>
      </c>
      <c r="H364" t="s">
        <v>22</v>
      </c>
      <c r="I364" t="s">
        <v>776</v>
      </c>
      <c r="J364" t="s">
        <v>777</v>
      </c>
      <c r="K364" t="str">
        <f t="shared" si="45"/>
        <v>1022.5</v>
      </c>
      <c r="N364" t="str">
        <f t="shared" si="46"/>
        <v>HOLDING REGISTER</v>
      </c>
      <c r="O364" t="str">
        <f t="shared" si="47"/>
        <v>BOOL</v>
      </c>
      <c r="P364" t="str">
        <f t="shared" si="48"/>
        <v>CONTATTORE 19K3</v>
      </c>
      <c r="R364" t="str">
        <f t="shared" si="49"/>
        <v>QVE1 -V2 DX CONTATTORE BY-PASS AVVIATORE</v>
      </c>
      <c r="U364" t="str">
        <f t="shared" si="50"/>
        <v>Stato</v>
      </c>
      <c r="V364" t="str">
        <f t="shared" si="51"/>
        <v>QVE 1</v>
      </c>
      <c r="W364" t="str">
        <f t="shared" si="52"/>
        <v>CABINA PRINCIPALE</v>
      </c>
      <c r="Z364" t="str">
        <f t="shared" si="53"/>
        <v>10.220.80.16</v>
      </c>
    </row>
    <row r="365" spans="1:26" x14ac:dyDescent="0.25">
      <c r="A365" t="s">
        <v>10</v>
      </c>
      <c r="B365" t="s">
        <v>11</v>
      </c>
      <c r="C365" t="s">
        <v>3665</v>
      </c>
      <c r="D365" t="s">
        <v>734</v>
      </c>
      <c r="E365" t="s">
        <v>778</v>
      </c>
      <c r="F365" t="s">
        <v>14</v>
      </c>
      <c r="G365" t="s">
        <v>28</v>
      </c>
      <c r="H365" t="s">
        <v>22</v>
      </c>
      <c r="I365" t="s">
        <v>779</v>
      </c>
      <c r="J365" t="s">
        <v>780</v>
      </c>
      <c r="K365" t="str">
        <f t="shared" si="45"/>
        <v>1022.6</v>
      </c>
      <c r="N365" t="str">
        <f t="shared" si="46"/>
        <v>HOLDING REGISTER</v>
      </c>
      <c r="O365" t="str">
        <f t="shared" si="47"/>
        <v>BOOL</v>
      </c>
      <c r="P365" t="str">
        <f t="shared" si="48"/>
        <v>DIFFERENZIALE/SOFTSTART 35RD1/20AVV1</v>
      </c>
      <c r="R365" t="str">
        <f t="shared" si="49"/>
        <v>QVE1 -INTERRUTTORE V2 SXALLARME SOFTSTART/DIFFERENZIALE</v>
      </c>
      <c r="U365" t="str">
        <f t="shared" si="50"/>
        <v>Allarme</v>
      </c>
      <c r="V365" t="str">
        <f t="shared" si="51"/>
        <v>QVE 1</v>
      </c>
      <c r="W365" t="str">
        <f t="shared" si="52"/>
        <v>CABINA PRINCIPALE</v>
      </c>
      <c r="Z365" t="str">
        <f t="shared" si="53"/>
        <v>10.220.80.16</v>
      </c>
    </row>
    <row r="366" spans="1:26" x14ac:dyDescent="0.25">
      <c r="A366" t="s">
        <v>10</v>
      </c>
      <c r="B366" t="s">
        <v>11</v>
      </c>
      <c r="C366" t="s">
        <v>3665</v>
      </c>
      <c r="D366" t="s">
        <v>552</v>
      </c>
      <c r="E366" t="s">
        <v>781</v>
      </c>
      <c r="F366" t="s">
        <v>14</v>
      </c>
      <c r="G366" t="s">
        <v>21</v>
      </c>
      <c r="H366" t="s">
        <v>22</v>
      </c>
      <c r="I366" t="s">
        <v>782</v>
      </c>
      <c r="J366" t="s">
        <v>783</v>
      </c>
      <c r="K366" t="str">
        <f t="shared" si="45"/>
        <v>1022.7</v>
      </c>
      <c r="N366" t="str">
        <f t="shared" si="46"/>
        <v>HOLDING REGISTER</v>
      </c>
      <c r="O366" t="str">
        <f t="shared" si="47"/>
        <v>BOOL</v>
      </c>
      <c r="P366" t="str">
        <f t="shared" si="48"/>
        <v>CONTATTORE 6K1</v>
      </c>
      <c r="R366" t="str">
        <f t="shared" si="49"/>
        <v>QVE1 -V2 SX IN MARCIA DIR. NORD</v>
      </c>
      <c r="U366" t="str">
        <f t="shared" si="50"/>
        <v>Stato</v>
      </c>
      <c r="V366" t="str">
        <f t="shared" si="51"/>
        <v>QVE 1</v>
      </c>
      <c r="W366" t="str">
        <f t="shared" si="52"/>
        <v>CABINA PRINCIPALE</v>
      </c>
      <c r="Z366" t="str">
        <f t="shared" si="53"/>
        <v>10.220.80.16</v>
      </c>
    </row>
    <row r="367" spans="1:26" x14ac:dyDescent="0.25">
      <c r="A367" t="s">
        <v>10</v>
      </c>
      <c r="B367" t="s">
        <v>11</v>
      </c>
      <c r="C367" t="s">
        <v>3665</v>
      </c>
      <c r="D367" t="s">
        <v>555</v>
      </c>
      <c r="E367" t="s">
        <v>784</v>
      </c>
      <c r="F367" t="s">
        <v>14</v>
      </c>
      <c r="G367" t="s">
        <v>21</v>
      </c>
      <c r="H367" t="s">
        <v>22</v>
      </c>
      <c r="I367" t="s">
        <v>785</v>
      </c>
      <c r="J367" t="s">
        <v>786</v>
      </c>
      <c r="K367" t="str">
        <f t="shared" si="45"/>
        <v>1022.8</v>
      </c>
      <c r="N367" t="str">
        <f t="shared" si="46"/>
        <v>HOLDING REGISTER</v>
      </c>
      <c r="O367" t="str">
        <f t="shared" si="47"/>
        <v>BOOL</v>
      </c>
      <c r="P367" t="str">
        <f t="shared" si="48"/>
        <v>SELETTORE 6S1</v>
      </c>
      <c r="R367" t="str">
        <f t="shared" si="49"/>
        <v>QVE1 -SELETTORE V2 SX IN AUTOMATICOMATICO DA QUADRO</v>
      </c>
      <c r="U367" t="str">
        <f t="shared" si="50"/>
        <v>Stato</v>
      </c>
      <c r="V367" t="str">
        <f t="shared" si="51"/>
        <v>QVE 1</v>
      </c>
      <c r="W367" t="str">
        <f t="shared" si="52"/>
        <v>CABINA PRINCIPALE</v>
      </c>
      <c r="Z367" t="str">
        <f t="shared" si="53"/>
        <v>10.220.80.16</v>
      </c>
    </row>
    <row r="368" spans="1:26" x14ac:dyDescent="0.25">
      <c r="A368" t="s">
        <v>10</v>
      </c>
      <c r="B368" t="s">
        <v>11</v>
      </c>
      <c r="C368" t="s">
        <v>3665</v>
      </c>
      <c r="D368" t="s">
        <v>552</v>
      </c>
      <c r="E368" t="s">
        <v>787</v>
      </c>
      <c r="F368" t="s">
        <v>14</v>
      </c>
      <c r="G368" t="s">
        <v>21</v>
      </c>
      <c r="H368" t="s">
        <v>22</v>
      </c>
      <c r="I368" t="s">
        <v>788</v>
      </c>
      <c r="J368" t="s">
        <v>789</v>
      </c>
      <c r="K368" t="str">
        <f t="shared" si="45"/>
        <v>1022.9</v>
      </c>
      <c r="N368" t="str">
        <f t="shared" si="46"/>
        <v>HOLDING REGISTER</v>
      </c>
      <c r="O368" t="str">
        <f t="shared" si="47"/>
        <v>BOOL</v>
      </c>
      <c r="P368" t="str">
        <f t="shared" si="48"/>
        <v>CONTATTORE 6K2</v>
      </c>
      <c r="R368" t="str">
        <f t="shared" si="49"/>
        <v>QVE1 -V2 SX IN MARCIA DIR. SUD</v>
      </c>
      <c r="U368" t="str">
        <f t="shared" si="50"/>
        <v>Stato</v>
      </c>
      <c r="V368" t="str">
        <f t="shared" si="51"/>
        <v>QVE 1</v>
      </c>
      <c r="W368" t="str">
        <f t="shared" si="52"/>
        <v>CABINA PRINCIPALE</v>
      </c>
      <c r="Z368" t="str">
        <f t="shared" si="53"/>
        <v>10.220.80.16</v>
      </c>
    </row>
    <row r="369" spans="1:26" x14ac:dyDescent="0.25">
      <c r="A369" t="s">
        <v>10</v>
      </c>
      <c r="B369" t="s">
        <v>11</v>
      </c>
      <c r="C369" t="s">
        <v>3665</v>
      </c>
      <c r="D369" t="s">
        <v>552</v>
      </c>
      <c r="E369" t="s">
        <v>790</v>
      </c>
      <c r="F369" t="s">
        <v>14</v>
      </c>
      <c r="G369" t="s">
        <v>21</v>
      </c>
      <c r="H369" t="s">
        <v>22</v>
      </c>
      <c r="I369" t="s">
        <v>791</v>
      </c>
      <c r="J369" t="s">
        <v>792</v>
      </c>
      <c r="K369" t="str">
        <f t="shared" si="45"/>
        <v>1022.10</v>
      </c>
      <c r="N369" t="str">
        <f t="shared" si="46"/>
        <v>HOLDING REGISTER</v>
      </c>
      <c r="O369" t="str">
        <f t="shared" si="47"/>
        <v>BOOL</v>
      </c>
      <c r="P369" t="str">
        <f t="shared" si="48"/>
        <v>CONTATTORE 20K3</v>
      </c>
      <c r="R369" t="str">
        <f t="shared" si="49"/>
        <v>QVE1 -V2 SX CONTATTORE BY-PASS AVVIATORE</v>
      </c>
      <c r="U369" t="str">
        <f t="shared" si="50"/>
        <v>Stato</v>
      </c>
      <c r="V369" t="str">
        <f t="shared" si="51"/>
        <v>QVE 1</v>
      </c>
      <c r="W369" t="str">
        <f t="shared" si="52"/>
        <v>CABINA PRINCIPALE</v>
      </c>
      <c r="Z369" t="str">
        <f t="shared" si="53"/>
        <v>10.220.80.16</v>
      </c>
    </row>
    <row r="370" spans="1:26" x14ac:dyDescent="0.25">
      <c r="A370" t="s">
        <v>10</v>
      </c>
      <c r="B370" t="s">
        <v>11</v>
      </c>
      <c r="C370" t="s">
        <v>3665</v>
      </c>
      <c r="D370" t="s">
        <v>734</v>
      </c>
      <c r="E370" t="s">
        <v>793</v>
      </c>
      <c r="F370" t="s">
        <v>14</v>
      </c>
      <c r="G370" t="s">
        <v>28</v>
      </c>
      <c r="H370" t="s">
        <v>22</v>
      </c>
      <c r="I370" t="s">
        <v>794</v>
      </c>
      <c r="J370" t="s">
        <v>795</v>
      </c>
      <c r="K370" t="str">
        <f t="shared" si="45"/>
        <v>1022.11</v>
      </c>
      <c r="N370" t="str">
        <f t="shared" si="46"/>
        <v>HOLDING REGISTER</v>
      </c>
      <c r="O370" t="str">
        <f t="shared" si="47"/>
        <v>BOOL</v>
      </c>
      <c r="P370" t="str">
        <f t="shared" si="48"/>
        <v>DIFFERENZIALE/SOFTSTART 36RD1/21AVV1</v>
      </c>
      <c r="R370" t="str">
        <f t="shared" si="49"/>
        <v>QVE1 -INTERRUTTORE V3 DXALLARME SOFTSTART/DIFFERENZIALE</v>
      </c>
      <c r="U370" t="str">
        <f t="shared" si="50"/>
        <v>Allarme</v>
      </c>
      <c r="V370" t="str">
        <f t="shared" si="51"/>
        <v>QVE 1</v>
      </c>
      <c r="W370" t="str">
        <f t="shared" si="52"/>
        <v>CABINA PRINCIPALE</v>
      </c>
      <c r="Z370" t="str">
        <f t="shared" si="53"/>
        <v>10.220.80.16</v>
      </c>
    </row>
    <row r="371" spans="1:26" x14ac:dyDescent="0.25">
      <c r="A371" t="s">
        <v>10</v>
      </c>
      <c r="B371" t="s">
        <v>11</v>
      </c>
      <c r="C371" t="s">
        <v>3665</v>
      </c>
      <c r="D371" t="s">
        <v>552</v>
      </c>
      <c r="E371" t="s">
        <v>796</v>
      </c>
      <c r="F371" t="s">
        <v>14</v>
      </c>
      <c r="G371" t="s">
        <v>21</v>
      </c>
      <c r="H371" t="s">
        <v>22</v>
      </c>
      <c r="I371" t="s">
        <v>797</v>
      </c>
      <c r="J371" t="s">
        <v>798</v>
      </c>
      <c r="K371" t="str">
        <f t="shared" si="45"/>
        <v>1022.12</v>
      </c>
      <c r="N371" t="str">
        <f t="shared" si="46"/>
        <v>HOLDING REGISTER</v>
      </c>
      <c r="O371" t="str">
        <f t="shared" si="47"/>
        <v>BOOL</v>
      </c>
      <c r="P371" t="str">
        <f t="shared" si="48"/>
        <v>CONTATTORE 7K1</v>
      </c>
      <c r="R371" t="str">
        <f t="shared" si="49"/>
        <v>QVE1 -V3 DX IN MARCIA DIR. NORD</v>
      </c>
      <c r="U371" t="str">
        <f t="shared" si="50"/>
        <v>Stato</v>
      </c>
      <c r="V371" t="str">
        <f t="shared" si="51"/>
        <v>QVE 1</v>
      </c>
      <c r="W371" t="str">
        <f t="shared" si="52"/>
        <v>CABINA PRINCIPALE</v>
      </c>
      <c r="Z371" t="str">
        <f t="shared" si="53"/>
        <v>10.220.80.16</v>
      </c>
    </row>
    <row r="372" spans="1:26" x14ac:dyDescent="0.25">
      <c r="A372" t="s">
        <v>10</v>
      </c>
      <c r="B372" t="s">
        <v>11</v>
      </c>
      <c r="C372" t="s">
        <v>3665</v>
      </c>
      <c r="D372" t="s">
        <v>555</v>
      </c>
      <c r="E372" t="s">
        <v>799</v>
      </c>
      <c r="F372" t="s">
        <v>14</v>
      </c>
      <c r="G372" t="s">
        <v>21</v>
      </c>
      <c r="H372" t="s">
        <v>22</v>
      </c>
      <c r="I372" t="s">
        <v>800</v>
      </c>
      <c r="J372" t="s">
        <v>801</v>
      </c>
      <c r="K372" t="str">
        <f t="shared" si="45"/>
        <v>1022.13</v>
      </c>
      <c r="N372" t="str">
        <f t="shared" si="46"/>
        <v>HOLDING REGISTER</v>
      </c>
      <c r="O372" t="str">
        <f t="shared" si="47"/>
        <v>BOOL</v>
      </c>
      <c r="P372" t="str">
        <f t="shared" si="48"/>
        <v>SELETTORE 7S1</v>
      </c>
      <c r="R372" t="str">
        <f t="shared" si="49"/>
        <v>QVE1 -SELETTORE V3 DX IN AUTOMATICOMATICO DA QUADRO</v>
      </c>
      <c r="U372" t="str">
        <f t="shared" si="50"/>
        <v>Stato</v>
      </c>
      <c r="V372" t="str">
        <f t="shared" si="51"/>
        <v>QVE 1</v>
      </c>
      <c r="W372" t="str">
        <f t="shared" si="52"/>
        <v>CABINA PRINCIPALE</v>
      </c>
      <c r="Z372" t="str">
        <f t="shared" si="53"/>
        <v>10.220.80.16</v>
      </c>
    </row>
    <row r="373" spans="1:26" x14ac:dyDescent="0.25">
      <c r="A373" t="s">
        <v>10</v>
      </c>
      <c r="B373" t="s">
        <v>11</v>
      </c>
      <c r="C373" t="s">
        <v>3665</v>
      </c>
      <c r="D373" t="s">
        <v>552</v>
      </c>
      <c r="E373" t="s">
        <v>802</v>
      </c>
      <c r="F373" t="s">
        <v>14</v>
      </c>
      <c r="G373" t="s">
        <v>21</v>
      </c>
      <c r="H373" t="s">
        <v>22</v>
      </c>
      <c r="I373" t="s">
        <v>803</v>
      </c>
      <c r="J373" t="s">
        <v>804</v>
      </c>
      <c r="K373" t="str">
        <f t="shared" si="45"/>
        <v>1022.14</v>
      </c>
      <c r="N373" t="str">
        <f t="shared" si="46"/>
        <v>HOLDING REGISTER</v>
      </c>
      <c r="O373" t="str">
        <f t="shared" si="47"/>
        <v>BOOL</v>
      </c>
      <c r="P373" t="str">
        <f t="shared" si="48"/>
        <v>CONTATTORE 7K2</v>
      </c>
      <c r="R373" t="str">
        <f t="shared" si="49"/>
        <v>QVE1 -V3 DX IN MARCIA DIR. SUD</v>
      </c>
      <c r="U373" t="str">
        <f t="shared" si="50"/>
        <v>Stato</v>
      </c>
      <c r="V373" t="str">
        <f t="shared" si="51"/>
        <v>QVE 1</v>
      </c>
      <c r="W373" t="str">
        <f t="shared" si="52"/>
        <v>CABINA PRINCIPALE</v>
      </c>
      <c r="Z373" t="str">
        <f t="shared" si="53"/>
        <v>10.220.80.16</v>
      </c>
    </row>
    <row r="374" spans="1:26" x14ac:dyDescent="0.25">
      <c r="A374" t="s">
        <v>10</v>
      </c>
      <c r="B374" t="s">
        <v>11</v>
      </c>
      <c r="C374" t="s">
        <v>3665</v>
      </c>
      <c r="D374" t="s">
        <v>552</v>
      </c>
      <c r="E374" t="s">
        <v>805</v>
      </c>
      <c r="F374" t="s">
        <v>14</v>
      </c>
      <c r="G374" t="s">
        <v>21</v>
      </c>
      <c r="H374" t="s">
        <v>22</v>
      </c>
      <c r="I374" t="s">
        <v>806</v>
      </c>
      <c r="J374" t="s">
        <v>807</v>
      </c>
      <c r="K374" t="str">
        <f t="shared" si="45"/>
        <v>1022.15</v>
      </c>
      <c r="N374" t="str">
        <f t="shared" si="46"/>
        <v>HOLDING REGISTER</v>
      </c>
      <c r="O374" t="str">
        <f t="shared" si="47"/>
        <v>BOOL</v>
      </c>
      <c r="P374" t="str">
        <f t="shared" si="48"/>
        <v>CONTATTORE 21K3</v>
      </c>
      <c r="R374" t="str">
        <f t="shared" si="49"/>
        <v>QVE1 -V3 DX CONTATTORE BY-PASS AVVIATORE</v>
      </c>
      <c r="U374" t="str">
        <f t="shared" si="50"/>
        <v>Stato</v>
      </c>
      <c r="V374" t="str">
        <f t="shared" si="51"/>
        <v>QVE 1</v>
      </c>
      <c r="W374" t="str">
        <f t="shared" si="52"/>
        <v>CABINA PRINCIPALE</v>
      </c>
      <c r="Z374" t="str">
        <f t="shared" si="53"/>
        <v>10.220.80.16</v>
      </c>
    </row>
    <row r="375" spans="1:26" x14ac:dyDescent="0.25">
      <c r="A375" t="s">
        <v>10</v>
      </c>
      <c r="B375" t="s">
        <v>11</v>
      </c>
      <c r="C375" t="s">
        <v>3665</v>
      </c>
      <c r="D375" t="s">
        <v>734</v>
      </c>
      <c r="E375" t="s">
        <v>808</v>
      </c>
      <c r="F375" t="s">
        <v>14</v>
      </c>
      <c r="G375" t="s">
        <v>28</v>
      </c>
      <c r="H375" t="s">
        <v>22</v>
      </c>
      <c r="I375" t="s">
        <v>809</v>
      </c>
      <c r="J375" t="s">
        <v>810</v>
      </c>
      <c r="K375" t="str">
        <f t="shared" si="45"/>
        <v>1023.0</v>
      </c>
      <c r="N375" t="str">
        <f t="shared" si="46"/>
        <v>HOLDING REGISTER</v>
      </c>
      <c r="O375" t="str">
        <f t="shared" si="47"/>
        <v>BOOL</v>
      </c>
      <c r="P375" t="str">
        <f t="shared" si="48"/>
        <v>DIFFERENZIALE/SOFTSTART 37RD1/22AVV1</v>
      </c>
      <c r="R375" t="str">
        <f t="shared" si="49"/>
        <v>QVE1 -INTERRUTTORE V3 SXALLARME SOFTSTART/DIFFERENZIALE</v>
      </c>
      <c r="U375" t="str">
        <f t="shared" si="50"/>
        <v>Allarme</v>
      </c>
      <c r="V375" t="str">
        <f t="shared" si="51"/>
        <v>QVE 1</v>
      </c>
      <c r="W375" t="str">
        <f t="shared" si="52"/>
        <v>CABINA PRINCIPALE</v>
      </c>
      <c r="Z375" t="str">
        <f t="shared" si="53"/>
        <v>10.220.80.16</v>
      </c>
    </row>
    <row r="376" spans="1:26" x14ac:dyDescent="0.25">
      <c r="A376" t="s">
        <v>10</v>
      </c>
      <c r="B376" t="s">
        <v>11</v>
      </c>
      <c r="C376" t="s">
        <v>3665</v>
      </c>
      <c r="D376" t="s">
        <v>552</v>
      </c>
      <c r="E376" t="s">
        <v>811</v>
      </c>
      <c r="F376" t="s">
        <v>14</v>
      </c>
      <c r="G376" t="s">
        <v>21</v>
      </c>
      <c r="H376" t="s">
        <v>22</v>
      </c>
      <c r="I376" t="s">
        <v>812</v>
      </c>
      <c r="J376" t="s">
        <v>813</v>
      </c>
      <c r="K376" t="str">
        <f t="shared" si="45"/>
        <v>1023.1</v>
      </c>
      <c r="N376" t="str">
        <f t="shared" si="46"/>
        <v>HOLDING REGISTER</v>
      </c>
      <c r="O376" t="str">
        <f t="shared" si="47"/>
        <v>BOOL</v>
      </c>
      <c r="P376" t="str">
        <f t="shared" si="48"/>
        <v>CONTATTORE 8K1</v>
      </c>
      <c r="R376" t="str">
        <f t="shared" si="49"/>
        <v>QVE1 -V3 SX IN MARCIA DIR. NORD</v>
      </c>
      <c r="U376" t="str">
        <f t="shared" si="50"/>
        <v>Stato</v>
      </c>
      <c r="V376" t="str">
        <f t="shared" si="51"/>
        <v>QVE 1</v>
      </c>
      <c r="W376" t="str">
        <f t="shared" si="52"/>
        <v>CABINA PRINCIPALE</v>
      </c>
      <c r="Z376" t="str">
        <f t="shared" si="53"/>
        <v>10.220.80.16</v>
      </c>
    </row>
    <row r="377" spans="1:26" x14ac:dyDescent="0.25">
      <c r="A377" t="s">
        <v>10</v>
      </c>
      <c r="B377" t="s">
        <v>11</v>
      </c>
      <c r="C377" t="s">
        <v>3665</v>
      </c>
      <c r="D377" t="s">
        <v>555</v>
      </c>
      <c r="E377" t="s">
        <v>814</v>
      </c>
      <c r="F377" t="s">
        <v>14</v>
      </c>
      <c r="G377" t="s">
        <v>21</v>
      </c>
      <c r="H377" t="s">
        <v>22</v>
      </c>
      <c r="I377" t="s">
        <v>815</v>
      </c>
      <c r="J377" t="s">
        <v>816</v>
      </c>
      <c r="K377" t="str">
        <f t="shared" si="45"/>
        <v>1023.2</v>
      </c>
      <c r="N377" t="str">
        <f t="shared" si="46"/>
        <v>HOLDING REGISTER</v>
      </c>
      <c r="O377" t="str">
        <f t="shared" si="47"/>
        <v>BOOL</v>
      </c>
      <c r="P377" t="str">
        <f t="shared" si="48"/>
        <v>SELETTORE 8S1</v>
      </c>
      <c r="R377" t="str">
        <f t="shared" si="49"/>
        <v>QVE1 -SELETTORE V3 SX IN AUTOMATICOMATICO DA QUADRO</v>
      </c>
      <c r="U377" t="str">
        <f t="shared" si="50"/>
        <v>Stato</v>
      </c>
      <c r="V377" t="str">
        <f t="shared" si="51"/>
        <v>QVE 1</v>
      </c>
      <c r="W377" t="str">
        <f t="shared" si="52"/>
        <v>CABINA PRINCIPALE</v>
      </c>
      <c r="Z377" t="str">
        <f t="shared" si="53"/>
        <v>10.220.80.16</v>
      </c>
    </row>
    <row r="378" spans="1:26" x14ac:dyDescent="0.25">
      <c r="A378" t="s">
        <v>10</v>
      </c>
      <c r="B378" t="s">
        <v>11</v>
      </c>
      <c r="C378" t="s">
        <v>3665</v>
      </c>
      <c r="D378" t="s">
        <v>552</v>
      </c>
      <c r="E378" t="s">
        <v>817</v>
      </c>
      <c r="F378" t="s">
        <v>14</v>
      </c>
      <c r="G378" t="s">
        <v>21</v>
      </c>
      <c r="H378" t="s">
        <v>22</v>
      </c>
      <c r="I378" t="s">
        <v>818</v>
      </c>
      <c r="J378" t="s">
        <v>819</v>
      </c>
      <c r="K378" t="str">
        <f t="shared" si="45"/>
        <v>1023.3</v>
      </c>
      <c r="N378" t="str">
        <f t="shared" si="46"/>
        <v>HOLDING REGISTER</v>
      </c>
      <c r="O378" t="str">
        <f t="shared" si="47"/>
        <v>BOOL</v>
      </c>
      <c r="P378" t="str">
        <f t="shared" si="48"/>
        <v>CONTATTORE 8K2</v>
      </c>
      <c r="R378" t="str">
        <f t="shared" si="49"/>
        <v>QVE1 -V3 SX IN MARCIA DIR. SUD</v>
      </c>
      <c r="U378" t="str">
        <f t="shared" si="50"/>
        <v>Stato</v>
      </c>
      <c r="V378" t="str">
        <f t="shared" si="51"/>
        <v>QVE 1</v>
      </c>
      <c r="W378" t="str">
        <f t="shared" si="52"/>
        <v>CABINA PRINCIPALE</v>
      </c>
      <c r="Z378" t="str">
        <f t="shared" si="53"/>
        <v>10.220.80.16</v>
      </c>
    </row>
    <row r="379" spans="1:26" x14ac:dyDescent="0.25">
      <c r="A379" t="s">
        <v>10</v>
      </c>
      <c r="B379" t="s">
        <v>11</v>
      </c>
      <c r="C379" t="s">
        <v>3665</v>
      </c>
      <c r="D379" t="s">
        <v>552</v>
      </c>
      <c r="E379" t="s">
        <v>820</v>
      </c>
      <c r="F379" t="s">
        <v>14</v>
      </c>
      <c r="G379" t="s">
        <v>21</v>
      </c>
      <c r="H379" t="s">
        <v>22</v>
      </c>
      <c r="I379" t="s">
        <v>821</v>
      </c>
      <c r="J379" t="s">
        <v>822</v>
      </c>
      <c r="K379" t="str">
        <f t="shared" si="45"/>
        <v>1023.4</v>
      </c>
      <c r="N379" t="str">
        <f t="shared" si="46"/>
        <v>HOLDING REGISTER</v>
      </c>
      <c r="O379" t="str">
        <f t="shared" si="47"/>
        <v>BOOL</v>
      </c>
      <c r="P379" t="str">
        <f t="shared" si="48"/>
        <v>CONTATTORE 22K3</v>
      </c>
      <c r="R379" t="str">
        <f t="shared" si="49"/>
        <v>QVE1 -V3 SX CONTATTORE BY-PASS AVVIATORE</v>
      </c>
      <c r="U379" t="str">
        <f t="shared" si="50"/>
        <v>Stato</v>
      </c>
      <c r="V379" t="str">
        <f t="shared" si="51"/>
        <v>QVE 1</v>
      </c>
      <c r="W379" t="str">
        <f t="shared" si="52"/>
        <v>CABINA PRINCIPALE</v>
      </c>
      <c r="Z379" t="str">
        <f t="shared" si="53"/>
        <v>10.220.80.16</v>
      </c>
    </row>
    <row r="380" spans="1:26" x14ac:dyDescent="0.25">
      <c r="A380" t="s">
        <v>10</v>
      </c>
      <c r="B380" t="s">
        <v>11</v>
      </c>
      <c r="C380" t="s">
        <v>3665</v>
      </c>
      <c r="D380" t="s">
        <v>734</v>
      </c>
      <c r="E380" t="s">
        <v>823</v>
      </c>
      <c r="F380" t="s">
        <v>14</v>
      </c>
      <c r="G380" t="s">
        <v>28</v>
      </c>
      <c r="H380" t="s">
        <v>22</v>
      </c>
      <c r="I380" t="s">
        <v>824</v>
      </c>
      <c r="J380" t="s">
        <v>825</v>
      </c>
      <c r="K380" t="str">
        <f t="shared" si="45"/>
        <v>1023.5</v>
      </c>
      <c r="N380" t="str">
        <f t="shared" si="46"/>
        <v>HOLDING REGISTER</v>
      </c>
      <c r="O380" t="str">
        <f t="shared" si="47"/>
        <v>BOOL</v>
      </c>
      <c r="P380" t="str">
        <f t="shared" si="48"/>
        <v>DIFFERENZIALE/SOFTSTART 38RD1/23AVV1</v>
      </c>
      <c r="R380" t="str">
        <f t="shared" si="49"/>
        <v>QVE1 -INTERRUTTORE V4 DXALLARME SOFTSTART/DIFFERENZIALE</v>
      </c>
      <c r="U380" t="str">
        <f t="shared" si="50"/>
        <v>Allarme</v>
      </c>
      <c r="V380" t="str">
        <f t="shared" si="51"/>
        <v>QVE 1</v>
      </c>
      <c r="W380" t="str">
        <f t="shared" si="52"/>
        <v>CABINA PRINCIPALE</v>
      </c>
      <c r="Z380" t="str">
        <f t="shared" si="53"/>
        <v>10.220.80.16</v>
      </c>
    </row>
    <row r="381" spans="1:26" x14ac:dyDescent="0.25">
      <c r="A381" t="s">
        <v>10</v>
      </c>
      <c r="B381" t="s">
        <v>11</v>
      </c>
      <c r="C381" t="s">
        <v>3665</v>
      </c>
      <c r="D381" t="s">
        <v>552</v>
      </c>
      <c r="E381" t="s">
        <v>826</v>
      </c>
      <c r="F381" t="s">
        <v>14</v>
      </c>
      <c r="G381" t="s">
        <v>21</v>
      </c>
      <c r="H381" t="s">
        <v>22</v>
      </c>
      <c r="I381" t="s">
        <v>827</v>
      </c>
      <c r="J381" t="s">
        <v>828</v>
      </c>
      <c r="K381" t="str">
        <f t="shared" si="45"/>
        <v>1023.6</v>
      </c>
      <c r="N381" t="str">
        <f t="shared" si="46"/>
        <v>HOLDING REGISTER</v>
      </c>
      <c r="O381" t="str">
        <f t="shared" si="47"/>
        <v>BOOL</v>
      </c>
      <c r="P381" t="str">
        <f t="shared" si="48"/>
        <v>CONTATTORE 9K1</v>
      </c>
      <c r="R381" t="str">
        <f t="shared" si="49"/>
        <v>QVE1 -V4 DX IN MARCIA DIR. NORD</v>
      </c>
      <c r="U381" t="str">
        <f t="shared" si="50"/>
        <v>Stato</v>
      </c>
      <c r="V381" t="str">
        <f t="shared" si="51"/>
        <v>QVE 1</v>
      </c>
      <c r="W381" t="str">
        <f t="shared" si="52"/>
        <v>CABINA PRINCIPALE</v>
      </c>
      <c r="Z381" t="str">
        <f t="shared" si="53"/>
        <v>10.220.80.16</v>
      </c>
    </row>
    <row r="382" spans="1:26" x14ac:dyDescent="0.25">
      <c r="A382" t="s">
        <v>10</v>
      </c>
      <c r="B382" t="s">
        <v>11</v>
      </c>
      <c r="C382" t="s">
        <v>3665</v>
      </c>
      <c r="D382" t="s">
        <v>555</v>
      </c>
      <c r="E382" t="s">
        <v>829</v>
      </c>
      <c r="F382" t="s">
        <v>14</v>
      </c>
      <c r="G382" t="s">
        <v>21</v>
      </c>
      <c r="H382" t="s">
        <v>22</v>
      </c>
      <c r="I382" t="s">
        <v>830</v>
      </c>
      <c r="J382" t="s">
        <v>831</v>
      </c>
      <c r="K382" t="str">
        <f t="shared" si="45"/>
        <v>1023.7</v>
      </c>
      <c r="N382" t="str">
        <f t="shared" si="46"/>
        <v>HOLDING REGISTER</v>
      </c>
      <c r="O382" t="str">
        <f t="shared" si="47"/>
        <v>BOOL</v>
      </c>
      <c r="P382" t="str">
        <f t="shared" si="48"/>
        <v>SELETTORE 9S1</v>
      </c>
      <c r="R382" t="str">
        <f t="shared" si="49"/>
        <v>QVE1 -SELETTORE V4 DX IN AUTOMATICOMATICO DA QUADRO</v>
      </c>
      <c r="U382" t="str">
        <f t="shared" si="50"/>
        <v>Stato</v>
      </c>
      <c r="V382" t="str">
        <f t="shared" si="51"/>
        <v>QVE 1</v>
      </c>
      <c r="W382" t="str">
        <f t="shared" si="52"/>
        <v>CABINA PRINCIPALE</v>
      </c>
      <c r="Z382" t="str">
        <f t="shared" si="53"/>
        <v>10.220.80.16</v>
      </c>
    </row>
    <row r="383" spans="1:26" x14ac:dyDescent="0.25">
      <c r="A383" t="s">
        <v>10</v>
      </c>
      <c r="B383" t="s">
        <v>11</v>
      </c>
      <c r="C383" t="s">
        <v>3665</v>
      </c>
      <c r="D383" t="s">
        <v>552</v>
      </c>
      <c r="E383" t="s">
        <v>832</v>
      </c>
      <c r="F383" t="s">
        <v>14</v>
      </c>
      <c r="G383" t="s">
        <v>21</v>
      </c>
      <c r="H383" t="s">
        <v>22</v>
      </c>
      <c r="I383" t="s">
        <v>833</v>
      </c>
      <c r="J383" t="s">
        <v>834</v>
      </c>
      <c r="K383" t="str">
        <f t="shared" si="45"/>
        <v>1023.8</v>
      </c>
      <c r="N383" t="str">
        <f t="shared" si="46"/>
        <v>HOLDING REGISTER</v>
      </c>
      <c r="O383" t="str">
        <f t="shared" si="47"/>
        <v>BOOL</v>
      </c>
      <c r="P383" t="str">
        <f t="shared" si="48"/>
        <v>CONTATTORE 9K2</v>
      </c>
      <c r="R383" t="str">
        <f t="shared" si="49"/>
        <v>QVE1 -V4 DX IN MARCIA DIR. SUD</v>
      </c>
      <c r="U383" t="str">
        <f t="shared" si="50"/>
        <v>Stato</v>
      </c>
      <c r="V383" t="str">
        <f t="shared" si="51"/>
        <v>QVE 1</v>
      </c>
      <c r="W383" t="str">
        <f t="shared" si="52"/>
        <v>CABINA PRINCIPALE</v>
      </c>
      <c r="Z383" t="str">
        <f t="shared" si="53"/>
        <v>10.220.80.16</v>
      </c>
    </row>
    <row r="384" spans="1:26" x14ac:dyDescent="0.25">
      <c r="A384" t="s">
        <v>10</v>
      </c>
      <c r="B384" t="s">
        <v>11</v>
      </c>
      <c r="C384" t="s">
        <v>3665</v>
      </c>
      <c r="D384" t="s">
        <v>552</v>
      </c>
      <c r="E384" t="s">
        <v>835</v>
      </c>
      <c r="F384" t="s">
        <v>14</v>
      </c>
      <c r="G384" t="s">
        <v>21</v>
      </c>
      <c r="H384" t="s">
        <v>22</v>
      </c>
      <c r="I384" t="s">
        <v>836</v>
      </c>
      <c r="J384" t="s">
        <v>837</v>
      </c>
      <c r="K384" t="str">
        <f t="shared" si="45"/>
        <v>1023.9</v>
      </c>
      <c r="N384" t="str">
        <f t="shared" si="46"/>
        <v>HOLDING REGISTER</v>
      </c>
      <c r="O384" t="str">
        <f t="shared" si="47"/>
        <v>BOOL</v>
      </c>
      <c r="P384" t="str">
        <f t="shared" si="48"/>
        <v>CONTATTORE 23K3</v>
      </c>
      <c r="R384" t="str">
        <f t="shared" si="49"/>
        <v>QVE1 -V4 DX CONTATTORE BY-PASS AVVIATORE</v>
      </c>
      <c r="U384" t="str">
        <f t="shared" si="50"/>
        <v>Stato</v>
      </c>
      <c r="V384" t="str">
        <f t="shared" si="51"/>
        <v>QVE 1</v>
      </c>
      <c r="W384" t="str">
        <f t="shared" si="52"/>
        <v>CABINA PRINCIPALE</v>
      </c>
      <c r="Z384" t="str">
        <f t="shared" si="53"/>
        <v>10.220.80.16</v>
      </c>
    </row>
    <row r="385" spans="1:26" x14ac:dyDescent="0.25">
      <c r="A385" t="s">
        <v>10</v>
      </c>
      <c r="B385" t="s">
        <v>11</v>
      </c>
      <c r="C385" t="s">
        <v>3665</v>
      </c>
      <c r="D385" t="s">
        <v>734</v>
      </c>
      <c r="E385" t="s">
        <v>838</v>
      </c>
      <c r="F385" t="s">
        <v>14</v>
      </c>
      <c r="G385" t="s">
        <v>28</v>
      </c>
      <c r="H385" t="s">
        <v>22</v>
      </c>
      <c r="I385" t="s">
        <v>839</v>
      </c>
      <c r="J385" t="s">
        <v>840</v>
      </c>
      <c r="K385" t="str">
        <f t="shared" si="45"/>
        <v>1023.10</v>
      </c>
      <c r="N385" t="str">
        <f t="shared" si="46"/>
        <v>HOLDING REGISTER</v>
      </c>
      <c r="O385" t="str">
        <f t="shared" si="47"/>
        <v>BOOL</v>
      </c>
      <c r="P385" t="str">
        <f t="shared" si="48"/>
        <v>DIFFERENZIALE/SOFTSTART 39RD1/24AVV1</v>
      </c>
      <c r="R385" t="str">
        <f t="shared" si="49"/>
        <v>QVE1 -INTERRUTTORE V4 SXALLARME SOFTSTART/DIFFERENZIALE</v>
      </c>
      <c r="U385" t="str">
        <f t="shared" si="50"/>
        <v>Allarme</v>
      </c>
      <c r="V385" t="str">
        <f t="shared" si="51"/>
        <v>QVE 1</v>
      </c>
      <c r="W385" t="str">
        <f t="shared" si="52"/>
        <v>CABINA PRINCIPALE</v>
      </c>
      <c r="Z385" t="str">
        <f t="shared" si="53"/>
        <v>10.220.80.16</v>
      </c>
    </row>
    <row r="386" spans="1:26" x14ac:dyDescent="0.25">
      <c r="A386" t="s">
        <v>10</v>
      </c>
      <c r="B386" t="s">
        <v>11</v>
      </c>
      <c r="C386" t="s">
        <v>3665</v>
      </c>
      <c r="D386" t="s">
        <v>552</v>
      </c>
      <c r="E386" t="s">
        <v>841</v>
      </c>
      <c r="F386" t="s">
        <v>14</v>
      </c>
      <c r="G386" t="s">
        <v>21</v>
      </c>
      <c r="H386" t="s">
        <v>22</v>
      </c>
      <c r="I386" t="s">
        <v>842</v>
      </c>
      <c r="J386" t="s">
        <v>843</v>
      </c>
      <c r="K386" t="str">
        <f t="shared" si="45"/>
        <v>1023.11</v>
      </c>
      <c r="N386" t="str">
        <f t="shared" si="46"/>
        <v>HOLDING REGISTER</v>
      </c>
      <c r="O386" t="str">
        <f t="shared" si="47"/>
        <v>BOOL</v>
      </c>
      <c r="P386" t="str">
        <f t="shared" si="48"/>
        <v>CONTATTORE 10K1</v>
      </c>
      <c r="R386" t="str">
        <f t="shared" si="49"/>
        <v>QVE1 -V4 SX IN MARCIA DIR. NORD</v>
      </c>
      <c r="U386" t="str">
        <f t="shared" si="50"/>
        <v>Stato</v>
      </c>
      <c r="V386" t="str">
        <f t="shared" si="51"/>
        <v>QVE 1</v>
      </c>
      <c r="W386" t="str">
        <f t="shared" si="52"/>
        <v>CABINA PRINCIPALE</v>
      </c>
      <c r="Z386" t="str">
        <f t="shared" si="53"/>
        <v>10.220.80.16</v>
      </c>
    </row>
    <row r="387" spans="1:26" x14ac:dyDescent="0.25">
      <c r="A387" t="s">
        <v>10</v>
      </c>
      <c r="B387" t="s">
        <v>11</v>
      </c>
      <c r="C387" t="s">
        <v>3665</v>
      </c>
      <c r="D387" t="s">
        <v>555</v>
      </c>
      <c r="E387" t="s">
        <v>844</v>
      </c>
      <c r="F387" t="s">
        <v>14</v>
      </c>
      <c r="G387" t="s">
        <v>21</v>
      </c>
      <c r="H387" t="s">
        <v>22</v>
      </c>
      <c r="I387" t="s">
        <v>845</v>
      </c>
      <c r="J387" t="s">
        <v>846</v>
      </c>
      <c r="K387" t="str">
        <f t="shared" ref="K387:K450" si="54">IF(I387="","",I387)</f>
        <v>1023.12</v>
      </c>
      <c r="N387" t="str">
        <f t="shared" ref="N387:N450" si="55">IF(F387="","",F387)</f>
        <v>HOLDING REGISTER</v>
      </c>
      <c r="O387" t="str">
        <f t="shared" ref="O387:O450" si="56">IF(H387="","",H387)</f>
        <v>BOOL</v>
      </c>
      <c r="P387" t="str">
        <f t="shared" ref="P387:P450" si="57">_xlfn.CONCAT(D387," ",E387)</f>
        <v>SELETTORE 10S1</v>
      </c>
      <c r="R387" t="str">
        <f t="shared" ref="R387:R450" si="58">IF(J387="","",J387)</f>
        <v>QVE1 -SELETTORE V4 SX IN AUTOMATICOMATICO DA QUADRO</v>
      </c>
      <c r="U387" t="str">
        <f t="shared" ref="U387:U450" si="59">IF(G387="","",G387)</f>
        <v>Stato</v>
      </c>
      <c r="V387" t="str">
        <f t="shared" ref="V387:V450" si="60">IF(C387="","",C387)</f>
        <v>QVE 1</v>
      </c>
      <c r="W387" t="str">
        <f t="shared" ref="W387:W450" si="61">IF(B387="","",B387)</f>
        <v>CABINA PRINCIPALE</v>
      </c>
      <c r="Z387" t="str">
        <f t="shared" ref="Z387:Z450" si="62">IF(A387="","",A387)</f>
        <v>10.220.80.16</v>
      </c>
    </row>
    <row r="388" spans="1:26" x14ac:dyDescent="0.25">
      <c r="A388" t="s">
        <v>10</v>
      </c>
      <c r="B388" t="s">
        <v>11</v>
      </c>
      <c r="C388" t="s">
        <v>3665</v>
      </c>
      <c r="D388" t="s">
        <v>552</v>
      </c>
      <c r="E388" t="s">
        <v>847</v>
      </c>
      <c r="F388" t="s">
        <v>14</v>
      </c>
      <c r="G388" t="s">
        <v>21</v>
      </c>
      <c r="H388" t="s">
        <v>22</v>
      </c>
      <c r="I388" t="s">
        <v>848</v>
      </c>
      <c r="J388" t="s">
        <v>849</v>
      </c>
      <c r="K388" t="str">
        <f t="shared" si="54"/>
        <v>1023.13</v>
      </c>
      <c r="N388" t="str">
        <f t="shared" si="55"/>
        <v>HOLDING REGISTER</v>
      </c>
      <c r="O388" t="str">
        <f t="shared" si="56"/>
        <v>BOOL</v>
      </c>
      <c r="P388" t="str">
        <f t="shared" si="57"/>
        <v>CONTATTORE 10K2</v>
      </c>
      <c r="R388" t="str">
        <f t="shared" si="58"/>
        <v>QVE1_SG -V4 SX IN MARCIA DIR. SUD</v>
      </c>
      <c r="U388" t="str">
        <f t="shared" si="59"/>
        <v>Stato</v>
      </c>
      <c r="V388" t="str">
        <f t="shared" si="60"/>
        <v>QVE 1</v>
      </c>
      <c r="W388" t="str">
        <f t="shared" si="61"/>
        <v>CABINA PRINCIPALE</v>
      </c>
      <c r="Z388" t="str">
        <f t="shared" si="62"/>
        <v>10.220.80.16</v>
      </c>
    </row>
    <row r="389" spans="1:26" x14ac:dyDescent="0.25">
      <c r="A389" t="s">
        <v>10</v>
      </c>
      <c r="B389" t="s">
        <v>11</v>
      </c>
      <c r="C389" t="s">
        <v>3665</v>
      </c>
      <c r="D389" t="s">
        <v>552</v>
      </c>
      <c r="E389" t="s">
        <v>850</v>
      </c>
      <c r="F389" t="s">
        <v>14</v>
      </c>
      <c r="G389" t="s">
        <v>21</v>
      </c>
      <c r="H389" t="s">
        <v>22</v>
      </c>
      <c r="I389" t="s">
        <v>851</v>
      </c>
      <c r="J389" t="s">
        <v>852</v>
      </c>
      <c r="K389" t="str">
        <f t="shared" si="54"/>
        <v>1023.14</v>
      </c>
      <c r="N389" t="str">
        <f t="shared" si="55"/>
        <v>HOLDING REGISTER</v>
      </c>
      <c r="O389" t="str">
        <f t="shared" si="56"/>
        <v>BOOL</v>
      </c>
      <c r="P389" t="str">
        <f t="shared" si="57"/>
        <v>CONTATTORE 24K3</v>
      </c>
      <c r="R389" t="str">
        <f t="shared" si="58"/>
        <v>QVE1 -V4 SX CONTATTORE BY-PASS AVVIATORE</v>
      </c>
      <c r="U389" t="str">
        <f t="shared" si="59"/>
        <v>Stato</v>
      </c>
      <c r="V389" t="str">
        <f t="shared" si="60"/>
        <v>QVE 1</v>
      </c>
      <c r="W389" t="str">
        <f t="shared" si="61"/>
        <v>CABINA PRINCIPALE</v>
      </c>
      <c r="Z389" t="str">
        <f t="shared" si="62"/>
        <v>10.220.80.16</v>
      </c>
    </row>
    <row r="390" spans="1:26" x14ac:dyDescent="0.25">
      <c r="A390" t="s">
        <v>10</v>
      </c>
      <c r="B390" t="s">
        <v>11</v>
      </c>
      <c r="C390" t="s">
        <v>3665</v>
      </c>
      <c r="D390" t="s">
        <v>205</v>
      </c>
      <c r="E390" t="s">
        <v>206</v>
      </c>
      <c r="F390" t="s">
        <v>14</v>
      </c>
      <c r="G390" t="s">
        <v>28</v>
      </c>
      <c r="H390" t="s">
        <v>22</v>
      </c>
      <c r="I390" t="s">
        <v>853</v>
      </c>
      <c r="J390" t="s">
        <v>854</v>
      </c>
      <c r="K390" t="str">
        <f t="shared" si="54"/>
        <v>1023.15</v>
      </c>
      <c r="N390" t="str">
        <f t="shared" si="55"/>
        <v>HOLDING REGISTER</v>
      </c>
      <c r="O390" t="str">
        <f t="shared" si="56"/>
        <v>BOOL</v>
      </c>
      <c r="P390" t="str">
        <f t="shared" si="57"/>
        <v>REMOTE I/O RIO</v>
      </c>
      <c r="R390" t="str">
        <f t="shared" si="58"/>
        <v>QVE1 -ERRORE DI COMUNICAZIONE CON RIO</v>
      </c>
      <c r="U390" t="str">
        <f t="shared" si="59"/>
        <v>Allarme</v>
      </c>
      <c r="V390" t="str">
        <f t="shared" si="60"/>
        <v>QVE 1</v>
      </c>
      <c r="W390" t="str">
        <f t="shared" si="61"/>
        <v>CABINA PRINCIPALE</v>
      </c>
      <c r="Z390" t="str">
        <f t="shared" si="62"/>
        <v>10.220.80.16</v>
      </c>
    </row>
    <row r="391" spans="1:26" x14ac:dyDescent="0.25">
      <c r="A391" t="s">
        <v>10</v>
      </c>
      <c r="B391" t="s">
        <v>11</v>
      </c>
      <c r="C391" t="s">
        <v>3666</v>
      </c>
      <c r="D391" t="s">
        <v>49</v>
      </c>
      <c r="E391" t="s">
        <v>706</v>
      </c>
      <c r="F391" t="s">
        <v>14</v>
      </c>
      <c r="G391" t="s">
        <v>21</v>
      </c>
      <c r="H391" t="s">
        <v>22</v>
      </c>
      <c r="I391" t="s">
        <v>855</v>
      </c>
      <c r="J391" t="s">
        <v>856</v>
      </c>
      <c r="K391" t="str">
        <f t="shared" si="54"/>
        <v>1024.0</v>
      </c>
      <c r="N391" t="str">
        <f t="shared" si="55"/>
        <v>HOLDING REGISTER</v>
      </c>
      <c r="O391" t="str">
        <f t="shared" si="56"/>
        <v>BOOL</v>
      </c>
      <c r="P391" t="str">
        <f t="shared" si="57"/>
        <v>INTERRUTTORE 1A</v>
      </c>
      <c r="R391" t="str">
        <f t="shared" si="58"/>
        <v>QVE2 -INTERRUTTORE GENERALE TRAFO 1 690Vac CHIUSO</v>
      </c>
      <c r="U391" t="str">
        <f t="shared" si="59"/>
        <v>Stato</v>
      </c>
      <c r="V391" t="str">
        <f t="shared" si="60"/>
        <v>QVE 2</v>
      </c>
      <c r="W391" t="str">
        <f t="shared" si="61"/>
        <v>CABINA PRINCIPALE</v>
      </c>
      <c r="Z391" t="str">
        <f t="shared" si="62"/>
        <v>10.220.80.16</v>
      </c>
    </row>
    <row r="392" spans="1:26" x14ac:dyDescent="0.25">
      <c r="A392" t="s">
        <v>10</v>
      </c>
      <c r="B392" t="s">
        <v>11</v>
      </c>
      <c r="C392" t="s">
        <v>3666</v>
      </c>
      <c r="D392" t="s">
        <v>49</v>
      </c>
      <c r="E392" t="s">
        <v>706</v>
      </c>
      <c r="F392" t="s">
        <v>14</v>
      </c>
      <c r="G392" t="s">
        <v>28</v>
      </c>
      <c r="H392" t="s">
        <v>22</v>
      </c>
      <c r="I392" t="s">
        <v>857</v>
      </c>
      <c r="J392" t="s">
        <v>858</v>
      </c>
      <c r="K392" t="str">
        <f t="shared" si="54"/>
        <v>1024.1</v>
      </c>
      <c r="N392" t="str">
        <f t="shared" si="55"/>
        <v>HOLDING REGISTER</v>
      </c>
      <c r="O392" t="str">
        <f t="shared" si="56"/>
        <v>BOOL</v>
      </c>
      <c r="P392" t="str">
        <f t="shared" si="57"/>
        <v>INTERRUTTORE 1A</v>
      </c>
      <c r="R392" t="str">
        <f t="shared" si="58"/>
        <v>QVE2 -INTERRUTTORE GENERALE TRAFO 1 690Vac SCATTATO</v>
      </c>
      <c r="U392" t="str">
        <f t="shared" si="59"/>
        <v>Allarme</v>
      </c>
      <c r="V392" t="str">
        <f t="shared" si="60"/>
        <v>QVE 2</v>
      </c>
      <c r="W392" t="str">
        <f t="shared" si="61"/>
        <v>CABINA PRINCIPALE</v>
      </c>
      <c r="Z392" t="str">
        <f t="shared" si="62"/>
        <v>10.220.80.16</v>
      </c>
    </row>
    <row r="393" spans="1:26" x14ac:dyDescent="0.25">
      <c r="A393" t="s">
        <v>10</v>
      </c>
      <c r="B393" t="s">
        <v>11</v>
      </c>
      <c r="C393" t="s">
        <v>3666</v>
      </c>
      <c r="D393" t="s">
        <v>49</v>
      </c>
      <c r="E393" t="s">
        <v>711</v>
      </c>
      <c r="F393" t="s">
        <v>14</v>
      </c>
      <c r="G393" t="s">
        <v>21</v>
      </c>
      <c r="H393" t="s">
        <v>22</v>
      </c>
      <c r="I393" t="s">
        <v>859</v>
      </c>
      <c r="J393" t="s">
        <v>860</v>
      </c>
      <c r="K393" t="str">
        <f t="shared" si="54"/>
        <v>1024.2</v>
      </c>
      <c r="N393" t="str">
        <f t="shared" si="55"/>
        <v>HOLDING REGISTER</v>
      </c>
      <c r="O393" t="str">
        <f t="shared" si="56"/>
        <v>BOOL</v>
      </c>
      <c r="P393" t="str">
        <f t="shared" si="57"/>
        <v>INTERRUTTORE 1B</v>
      </c>
      <c r="R393" t="str">
        <f t="shared" si="58"/>
        <v>QVE2 -INTERRUTTORE GENERALE TRAFO 2 690Vac CHIUSO</v>
      </c>
      <c r="U393" t="str">
        <f t="shared" si="59"/>
        <v>Stato</v>
      </c>
      <c r="V393" t="str">
        <f t="shared" si="60"/>
        <v>QVE 2</v>
      </c>
      <c r="W393" t="str">
        <f t="shared" si="61"/>
        <v>CABINA PRINCIPALE</v>
      </c>
      <c r="Z393" t="str">
        <f t="shared" si="62"/>
        <v>10.220.80.16</v>
      </c>
    </row>
    <row r="394" spans="1:26" x14ac:dyDescent="0.25">
      <c r="A394" t="s">
        <v>10</v>
      </c>
      <c r="B394" t="s">
        <v>11</v>
      </c>
      <c r="C394" t="s">
        <v>3666</v>
      </c>
      <c r="D394" t="s">
        <v>49</v>
      </c>
      <c r="E394" t="s">
        <v>711</v>
      </c>
      <c r="F394" t="s">
        <v>14</v>
      </c>
      <c r="G394" t="s">
        <v>28</v>
      </c>
      <c r="H394" t="s">
        <v>22</v>
      </c>
      <c r="I394" t="s">
        <v>861</v>
      </c>
      <c r="J394" t="s">
        <v>862</v>
      </c>
      <c r="K394" t="str">
        <f t="shared" si="54"/>
        <v>1024.3</v>
      </c>
      <c r="N394" t="str">
        <f t="shared" si="55"/>
        <v>HOLDING REGISTER</v>
      </c>
      <c r="O394" t="str">
        <f t="shared" si="56"/>
        <v>BOOL</v>
      </c>
      <c r="P394" t="str">
        <f t="shared" si="57"/>
        <v>INTERRUTTORE 1B</v>
      </c>
      <c r="R394" t="str">
        <f t="shared" si="58"/>
        <v>QVE2 -INTERRUTTORE GENERALE TRAFO 2 690Vac SCATTATO</v>
      </c>
      <c r="U394" t="str">
        <f t="shared" si="59"/>
        <v>Allarme</v>
      </c>
      <c r="V394" t="str">
        <f t="shared" si="60"/>
        <v>QVE 2</v>
      </c>
      <c r="W394" t="str">
        <f t="shared" si="61"/>
        <v>CABINA PRINCIPALE</v>
      </c>
      <c r="Z394" t="str">
        <f t="shared" si="62"/>
        <v>10.220.80.16</v>
      </c>
    </row>
    <row r="395" spans="1:26" x14ac:dyDescent="0.25">
      <c r="A395" t="s">
        <v>10</v>
      </c>
      <c r="B395" t="s">
        <v>11</v>
      </c>
      <c r="C395" t="s">
        <v>3666</v>
      </c>
      <c r="D395" t="s">
        <v>49</v>
      </c>
      <c r="E395">
        <v>20</v>
      </c>
      <c r="F395" t="s">
        <v>14</v>
      </c>
      <c r="G395" t="s">
        <v>21</v>
      </c>
      <c r="H395" t="s">
        <v>22</v>
      </c>
      <c r="I395" t="s">
        <v>863</v>
      </c>
      <c r="J395" t="s">
        <v>864</v>
      </c>
      <c r="K395" t="str">
        <f t="shared" si="54"/>
        <v>1024.4</v>
      </c>
      <c r="N395" t="str">
        <f t="shared" si="55"/>
        <v>HOLDING REGISTER</v>
      </c>
      <c r="O395" t="str">
        <f t="shared" si="56"/>
        <v>BOOL</v>
      </c>
      <c r="P395" t="str">
        <f t="shared" si="57"/>
        <v>INTERRUTTORE 20</v>
      </c>
      <c r="R395" t="str">
        <f t="shared" si="58"/>
        <v>QVE2 -INTERRUTTORE AUX QUADRO SEZIONE PRIVILEGIATA CHIUSO</v>
      </c>
      <c r="U395" t="str">
        <f t="shared" si="59"/>
        <v>Stato</v>
      </c>
      <c r="V395" t="str">
        <f t="shared" si="60"/>
        <v>QVE 2</v>
      </c>
      <c r="W395" t="str">
        <f t="shared" si="61"/>
        <v>CABINA PRINCIPALE</v>
      </c>
      <c r="Z395" t="str">
        <f t="shared" si="62"/>
        <v>10.220.80.16</v>
      </c>
    </row>
    <row r="396" spans="1:26" x14ac:dyDescent="0.25">
      <c r="A396" t="s">
        <v>10</v>
      </c>
      <c r="B396" t="s">
        <v>11</v>
      </c>
      <c r="C396" t="s">
        <v>3666</v>
      </c>
      <c r="D396" t="s">
        <v>49</v>
      </c>
      <c r="E396">
        <v>2</v>
      </c>
      <c r="F396" t="s">
        <v>14</v>
      </c>
      <c r="G396" t="s">
        <v>21</v>
      </c>
      <c r="H396" t="s">
        <v>22</v>
      </c>
      <c r="I396" t="s">
        <v>865</v>
      </c>
      <c r="J396" t="s">
        <v>866</v>
      </c>
      <c r="K396" t="str">
        <f t="shared" si="54"/>
        <v>1024.5</v>
      </c>
      <c r="N396" t="str">
        <f t="shared" si="55"/>
        <v>HOLDING REGISTER</v>
      </c>
      <c r="O396" t="str">
        <f t="shared" si="56"/>
        <v>BOOL</v>
      </c>
      <c r="P396" t="str">
        <f t="shared" si="57"/>
        <v>INTERRUTTORE 2</v>
      </c>
      <c r="R396" t="str">
        <f t="shared" si="58"/>
        <v>QVE2 -INTERRUTTORE V1 DX CHIUSO</v>
      </c>
      <c r="U396" t="str">
        <f t="shared" si="59"/>
        <v>Stato</v>
      </c>
      <c r="V396" t="str">
        <f t="shared" si="60"/>
        <v>QVE 2</v>
      </c>
      <c r="W396" t="str">
        <f t="shared" si="61"/>
        <v>CABINA PRINCIPALE</v>
      </c>
      <c r="Z396" t="str">
        <f t="shared" si="62"/>
        <v>10.220.80.16</v>
      </c>
    </row>
    <row r="397" spans="1:26" x14ac:dyDescent="0.25">
      <c r="A397" t="s">
        <v>10</v>
      </c>
      <c r="B397" t="s">
        <v>11</v>
      </c>
      <c r="C397" t="s">
        <v>3666</v>
      </c>
      <c r="D397" t="s">
        <v>49</v>
      </c>
      <c r="E397">
        <v>3</v>
      </c>
      <c r="F397" t="s">
        <v>14</v>
      </c>
      <c r="G397" t="s">
        <v>21</v>
      </c>
      <c r="H397" t="s">
        <v>22</v>
      </c>
      <c r="I397" t="s">
        <v>867</v>
      </c>
      <c r="J397" t="s">
        <v>868</v>
      </c>
      <c r="K397" t="str">
        <f t="shared" si="54"/>
        <v>1024.6</v>
      </c>
      <c r="N397" t="str">
        <f t="shared" si="55"/>
        <v>HOLDING REGISTER</v>
      </c>
      <c r="O397" t="str">
        <f t="shared" si="56"/>
        <v>BOOL</v>
      </c>
      <c r="P397" t="str">
        <f t="shared" si="57"/>
        <v>INTERRUTTORE 3</v>
      </c>
      <c r="R397" t="str">
        <f t="shared" si="58"/>
        <v>QVE2 -INTERRUTTORE V1 SX CHIUSO</v>
      </c>
      <c r="U397" t="str">
        <f t="shared" si="59"/>
        <v>Stato</v>
      </c>
      <c r="V397" t="str">
        <f t="shared" si="60"/>
        <v>QVE 2</v>
      </c>
      <c r="W397" t="str">
        <f t="shared" si="61"/>
        <v>CABINA PRINCIPALE</v>
      </c>
      <c r="Z397" t="str">
        <f t="shared" si="62"/>
        <v>10.220.80.16</v>
      </c>
    </row>
    <row r="398" spans="1:26" x14ac:dyDescent="0.25">
      <c r="A398" t="s">
        <v>10</v>
      </c>
      <c r="B398" t="s">
        <v>11</v>
      </c>
      <c r="C398" t="s">
        <v>3666</v>
      </c>
      <c r="D398" t="s">
        <v>49</v>
      </c>
      <c r="E398">
        <v>4</v>
      </c>
      <c r="F398" t="s">
        <v>14</v>
      </c>
      <c r="G398" t="s">
        <v>21</v>
      </c>
      <c r="H398" t="s">
        <v>22</v>
      </c>
      <c r="I398" t="s">
        <v>869</v>
      </c>
      <c r="J398" t="s">
        <v>870</v>
      </c>
      <c r="K398" t="str">
        <f t="shared" si="54"/>
        <v>1024.7</v>
      </c>
      <c r="N398" t="str">
        <f t="shared" si="55"/>
        <v>HOLDING REGISTER</v>
      </c>
      <c r="O398" t="str">
        <f t="shared" si="56"/>
        <v>BOOL</v>
      </c>
      <c r="P398" t="str">
        <f t="shared" si="57"/>
        <v>INTERRUTTORE 4</v>
      </c>
      <c r="R398" t="str">
        <f t="shared" si="58"/>
        <v>QVE2 -INTERRUTTORE V2 DX CHIUSO</v>
      </c>
      <c r="U398" t="str">
        <f t="shared" si="59"/>
        <v>Stato</v>
      </c>
      <c r="V398" t="str">
        <f t="shared" si="60"/>
        <v>QVE 2</v>
      </c>
      <c r="W398" t="str">
        <f t="shared" si="61"/>
        <v>CABINA PRINCIPALE</v>
      </c>
      <c r="Z398" t="str">
        <f t="shared" si="62"/>
        <v>10.220.80.16</v>
      </c>
    </row>
    <row r="399" spans="1:26" x14ac:dyDescent="0.25">
      <c r="A399" t="s">
        <v>10</v>
      </c>
      <c r="B399" t="s">
        <v>11</v>
      </c>
      <c r="C399" t="s">
        <v>3666</v>
      </c>
      <c r="D399" t="s">
        <v>49</v>
      </c>
      <c r="E399">
        <v>5</v>
      </c>
      <c r="F399" t="s">
        <v>14</v>
      </c>
      <c r="G399" t="s">
        <v>21</v>
      </c>
      <c r="H399" t="s">
        <v>22</v>
      </c>
      <c r="I399" t="s">
        <v>871</v>
      </c>
      <c r="J399" t="s">
        <v>872</v>
      </c>
      <c r="K399" t="str">
        <f t="shared" si="54"/>
        <v>1024.8</v>
      </c>
      <c r="N399" t="str">
        <f t="shared" si="55"/>
        <v>HOLDING REGISTER</v>
      </c>
      <c r="O399" t="str">
        <f t="shared" si="56"/>
        <v>BOOL</v>
      </c>
      <c r="P399" t="str">
        <f t="shared" si="57"/>
        <v>INTERRUTTORE 5</v>
      </c>
      <c r="R399" t="str">
        <f t="shared" si="58"/>
        <v>QVE2 -INTERRUTTORE V2 SX CHIUSO</v>
      </c>
      <c r="U399" t="str">
        <f t="shared" si="59"/>
        <v>Stato</v>
      </c>
      <c r="V399" t="str">
        <f t="shared" si="60"/>
        <v>QVE 2</v>
      </c>
      <c r="W399" t="str">
        <f t="shared" si="61"/>
        <v>CABINA PRINCIPALE</v>
      </c>
      <c r="Z399" t="str">
        <f t="shared" si="62"/>
        <v>10.220.80.16</v>
      </c>
    </row>
    <row r="400" spans="1:26" x14ac:dyDescent="0.25">
      <c r="A400" t="s">
        <v>10</v>
      </c>
      <c r="B400" t="s">
        <v>11</v>
      </c>
      <c r="C400" t="s">
        <v>3666</v>
      </c>
      <c r="D400" t="s">
        <v>49</v>
      </c>
      <c r="E400">
        <v>6</v>
      </c>
      <c r="F400" t="s">
        <v>14</v>
      </c>
      <c r="G400" t="s">
        <v>21</v>
      </c>
      <c r="H400" t="s">
        <v>22</v>
      </c>
      <c r="I400" t="s">
        <v>873</v>
      </c>
      <c r="J400" t="s">
        <v>874</v>
      </c>
      <c r="K400" t="str">
        <f t="shared" si="54"/>
        <v>1024.9</v>
      </c>
      <c r="N400" t="str">
        <f t="shared" si="55"/>
        <v>HOLDING REGISTER</v>
      </c>
      <c r="O400" t="str">
        <f t="shared" si="56"/>
        <v>BOOL</v>
      </c>
      <c r="P400" t="str">
        <f t="shared" si="57"/>
        <v>INTERRUTTORE 6</v>
      </c>
      <c r="R400" t="str">
        <f t="shared" si="58"/>
        <v>QVE2 -INTERRUTTORE V3 DX CHIUSO</v>
      </c>
      <c r="U400" t="str">
        <f t="shared" si="59"/>
        <v>Stato</v>
      </c>
      <c r="V400" t="str">
        <f t="shared" si="60"/>
        <v>QVE 2</v>
      </c>
      <c r="W400" t="str">
        <f t="shared" si="61"/>
        <v>CABINA PRINCIPALE</v>
      </c>
      <c r="Z400" t="str">
        <f t="shared" si="62"/>
        <v>10.220.80.16</v>
      </c>
    </row>
    <row r="401" spans="1:26" x14ac:dyDescent="0.25">
      <c r="A401" t="s">
        <v>10</v>
      </c>
      <c r="B401" t="s">
        <v>11</v>
      </c>
      <c r="C401" t="s">
        <v>3666</v>
      </c>
      <c r="D401" t="s">
        <v>49</v>
      </c>
      <c r="E401">
        <v>7</v>
      </c>
      <c r="F401" t="s">
        <v>14</v>
      </c>
      <c r="G401" t="s">
        <v>21</v>
      </c>
      <c r="H401" t="s">
        <v>22</v>
      </c>
      <c r="I401" t="s">
        <v>875</v>
      </c>
      <c r="J401" t="s">
        <v>876</v>
      </c>
      <c r="K401" t="str">
        <f t="shared" si="54"/>
        <v>1024.10</v>
      </c>
      <c r="N401" t="str">
        <f t="shared" si="55"/>
        <v>HOLDING REGISTER</v>
      </c>
      <c r="O401" t="str">
        <f t="shared" si="56"/>
        <v>BOOL</v>
      </c>
      <c r="P401" t="str">
        <f t="shared" si="57"/>
        <v>INTERRUTTORE 7</v>
      </c>
      <c r="R401" t="str">
        <f t="shared" si="58"/>
        <v>QVE2 -INTERRUTTORE V3 SX CHIUSO</v>
      </c>
      <c r="U401" t="str">
        <f t="shared" si="59"/>
        <v>Stato</v>
      </c>
      <c r="V401" t="str">
        <f t="shared" si="60"/>
        <v>QVE 2</v>
      </c>
      <c r="W401" t="str">
        <f t="shared" si="61"/>
        <v>CABINA PRINCIPALE</v>
      </c>
      <c r="Z401" t="str">
        <f t="shared" si="62"/>
        <v>10.220.80.16</v>
      </c>
    </row>
    <row r="402" spans="1:26" x14ac:dyDescent="0.25">
      <c r="A402" t="s">
        <v>10</v>
      </c>
      <c r="B402" t="s">
        <v>11</v>
      </c>
      <c r="C402" t="s">
        <v>3666</v>
      </c>
      <c r="D402" t="s">
        <v>734</v>
      </c>
      <c r="E402" t="s">
        <v>735</v>
      </c>
      <c r="F402" t="s">
        <v>14</v>
      </c>
      <c r="G402" t="s">
        <v>28</v>
      </c>
      <c r="H402" t="s">
        <v>22</v>
      </c>
      <c r="I402" t="s">
        <v>877</v>
      </c>
      <c r="J402" t="s">
        <v>878</v>
      </c>
      <c r="K402" t="str">
        <f t="shared" si="54"/>
        <v>1024.11</v>
      </c>
      <c r="N402" t="str">
        <f t="shared" si="55"/>
        <v>HOLDING REGISTER</v>
      </c>
      <c r="O402" t="str">
        <f t="shared" si="56"/>
        <v>BOOL</v>
      </c>
      <c r="P402" t="str">
        <f t="shared" si="57"/>
        <v>DIFFERENZIALE/SOFTSTART 32RD1/17AVV1</v>
      </c>
      <c r="R402" t="str">
        <f t="shared" si="58"/>
        <v>QVE2 -INTERRUTTORE V1 DXALLARME SOFTSTART/DIFFERENZIALE</v>
      </c>
      <c r="U402" t="str">
        <f t="shared" si="59"/>
        <v>Allarme</v>
      </c>
      <c r="V402" t="str">
        <f t="shared" si="60"/>
        <v>QVE 2</v>
      </c>
      <c r="W402" t="str">
        <f t="shared" si="61"/>
        <v>CABINA PRINCIPALE</v>
      </c>
      <c r="Z402" t="str">
        <f t="shared" si="62"/>
        <v>10.220.80.16</v>
      </c>
    </row>
    <row r="403" spans="1:26" x14ac:dyDescent="0.25">
      <c r="A403" t="s">
        <v>10</v>
      </c>
      <c r="B403" t="s">
        <v>11</v>
      </c>
      <c r="C403" t="s">
        <v>3666</v>
      </c>
      <c r="D403" t="s">
        <v>552</v>
      </c>
      <c r="E403" t="s">
        <v>566</v>
      </c>
      <c r="F403" t="s">
        <v>14</v>
      </c>
      <c r="G403" t="s">
        <v>21</v>
      </c>
      <c r="H403" t="s">
        <v>22</v>
      </c>
      <c r="I403" t="s">
        <v>879</v>
      </c>
      <c r="J403" t="s">
        <v>880</v>
      </c>
      <c r="K403" t="str">
        <f t="shared" si="54"/>
        <v>1024.12</v>
      </c>
      <c r="N403" t="str">
        <f t="shared" si="55"/>
        <v>HOLDING REGISTER</v>
      </c>
      <c r="O403" t="str">
        <f t="shared" si="56"/>
        <v>BOOL</v>
      </c>
      <c r="P403" t="str">
        <f t="shared" si="57"/>
        <v>CONTATTORE 3K1</v>
      </c>
      <c r="R403" t="str">
        <f t="shared" si="58"/>
        <v>QVE2 -V1 DX IN MARCIA DIR. NORD</v>
      </c>
      <c r="U403" t="str">
        <f t="shared" si="59"/>
        <v>Stato</v>
      </c>
      <c r="V403" t="str">
        <f t="shared" si="60"/>
        <v>QVE 2</v>
      </c>
      <c r="W403" t="str">
        <f t="shared" si="61"/>
        <v>CABINA PRINCIPALE</v>
      </c>
      <c r="Z403" t="str">
        <f t="shared" si="62"/>
        <v>10.220.80.16</v>
      </c>
    </row>
    <row r="404" spans="1:26" x14ac:dyDescent="0.25">
      <c r="A404" t="s">
        <v>10</v>
      </c>
      <c r="B404" t="s">
        <v>11</v>
      </c>
      <c r="C404" t="s">
        <v>3666</v>
      </c>
      <c r="D404" t="s">
        <v>555</v>
      </c>
      <c r="E404" t="s">
        <v>569</v>
      </c>
      <c r="F404" t="s">
        <v>14</v>
      </c>
      <c r="G404" t="s">
        <v>21</v>
      </c>
      <c r="H404" t="s">
        <v>22</v>
      </c>
      <c r="I404" t="s">
        <v>881</v>
      </c>
      <c r="J404" t="s">
        <v>882</v>
      </c>
      <c r="K404" t="str">
        <f t="shared" si="54"/>
        <v>1024.13</v>
      </c>
      <c r="N404" t="str">
        <f t="shared" si="55"/>
        <v>HOLDING REGISTER</v>
      </c>
      <c r="O404" t="str">
        <f t="shared" si="56"/>
        <v>BOOL</v>
      </c>
      <c r="P404" t="str">
        <f t="shared" si="57"/>
        <v>SELETTORE 3S1</v>
      </c>
      <c r="R404" t="str">
        <f t="shared" si="58"/>
        <v>QVE2 -SELETTORE V1 DX IN AUTOMATICOMATICO DA QUADRO</v>
      </c>
      <c r="U404" t="str">
        <f t="shared" si="59"/>
        <v>Stato</v>
      </c>
      <c r="V404" t="str">
        <f t="shared" si="60"/>
        <v>QVE 2</v>
      </c>
      <c r="W404" t="str">
        <f t="shared" si="61"/>
        <v>CABINA PRINCIPALE</v>
      </c>
      <c r="Z404" t="str">
        <f t="shared" si="62"/>
        <v>10.220.80.16</v>
      </c>
    </row>
    <row r="405" spans="1:26" x14ac:dyDescent="0.25">
      <c r="A405" t="s">
        <v>10</v>
      </c>
      <c r="B405" t="s">
        <v>11</v>
      </c>
      <c r="C405" t="s">
        <v>3666</v>
      </c>
      <c r="D405" t="s">
        <v>552</v>
      </c>
      <c r="E405" t="s">
        <v>742</v>
      </c>
      <c r="F405" t="s">
        <v>14</v>
      </c>
      <c r="G405" t="s">
        <v>21</v>
      </c>
      <c r="H405" t="s">
        <v>22</v>
      </c>
      <c r="I405" t="s">
        <v>883</v>
      </c>
      <c r="J405" t="s">
        <v>884</v>
      </c>
      <c r="K405" t="str">
        <f t="shared" si="54"/>
        <v>1024.14</v>
      </c>
      <c r="N405" t="str">
        <f t="shared" si="55"/>
        <v>HOLDING REGISTER</v>
      </c>
      <c r="O405" t="str">
        <f t="shared" si="56"/>
        <v>BOOL</v>
      </c>
      <c r="P405" t="str">
        <f t="shared" si="57"/>
        <v>CONTATTORE 3K2</v>
      </c>
      <c r="R405" t="str">
        <f t="shared" si="58"/>
        <v>QVE2 -V1 DX IN MARCIA DIR. SUD</v>
      </c>
      <c r="U405" t="str">
        <f t="shared" si="59"/>
        <v>Stato</v>
      </c>
      <c r="V405" t="str">
        <f t="shared" si="60"/>
        <v>QVE 2</v>
      </c>
      <c r="W405" t="str">
        <f t="shared" si="61"/>
        <v>CABINA PRINCIPALE</v>
      </c>
      <c r="Z405" t="str">
        <f t="shared" si="62"/>
        <v>10.220.80.16</v>
      </c>
    </row>
    <row r="406" spans="1:26" x14ac:dyDescent="0.25">
      <c r="A406" t="s">
        <v>10</v>
      </c>
      <c r="B406" t="s">
        <v>11</v>
      </c>
      <c r="C406" t="s">
        <v>3666</v>
      </c>
      <c r="D406" t="s">
        <v>552</v>
      </c>
      <c r="E406" t="s">
        <v>745</v>
      </c>
      <c r="F406" t="s">
        <v>14</v>
      </c>
      <c r="G406" t="s">
        <v>21</v>
      </c>
      <c r="H406" t="s">
        <v>22</v>
      </c>
      <c r="I406" t="s">
        <v>885</v>
      </c>
      <c r="J406" t="s">
        <v>886</v>
      </c>
      <c r="K406" t="str">
        <f t="shared" si="54"/>
        <v>1024.15</v>
      </c>
      <c r="N406" t="str">
        <f t="shared" si="55"/>
        <v>HOLDING REGISTER</v>
      </c>
      <c r="O406" t="str">
        <f t="shared" si="56"/>
        <v>BOOL</v>
      </c>
      <c r="P406" t="str">
        <f t="shared" si="57"/>
        <v>CONTATTORE 17K3</v>
      </c>
      <c r="R406" t="str">
        <f t="shared" si="58"/>
        <v>QVE2 -V1 DX CONTATTORE BY-PASS AVVIATORE</v>
      </c>
      <c r="U406" t="str">
        <f t="shared" si="59"/>
        <v>Stato</v>
      </c>
      <c r="V406" t="str">
        <f t="shared" si="60"/>
        <v>QVE 2</v>
      </c>
      <c r="W406" t="str">
        <f t="shared" si="61"/>
        <v>CABINA PRINCIPALE</v>
      </c>
      <c r="Z406" t="str">
        <f t="shared" si="62"/>
        <v>10.220.80.16</v>
      </c>
    </row>
    <row r="407" spans="1:26" x14ac:dyDescent="0.25">
      <c r="A407" t="s">
        <v>10</v>
      </c>
      <c r="B407" t="s">
        <v>11</v>
      </c>
      <c r="C407" t="s">
        <v>3666</v>
      </c>
      <c r="D407" t="s">
        <v>734</v>
      </c>
      <c r="E407" t="s">
        <v>748</v>
      </c>
      <c r="F407" t="s">
        <v>14</v>
      </c>
      <c r="G407" t="s">
        <v>28</v>
      </c>
      <c r="H407" t="s">
        <v>22</v>
      </c>
      <c r="I407" t="s">
        <v>887</v>
      </c>
      <c r="J407" t="s">
        <v>888</v>
      </c>
      <c r="K407" t="str">
        <f t="shared" si="54"/>
        <v>1025.0</v>
      </c>
      <c r="N407" t="str">
        <f t="shared" si="55"/>
        <v>HOLDING REGISTER</v>
      </c>
      <c r="O407" t="str">
        <f t="shared" si="56"/>
        <v>BOOL</v>
      </c>
      <c r="P407" t="str">
        <f t="shared" si="57"/>
        <v>DIFFERENZIALE/SOFTSTART 33RD1/18AVV1</v>
      </c>
      <c r="R407" t="str">
        <f t="shared" si="58"/>
        <v>QVE2 -INTERRUTTORE V1 SXALLARME SOFTSTART/DIFFERENZIALE</v>
      </c>
      <c r="U407" t="str">
        <f t="shared" si="59"/>
        <v>Allarme</v>
      </c>
      <c r="V407" t="str">
        <f t="shared" si="60"/>
        <v>QVE 2</v>
      </c>
      <c r="W407" t="str">
        <f t="shared" si="61"/>
        <v>CABINA PRINCIPALE</v>
      </c>
      <c r="Z407" t="str">
        <f t="shared" si="62"/>
        <v>10.220.80.16</v>
      </c>
    </row>
    <row r="408" spans="1:26" x14ac:dyDescent="0.25">
      <c r="A408" t="s">
        <v>10</v>
      </c>
      <c r="B408" t="s">
        <v>11</v>
      </c>
      <c r="C408" t="s">
        <v>3666</v>
      </c>
      <c r="D408" t="s">
        <v>552</v>
      </c>
      <c r="E408" t="s">
        <v>751</v>
      </c>
      <c r="F408" t="s">
        <v>14</v>
      </c>
      <c r="G408" t="s">
        <v>21</v>
      </c>
      <c r="H408" t="s">
        <v>22</v>
      </c>
      <c r="I408" t="s">
        <v>889</v>
      </c>
      <c r="J408" t="s">
        <v>890</v>
      </c>
      <c r="K408" t="str">
        <f t="shared" si="54"/>
        <v>1025.1</v>
      </c>
      <c r="N408" t="str">
        <f t="shared" si="55"/>
        <v>HOLDING REGISTER</v>
      </c>
      <c r="O408" t="str">
        <f t="shared" si="56"/>
        <v>BOOL</v>
      </c>
      <c r="P408" t="str">
        <f t="shared" si="57"/>
        <v>CONTATTORE 4K1</v>
      </c>
      <c r="R408" t="str">
        <f t="shared" si="58"/>
        <v>QVE2 -V1 SX IN MARCIA DIR. NORD</v>
      </c>
      <c r="U408" t="str">
        <f t="shared" si="59"/>
        <v>Stato</v>
      </c>
      <c r="V408" t="str">
        <f t="shared" si="60"/>
        <v>QVE 2</v>
      </c>
      <c r="W408" t="str">
        <f t="shared" si="61"/>
        <v>CABINA PRINCIPALE</v>
      </c>
      <c r="Z408" t="str">
        <f t="shared" si="62"/>
        <v>10.220.80.16</v>
      </c>
    </row>
    <row r="409" spans="1:26" x14ac:dyDescent="0.25">
      <c r="A409" t="s">
        <v>10</v>
      </c>
      <c r="B409" t="s">
        <v>11</v>
      </c>
      <c r="C409" t="s">
        <v>3666</v>
      </c>
      <c r="D409" t="s">
        <v>555</v>
      </c>
      <c r="E409" t="s">
        <v>754</v>
      </c>
      <c r="F409" t="s">
        <v>14</v>
      </c>
      <c r="G409" t="s">
        <v>21</v>
      </c>
      <c r="H409" t="s">
        <v>22</v>
      </c>
      <c r="I409" t="s">
        <v>891</v>
      </c>
      <c r="J409" t="s">
        <v>892</v>
      </c>
      <c r="K409" t="str">
        <f t="shared" si="54"/>
        <v>1025.2</v>
      </c>
      <c r="N409" t="str">
        <f t="shared" si="55"/>
        <v>HOLDING REGISTER</v>
      </c>
      <c r="O409" t="str">
        <f t="shared" si="56"/>
        <v>BOOL</v>
      </c>
      <c r="P409" t="str">
        <f t="shared" si="57"/>
        <v>SELETTORE 4S1</v>
      </c>
      <c r="R409" t="str">
        <f t="shared" si="58"/>
        <v>QVE2 -SELETTORE V1 SX IN AUTOMATICOMATICO DA QUADRO</v>
      </c>
      <c r="U409" t="str">
        <f t="shared" si="59"/>
        <v>Stato</v>
      </c>
      <c r="V409" t="str">
        <f t="shared" si="60"/>
        <v>QVE 2</v>
      </c>
      <c r="W409" t="str">
        <f t="shared" si="61"/>
        <v>CABINA PRINCIPALE</v>
      </c>
      <c r="Z409" t="str">
        <f t="shared" si="62"/>
        <v>10.220.80.16</v>
      </c>
    </row>
    <row r="410" spans="1:26" x14ac:dyDescent="0.25">
      <c r="A410" t="s">
        <v>10</v>
      </c>
      <c r="B410" t="s">
        <v>11</v>
      </c>
      <c r="C410" t="s">
        <v>3666</v>
      </c>
      <c r="D410" t="s">
        <v>552</v>
      </c>
      <c r="E410" t="s">
        <v>757</v>
      </c>
      <c r="F410" t="s">
        <v>14</v>
      </c>
      <c r="G410" t="s">
        <v>21</v>
      </c>
      <c r="H410" t="s">
        <v>22</v>
      </c>
      <c r="I410" t="s">
        <v>893</v>
      </c>
      <c r="J410" t="s">
        <v>894</v>
      </c>
      <c r="K410" t="str">
        <f t="shared" si="54"/>
        <v>1025.3</v>
      </c>
      <c r="N410" t="str">
        <f t="shared" si="55"/>
        <v>HOLDING REGISTER</v>
      </c>
      <c r="O410" t="str">
        <f t="shared" si="56"/>
        <v>BOOL</v>
      </c>
      <c r="P410" t="str">
        <f t="shared" si="57"/>
        <v>CONTATTORE 4K2</v>
      </c>
      <c r="R410" t="str">
        <f t="shared" si="58"/>
        <v>QVE2 -V1 SX IN MARCIA DIR. SUD</v>
      </c>
      <c r="U410" t="str">
        <f t="shared" si="59"/>
        <v>Stato</v>
      </c>
      <c r="V410" t="str">
        <f t="shared" si="60"/>
        <v>QVE 2</v>
      </c>
      <c r="W410" t="str">
        <f t="shared" si="61"/>
        <v>CABINA PRINCIPALE</v>
      </c>
      <c r="Z410" t="str">
        <f t="shared" si="62"/>
        <v>10.220.80.16</v>
      </c>
    </row>
    <row r="411" spans="1:26" x14ac:dyDescent="0.25">
      <c r="A411" t="s">
        <v>10</v>
      </c>
      <c r="B411" t="s">
        <v>11</v>
      </c>
      <c r="C411" t="s">
        <v>3666</v>
      </c>
      <c r="D411" t="s">
        <v>552</v>
      </c>
      <c r="E411" t="s">
        <v>760</v>
      </c>
      <c r="F411" t="s">
        <v>14</v>
      </c>
      <c r="G411" t="s">
        <v>21</v>
      </c>
      <c r="H411" t="s">
        <v>22</v>
      </c>
      <c r="I411" t="s">
        <v>895</v>
      </c>
      <c r="J411" t="s">
        <v>896</v>
      </c>
      <c r="K411" t="str">
        <f t="shared" si="54"/>
        <v>1025.4</v>
      </c>
      <c r="N411" t="str">
        <f t="shared" si="55"/>
        <v>HOLDING REGISTER</v>
      </c>
      <c r="O411" t="str">
        <f t="shared" si="56"/>
        <v>BOOL</v>
      </c>
      <c r="P411" t="str">
        <f t="shared" si="57"/>
        <v>CONTATTORE 18K3</v>
      </c>
      <c r="R411" t="str">
        <f t="shared" si="58"/>
        <v>QVE2 -V1 SX CONTATTORE BY-PASS AVVIATORE</v>
      </c>
      <c r="U411" t="str">
        <f t="shared" si="59"/>
        <v>Stato</v>
      </c>
      <c r="V411" t="str">
        <f t="shared" si="60"/>
        <v>QVE 2</v>
      </c>
      <c r="W411" t="str">
        <f t="shared" si="61"/>
        <v>CABINA PRINCIPALE</v>
      </c>
      <c r="Z411" t="str">
        <f t="shared" si="62"/>
        <v>10.220.80.16</v>
      </c>
    </row>
    <row r="412" spans="1:26" x14ac:dyDescent="0.25">
      <c r="A412" t="s">
        <v>10</v>
      </c>
      <c r="B412" t="s">
        <v>11</v>
      </c>
      <c r="C412" t="s">
        <v>3666</v>
      </c>
      <c r="D412" t="s">
        <v>734</v>
      </c>
      <c r="E412" t="s">
        <v>763</v>
      </c>
      <c r="F412" t="s">
        <v>14</v>
      </c>
      <c r="G412" t="s">
        <v>28</v>
      </c>
      <c r="H412" t="s">
        <v>22</v>
      </c>
      <c r="I412" t="s">
        <v>897</v>
      </c>
      <c r="J412" t="s">
        <v>898</v>
      </c>
      <c r="K412" t="str">
        <f t="shared" si="54"/>
        <v>1025.5</v>
      </c>
      <c r="N412" t="str">
        <f t="shared" si="55"/>
        <v>HOLDING REGISTER</v>
      </c>
      <c r="O412" t="str">
        <f t="shared" si="56"/>
        <v>BOOL</v>
      </c>
      <c r="P412" t="str">
        <f t="shared" si="57"/>
        <v>DIFFERENZIALE/SOFTSTART 34RD1/19AVV1</v>
      </c>
      <c r="R412" t="str">
        <f t="shared" si="58"/>
        <v>QVE2 -INTERRUTTORE V2 DXALLARME SOFTSTART/DIFFERENZIALE</v>
      </c>
      <c r="U412" t="str">
        <f t="shared" si="59"/>
        <v>Allarme</v>
      </c>
      <c r="V412" t="str">
        <f t="shared" si="60"/>
        <v>QVE 2</v>
      </c>
      <c r="W412" t="str">
        <f t="shared" si="61"/>
        <v>CABINA PRINCIPALE</v>
      </c>
      <c r="Z412" t="str">
        <f t="shared" si="62"/>
        <v>10.220.80.16</v>
      </c>
    </row>
    <row r="413" spans="1:26" x14ac:dyDescent="0.25">
      <c r="A413" t="s">
        <v>10</v>
      </c>
      <c r="B413" t="s">
        <v>11</v>
      </c>
      <c r="C413" t="s">
        <v>3666</v>
      </c>
      <c r="D413" t="s">
        <v>552</v>
      </c>
      <c r="E413" t="s">
        <v>766</v>
      </c>
      <c r="F413" t="s">
        <v>14</v>
      </c>
      <c r="G413" t="s">
        <v>21</v>
      </c>
      <c r="H413" t="s">
        <v>22</v>
      </c>
      <c r="I413" t="s">
        <v>899</v>
      </c>
      <c r="J413" t="s">
        <v>900</v>
      </c>
      <c r="K413" t="str">
        <f t="shared" si="54"/>
        <v>1025.6</v>
      </c>
      <c r="N413" t="str">
        <f t="shared" si="55"/>
        <v>HOLDING REGISTER</v>
      </c>
      <c r="O413" t="str">
        <f t="shared" si="56"/>
        <v>BOOL</v>
      </c>
      <c r="P413" t="str">
        <f t="shared" si="57"/>
        <v>CONTATTORE 5K1</v>
      </c>
      <c r="R413" t="str">
        <f t="shared" si="58"/>
        <v>QVE2 -V2 DX IN MARCIA DIR. NORD</v>
      </c>
      <c r="U413" t="str">
        <f t="shared" si="59"/>
        <v>Stato</v>
      </c>
      <c r="V413" t="str">
        <f t="shared" si="60"/>
        <v>QVE 2</v>
      </c>
      <c r="W413" t="str">
        <f t="shared" si="61"/>
        <v>CABINA PRINCIPALE</v>
      </c>
      <c r="Z413" t="str">
        <f t="shared" si="62"/>
        <v>10.220.80.16</v>
      </c>
    </row>
    <row r="414" spans="1:26" x14ac:dyDescent="0.25">
      <c r="A414" t="s">
        <v>10</v>
      </c>
      <c r="B414" t="s">
        <v>11</v>
      </c>
      <c r="C414" t="s">
        <v>3666</v>
      </c>
      <c r="D414" t="s">
        <v>555</v>
      </c>
      <c r="E414" t="s">
        <v>769</v>
      </c>
      <c r="F414" t="s">
        <v>14</v>
      </c>
      <c r="G414" t="s">
        <v>21</v>
      </c>
      <c r="H414" t="s">
        <v>22</v>
      </c>
      <c r="I414" t="s">
        <v>901</v>
      </c>
      <c r="J414" t="s">
        <v>902</v>
      </c>
      <c r="K414" t="str">
        <f t="shared" si="54"/>
        <v>1025.7</v>
      </c>
      <c r="N414" t="str">
        <f t="shared" si="55"/>
        <v>HOLDING REGISTER</v>
      </c>
      <c r="O414" t="str">
        <f t="shared" si="56"/>
        <v>BOOL</v>
      </c>
      <c r="P414" t="str">
        <f t="shared" si="57"/>
        <v>SELETTORE 5S1</v>
      </c>
      <c r="R414" t="str">
        <f t="shared" si="58"/>
        <v>QVE2 -SELETTORE V2 DX IN AUTOMATICOMATICO DA QUADRO</v>
      </c>
      <c r="U414" t="str">
        <f t="shared" si="59"/>
        <v>Stato</v>
      </c>
      <c r="V414" t="str">
        <f t="shared" si="60"/>
        <v>QVE 2</v>
      </c>
      <c r="W414" t="str">
        <f t="shared" si="61"/>
        <v>CABINA PRINCIPALE</v>
      </c>
      <c r="Z414" t="str">
        <f t="shared" si="62"/>
        <v>10.220.80.16</v>
      </c>
    </row>
    <row r="415" spans="1:26" x14ac:dyDescent="0.25">
      <c r="A415" t="s">
        <v>10</v>
      </c>
      <c r="B415" t="s">
        <v>11</v>
      </c>
      <c r="C415" t="s">
        <v>3666</v>
      </c>
      <c r="D415" t="s">
        <v>552</v>
      </c>
      <c r="E415" t="s">
        <v>772</v>
      </c>
      <c r="F415" t="s">
        <v>14</v>
      </c>
      <c r="G415" t="s">
        <v>21</v>
      </c>
      <c r="H415" t="s">
        <v>22</v>
      </c>
      <c r="I415" t="s">
        <v>903</v>
      </c>
      <c r="J415" t="s">
        <v>904</v>
      </c>
      <c r="K415" t="str">
        <f t="shared" si="54"/>
        <v>1025.8</v>
      </c>
      <c r="N415" t="str">
        <f t="shared" si="55"/>
        <v>HOLDING REGISTER</v>
      </c>
      <c r="O415" t="str">
        <f t="shared" si="56"/>
        <v>BOOL</v>
      </c>
      <c r="P415" t="str">
        <f t="shared" si="57"/>
        <v>CONTATTORE 5K2</v>
      </c>
      <c r="R415" t="str">
        <f t="shared" si="58"/>
        <v>QVE2 -V2 DX IN MARCIA DIR. SUD</v>
      </c>
      <c r="U415" t="str">
        <f t="shared" si="59"/>
        <v>Stato</v>
      </c>
      <c r="V415" t="str">
        <f t="shared" si="60"/>
        <v>QVE 2</v>
      </c>
      <c r="W415" t="str">
        <f t="shared" si="61"/>
        <v>CABINA PRINCIPALE</v>
      </c>
      <c r="Z415" t="str">
        <f t="shared" si="62"/>
        <v>10.220.80.16</v>
      </c>
    </row>
    <row r="416" spans="1:26" x14ac:dyDescent="0.25">
      <c r="A416" t="s">
        <v>10</v>
      </c>
      <c r="B416" t="s">
        <v>11</v>
      </c>
      <c r="C416" t="s">
        <v>3666</v>
      </c>
      <c r="D416" t="s">
        <v>552</v>
      </c>
      <c r="E416" t="s">
        <v>775</v>
      </c>
      <c r="F416" t="s">
        <v>14</v>
      </c>
      <c r="G416" t="s">
        <v>21</v>
      </c>
      <c r="H416" t="s">
        <v>22</v>
      </c>
      <c r="I416" t="s">
        <v>905</v>
      </c>
      <c r="J416" t="s">
        <v>906</v>
      </c>
      <c r="K416" t="str">
        <f t="shared" si="54"/>
        <v>1025.9</v>
      </c>
      <c r="N416" t="str">
        <f t="shared" si="55"/>
        <v>HOLDING REGISTER</v>
      </c>
      <c r="O416" t="str">
        <f t="shared" si="56"/>
        <v>BOOL</v>
      </c>
      <c r="P416" t="str">
        <f t="shared" si="57"/>
        <v>CONTATTORE 19K3</v>
      </c>
      <c r="R416" t="str">
        <f t="shared" si="58"/>
        <v>QVE2 -V2 DX CONTATTORE BY-PASS AVVIATORE</v>
      </c>
      <c r="U416" t="str">
        <f t="shared" si="59"/>
        <v>Stato</v>
      </c>
      <c r="V416" t="str">
        <f t="shared" si="60"/>
        <v>QVE 2</v>
      </c>
      <c r="W416" t="str">
        <f t="shared" si="61"/>
        <v>CABINA PRINCIPALE</v>
      </c>
      <c r="Z416" t="str">
        <f t="shared" si="62"/>
        <v>10.220.80.16</v>
      </c>
    </row>
    <row r="417" spans="1:26" x14ac:dyDescent="0.25">
      <c r="A417" t="s">
        <v>10</v>
      </c>
      <c r="B417" t="s">
        <v>11</v>
      </c>
      <c r="C417" t="s">
        <v>3666</v>
      </c>
      <c r="D417" t="s">
        <v>734</v>
      </c>
      <c r="E417" t="s">
        <v>778</v>
      </c>
      <c r="F417" t="s">
        <v>14</v>
      </c>
      <c r="G417" t="s">
        <v>28</v>
      </c>
      <c r="H417" t="s">
        <v>22</v>
      </c>
      <c r="I417" t="s">
        <v>907</v>
      </c>
      <c r="J417" t="s">
        <v>908</v>
      </c>
      <c r="K417" t="str">
        <f t="shared" si="54"/>
        <v>1025.10</v>
      </c>
      <c r="N417" t="str">
        <f t="shared" si="55"/>
        <v>HOLDING REGISTER</v>
      </c>
      <c r="O417" t="str">
        <f t="shared" si="56"/>
        <v>BOOL</v>
      </c>
      <c r="P417" t="str">
        <f t="shared" si="57"/>
        <v>DIFFERENZIALE/SOFTSTART 35RD1/20AVV1</v>
      </c>
      <c r="R417" t="str">
        <f t="shared" si="58"/>
        <v>QVE2 -INTERRUTTORE V2 SXALLARME SOFTSTART/DIFFERENZIALE</v>
      </c>
      <c r="U417" t="str">
        <f t="shared" si="59"/>
        <v>Allarme</v>
      </c>
      <c r="V417" t="str">
        <f t="shared" si="60"/>
        <v>QVE 2</v>
      </c>
      <c r="W417" t="str">
        <f t="shared" si="61"/>
        <v>CABINA PRINCIPALE</v>
      </c>
      <c r="Z417" t="str">
        <f t="shared" si="62"/>
        <v>10.220.80.16</v>
      </c>
    </row>
    <row r="418" spans="1:26" x14ac:dyDescent="0.25">
      <c r="A418" t="s">
        <v>10</v>
      </c>
      <c r="B418" t="s">
        <v>11</v>
      </c>
      <c r="C418" t="s">
        <v>3666</v>
      </c>
      <c r="D418" t="s">
        <v>552</v>
      </c>
      <c r="E418" t="s">
        <v>781</v>
      </c>
      <c r="F418" t="s">
        <v>14</v>
      </c>
      <c r="G418" t="s">
        <v>21</v>
      </c>
      <c r="H418" t="s">
        <v>22</v>
      </c>
      <c r="I418" t="s">
        <v>909</v>
      </c>
      <c r="J418" t="s">
        <v>910</v>
      </c>
      <c r="K418" t="str">
        <f t="shared" si="54"/>
        <v>1025.11</v>
      </c>
      <c r="N418" t="str">
        <f t="shared" si="55"/>
        <v>HOLDING REGISTER</v>
      </c>
      <c r="O418" t="str">
        <f t="shared" si="56"/>
        <v>BOOL</v>
      </c>
      <c r="P418" t="str">
        <f t="shared" si="57"/>
        <v>CONTATTORE 6K1</v>
      </c>
      <c r="R418" t="str">
        <f t="shared" si="58"/>
        <v>QVE2 -V2 SX IN MARCIA DIR. NORD</v>
      </c>
      <c r="U418" t="str">
        <f t="shared" si="59"/>
        <v>Stato</v>
      </c>
      <c r="V418" t="str">
        <f t="shared" si="60"/>
        <v>QVE 2</v>
      </c>
      <c r="W418" t="str">
        <f t="shared" si="61"/>
        <v>CABINA PRINCIPALE</v>
      </c>
      <c r="Z418" t="str">
        <f t="shared" si="62"/>
        <v>10.220.80.16</v>
      </c>
    </row>
    <row r="419" spans="1:26" x14ac:dyDescent="0.25">
      <c r="A419" t="s">
        <v>10</v>
      </c>
      <c r="B419" t="s">
        <v>11</v>
      </c>
      <c r="C419" t="s">
        <v>3666</v>
      </c>
      <c r="D419" t="s">
        <v>555</v>
      </c>
      <c r="E419" t="s">
        <v>784</v>
      </c>
      <c r="F419" t="s">
        <v>14</v>
      </c>
      <c r="G419" t="s">
        <v>21</v>
      </c>
      <c r="H419" t="s">
        <v>22</v>
      </c>
      <c r="I419" t="s">
        <v>911</v>
      </c>
      <c r="J419" t="s">
        <v>912</v>
      </c>
      <c r="K419" t="str">
        <f t="shared" si="54"/>
        <v>1025.12</v>
      </c>
      <c r="N419" t="str">
        <f t="shared" si="55"/>
        <v>HOLDING REGISTER</v>
      </c>
      <c r="O419" t="str">
        <f t="shared" si="56"/>
        <v>BOOL</v>
      </c>
      <c r="P419" t="str">
        <f t="shared" si="57"/>
        <v>SELETTORE 6S1</v>
      </c>
      <c r="R419" t="str">
        <f t="shared" si="58"/>
        <v>QVE2 -SELETTORE V2 SX IN AUTOMATICOMATICO DA QUADRO</v>
      </c>
      <c r="U419" t="str">
        <f t="shared" si="59"/>
        <v>Stato</v>
      </c>
      <c r="V419" t="str">
        <f t="shared" si="60"/>
        <v>QVE 2</v>
      </c>
      <c r="W419" t="str">
        <f t="shared" si="61"/>
        <v>CABINA PRINCIPALE</v>
      </c>
      <c r="Z419" t="str">
        <f t="shared" si="62"/>
        <v>10.220.80.16</v>
      </c>
    </row>
    <row r="420" spans="1:26" x14ac:dyDescent="0.25">
      <c r="A420" t="s">
        <v>10</v>
      </c>
      <c r="B420" t="s">
        <v>11</v>
      </c>
      <c r="C420" t="s">
        <v>3666</v>
      </c>
      <c r="D420" t="s">
        <v>552</v>
      </c>
      <c r="E420" t="s">
        <v>787</v>
      </c>
      <c r="F420" t="s">
        <v>14</v>
      </c>
      <c r="G420" t="s">
        <v>21</v>
      </c>
      <c r="H420" t="s">
        <v>22</v>
      </c>
      <c r="I420" t="s">
        <v>913</v>
      </c>
      <c r="J420" t="s">
        <v>914</v>
      </c>
      <c r="K420" t="str">
        <f t="shared" si="54"/>
        <v>1025.13</v>
      </c>
      <c r="N420" t="str">
        <f t="shared" si="55"/>
        <v>HOLDING REGISTER</v>
      </c>
      <c r="O420" t="str">
        <f t="shared" si="56"/>
        <v>BOOL</v>
      </c>
      <c r="P420" t="str">
        <f t="shared" si="57"/>
        <v>CONTATTORE 6K2</v>
      </c>
      <c r="R420" t="str">
        <f t="shared" si="58"/>
        <v>QVE2 -V2 SX IN MARCIA DIR. SUD</v>
      </c>
      <c r="U420" t="str">
        <f t="shared" si="59"/>
        <v>Stato</v>
      </c>
      <c r="V420" t="str">
        <f t="shared" si="60"/>
        <v>QVE 2</v>
      </c>
      <c r="W420" t="str">
        <f t="shared" si="61"/>
        <v>CABINA PRINCIPALE</v>
      </c>
      <c r="Z420" t="str">
        <f t="shared" si="62"/>
        <v>10.220.80.16</v>
      </c>
    </row>
    <row r="421" spans="1:26" x14ac:dyDescent="0.25">
      <c r="A421" t="s">
        <v>10</v>
      </c>
      <c r="B421" t="s">
        <v>11</v>
      </c>
      <c r="C421" t="s">
        <v>3666</v>
      </c>
      <c r="D421" t="s">
        <v>552</v>
      </c>
      <c r="E421" t="s">
        <v>790</v>
      </c>
      <c r="F421" t="s">
        <v>14</v>
      </c>
      <c r="G421" t="s">
        <v>21</v>
      </c>
      <c r="H421" t="s">
        <v>22</v>
      </c>
      <c r="I421" t="s">
        <v>915</v>
      </c>
      <c r="J421" t="s">
        <v>916</v>
      </c>
      <c r="K421" t="str">
        <f t="shared" si="54"/>
        <v>1025.14</v>
      </c>
      <c r="N421" t="str">
        <f t="shared" si="55"/>
        <v>HOLDING REGISTER</v>
      </c>
      <c r="O421" t="str">
        <f t="shared" si="56"/>
        <v>BOOL</v>
      </c>
      <c r="P421" t="str">
        <f t="shared" si="57"/>
        <v>CONTATTORE 20K3</v>
      </c>
      <c r="R421" t="str">
        <f t="shared" si="58"/>
        <v>QVE2 -V2 SX CONTATTORE BY-PASS AVVIATORE</v>
      </c>
      <c r="U421" t="str">
        <f t="shared" si="59"/>
        <v>Stato</v>
      </c>
      <c r="V421" t="str">
        <f t="shared" si="60"/>
        <v>QVE 2</v>
      </c>
      <c r="W421" t="str">
        <f t="shared" si="61"/>
        <v>CABINA PRINCIPALE</v>
      </c>
      <c r="Z421" t="str">
        <f t="shared" si="62"/>
        <v>10.220.80.16</v>
      </c>
    </row>
    <row r="422" spans="1:26" x14ac:dyDescent="0.25">
      <c r="A422" t="s">
        <v>10</v>
      </c>
      <c r="B422" t="s">
        <v>11</v>
      </c>
      <c r="C422" t="s">
        <v>3666</v>
      </c>
      <c r="D422" t="s">
        <v>734</v>
      </c>
      <c r="E422" t="s">
        <v>793</v>
      </c>
      <c r="F422" t="s">
        <v>14</v>
      </c>
      <c r="G422" t="s">
        <v>28</v>
      </c>
      <c r="H422" t="s">
        <v>22</v>
      </c>
      <c r="I422" t="s">
        <v>917</v>
      </c>
      <c r="J422" t="s">
        <v>918</v>
      </c>
      <c r="K422" t="str">
        <f t="shared" si="54"/>
        <v>1025.15</v>
      </c>
      <c r="N422" t="str">
        <f t="shared" si="55"/>
        <v>HOLDING REGISTER</v>
      </c>
      <c r="O422" t="str">
        <f t="shared" si="56"/>
        <v>BOOL</v>
      </c>
      <c r="P422" t="str">
        <f t="shared" si="57"/>
        <v>DIFFERENZIALE/SOFTSTART 36RD1/21AVV1</v>
      </c>
      <c r="R422" t="str">
        <f t="shared" si="58"/>
        <v>QVE2 -INTERRUTTORE V3 DXALLARME SOFTSTART/DIFFERENZIALE</v>
      </c>
      <c r="U422" t="str">
        <f t="shared" si="59"/>
        <v>Allarme</v>
      </c>
      <c r="V422" t="str">
        <f t="shared" si="60"/>
        <v>QVE 2</v>
      </c>
      <c r="W422" t="str">
        <f t="shared" si="61"/>
        <v>CABINA PRINCIPALE</v>
      </c>
      <c r="Z422" t="str">
        <f t="shared" si="62"/>
        <v>10.220.80.16</v>
      </c>
    </row>
    <row r="423" spans="1:26" x14ac:dyDescent="0.25">
      <c r="A423" t="s">
        <v>10</v>
      </c>
      <c r="B423" t="s">
        <v>11</v>
      </c>
      <c r="C423" t="s">
        <v>3666</v>
      </c>
      <c r="D423" t="s">
        <v>552</v>
      </c>
      <c r="E423" t="s">
        <v>796</v>
      </c>
      <c r="F423" t="s">
        <v>14</v>
      </c>
      <c r="G423" t="s">
        <v>21</v>
      </c>
      <c r="H423" t="s">
        <v>22</v>
      </c>
      <c r="I423" t="s">
        <v>919</v>
      </c>
      <c r="J423" t="s">
        <v>920</v>
      </c>
      <c r="K423" t="str">
        <f t="shared" si="54"/>
        <v>1026.0</v>
      </c>
      <c r="N423" t="str">
        <f t="shared" si="55"/>
        <v>HOLDING REGISTER</v>
      </c>
      <c r="O423" t="str">
        <f t="shared" si="56"/>
        <v>BOOL</v>
      </c>
      <c r="P423" t="str">
        <f t="shared" si="57"/>
        <v>CONTATTORE 7K1</v>
      </c>
      <c r="R423" t="str">
        <f t="shared" si="58"/>
        <v>QVE2 -V3 DX IN MARCIA DIR. NORD</v>
      </c>
      <c r="U423" t="str">
        <f t="shared" si="59"/>
        <v>Stato</v>
      </c>
      <c r="V423" t="str">
        <f t="shared" si="60"/>
        <v>QVE 2</v>
      </c>
      <c r="W423" t="str">
        <f t="shared" si="61"/>
        <v>CABINA PRINCIPALE</v>
      </c>
      <c r="Z423" t="str">
        <f t="shared" si="62"/>
        <v>10.220.80.16</v>
      </c>
    </row>
    <row r="424" spans="1:26" x14ac:dyDescent="0.25">
      <c r="A424" t="s">
        <v>10</v>
      </c>
      <c r="B424" t="s">
        <v>11</v>
      </c>
      <c r="C424" t="s">
        <v>3666</v>
      </c>
      <c r="D424" t="s">
        <v>555</v>
      </c>
      <c r="E424" t="s">
        <v>799</v>
      </c>
      <c r="F424" t="s">
        <v>14</v>
      </c>
      <c r="G424" t="s">
        <v>21</v>
      </c>
      <c r="H424" t="s">
        <v>22</v>
      </c>
      <c r="I424" t="s">
        <v>921</v>
      </c>
      <c r="J424" t="s">
        <v>922</v>
      </c>
      <c r="K424" t="str">
        <f t="shared" si="54"/>
        <v>1026.1</v>
      </c>
      <c r="N424" t="str">
        <f t="shared" si="55"/>
        <v>HOLDING REGISTER</v>
      </c>
      <c r="O424" t="str">
        <f t="shared" si="56"/>
        <v>BOOL</v>
      </c>
      <c r="P424" t="str">
        <f t="shared" si="57"/>
        <v>SELETTORE 7S1</v>
      </c>
      <c r="R424" t="str">
        <f t="shared" si="58"/>
        <v>QVE2 -SELETTORE V3 DX IN AUTOMATICOMATICO DA QUADRO</v>
      </c>
      <c r="U424" t="str">
        <f t="shared" si="59"/>
        <v>Stato</v>
      </c>
      <c r="V424" t="str">
        <f t="shared" si="60"/>
        <v>QVE 2</v>
      </c>
      <c r="W424" t="str">
        <f t="shared" si="61"/>
        <v>CABINA PRINCIPALE</v>
      </c>
      <c r="Z424" t="str">
        <f t="shared" si="62"/>
        <v>10.220.80.16</v>
      </c>
    </row>
    <row r="425" spans="1:26" x14ac:dyDescent="0.25">
      <c r="A425" t="s">
        <v>10</v>
      </c>
      <c r="B425" t="s">
        <v>11</v>
      </c>
      <c r="C425" t="s">
        <v>3666</v>
      </c>
      <c r="D425" t="s">
        <v>552</v>
      </c>
      <c r="E425" t="s">
        <v>802</v>
      </c>
      <c r="F425" t="s">
        <v>14</v>
      </c>
      <c r="G425" t="s">
        <v>21</v>
      </c>
      <c r="H425" t="s">
        <v>22</v>
      </c>
      <c r="I425" t="s">
        <v>923</v>
      </c>
      <c r="J425" t="s">
        <v>924</v>
      </c>
      <c r="K425" t="str">
        <f t="shared" si="54"/>
        <v>1026.2</v>
      </c>
      <c r="N425" t="str">
        <f t="shared" si="55"/>
        <v>HOLDING REGISTER</v>
      </c>
      <c r="O425" t="str">
        <f t="shared" si="56"/>
        <v>BOOL</v>
      </c>
      <c r="P425" t="str">
        <f t="shared" si="57"/>
        <v>CONTATTORE 7K2</v>
      </c>
      <c r="R425" t="str">
        <f t="shared" si="58"/>
        <v>QVE2 -V3 DX IN MARCIA DIR. SUD</v>
      </c>
      <c r="U425" t="str">
        <f t="shared" si="59"/>
        <v>Stato</v>
      </c>
      <c r="V425" t="str">
        <f t="shared" si="60"/>
        <v>QVE 2</v>
      </c>
      <c r="W425" t="str">
        <f t="shared" si="61"/>
        <v>CABINA PRINCIPALE</v>
      </c>
      <c r="Z425" t="str">
        <f t="shared" si="62"/>
        <v>10.220.80.16</v>
      </c>
    </row>
    <row r="426" spans="1:26" x14ac:dyDescent="0.25">
      <c r="A426" t="s">
        <v>10</v>
      </c>
      <c r="B426" t="s">
        <v>11</v>
      </c>
      <c r="C426" t="s">
        <v>3666</v>
      </c>
      <c r="D426" t="s">
        <v>552</v>
      </c>
      <c r="E426" t="s">
        <v>805</v>
      </c>
      <c r="F426" t="s">
        <v>14</v>
      </c>
      <c r="G426" t="s">
        <v>21</v>
      </c>
      <c r="H426" t="s">
        <v>22</v>
      </c>
      <c r="I426" t="s">
        <v>925</v>
      </c>
      <c r="J426" t="s">
        <v>926</v>
      </c>
      <c r="K426" t="str">
        <f t="shared" si="54"/>
        <v>1026.3</v>
      </c>
      <c r="N426" t="str">
        <f t="shared" si="55"/>
        <v>HOLDING REGISTER</v>
      </c>
      <c r="O426" t="str">
        <f t="shared" si="56"/>
        <v>BOOL</v>
      </c>
      <c r="P426" t="str">
        <f t="shared" si="57"/>
        <v>CONTATTORE 21K3</v>
      </c>
      <c r="R426" t="str">
        <f t="shared" si="58"/>
        <v>QVE2 -V3 DX CONTATTORE BY-PASS AVVIATORE</v>
      </c>
      <c r="U426" t="str">
        <f t="shared" si="59"/>
        <v>Stato</v>
      </c>
      <c r="V426" t="str">
        <f t="shared" si="60"/>
        <v>QVE 2</v>
      </c>
      <c r="W426" t="str">
        <f t="shared" si="61"/>
        <v>CABINA PRINCIPALE</v>
      </c>
      <c r="Z426" t="str">
        <f t="shared" si="62"/>
        <v>10.220.80.16</v>
      </c>
    </row>
    <row r="427" spans="1:26" x14ac:dyDescent="0.25">
      <c r="A427" t="s">
        <v>10</v>
      </c>
      <c r="B427" t="s">
        <v>11</v>
      </c>
      <c r="C427" t="s">
        <v>3666</v>
      </c>
      <c r="D427" t="s">
        <v>734</v>
      </c>
      <c r="E427" t="s">
        <v>808</v>
      </c>
      <c r="F427" t="s">
        <v>14</v>
      </c>
      <c r="G427" t="s">
        <v>28</v>
      </c>
      <c r="H427" t="s">
        <v>22</v>
      </c>
      <c r="I427" t="s">
        <v>927</v>
      </c>
      <c r="J427" t="s">
        <v>928</v>
      </c>
      <c r="K427" t="str">
        <f t="shared" si="54"/>
        <v>1026.4</v>
      </c>
      <c r="N427" t="str">
        <f t="shared" si="55"/>
        <v>HOLDING REGISTER</v>
      </c>
      <c r="O427" t="str">
        <f t="shared" si="56"/>
        <v>BOOL</v>
      </c>
      <c r="P427" t="str">
        <f t="shared" si="57"/>
        <v>DIFFERENZIALE/SOFTSTART 37RD1/22AVV1</v>
      </c>
      <c r="R427" t="str">
        <f t="shared" si="58"/>
        <v>QVE2 -INTERRUTTORE V3 SXALLARME SOFTSTART/DIFFERENZIALE</v>
      </c>
      <c r="U427" t="str">
        <f t="shared" si="59"/>
        <v>Allarme</v>
      </c>
      <c r="V427" t="str">
        <f t="shared" si="60"/>
        <v>QVE 2</v>
      </c>
      <c r="W427" t="str">
        <f t="shared" si="61"/>
        <v>CABINA PRINCIPALE</v>
      </c>
      <c r="Z427" t="str">
        <f t="shared" si="62"/>
        <v>10.220.80.16</v>
      </c>
    </row>
    <row r="428" spans="1:26" x14ac:dyDescent="0.25">
      <c r="A428" t="s">
        <v>10</v>
      </c>
      <c r="B428" t="s">
        <v>11</v>
      </c>
      <c r="C428" t="s">
        <v>3666</v>
      </c>
      <c r="D428" t="s">
        <v>552</v>
      </c>
      <c r="E428" t="s">
        <v>811</v>
      </c>
      <c r="F428" t="s">
        <v>14</v>
      </c>
      <c r="G428" t="s">
        <v>21</v>
      </c>
      <c r="H428" t="s">
        <v>22</v>
      </c>
      <c r="I428" t="s">
        <v>929</v>
      </c>
      <c r="J428" t="s">
        <v>930</v>
      </c>
      <c r="K428" t="str">
        <f t="shared" si="54"/>
        <v>1026.5</v>
      </c>
      <c r="N428" t="str">
        <f t="shared" si="55"/>
        <v>HOLDING REGISTER</v>
      </c>
      <c r="O428" t="str">
        <f t="shared" si="56"/>
        <v>BOOL</v>
      </c>
      <c r="P428" t="str">
        <f t="shared" si="57"/>
        <v>CONTATTORE 8K1</v>
      </c>
      <c r="R428" t="str">
        <f t="shared" si="58"/>
        <v>QVE2 -V3 SX IN MARCIA DIR. NORD</v>
      </c>
      <c r="U428" t="str">
        <f t="shared" si="59"/>
        <v>Stato</v>
      </c>
      <c r="V428" t="str">
        <f t="shared" si="60"/>
        <v>QVE 2</v>
      </c>
      <c r="W428" t="str">
        <f t="shared" si="61"/>
        <v>CABINA PRINCIPALE</v>
      </c>
      <c r="Z428" t="str">
        <f t="shared" si="62"/>
        <v>10.220.80.16</v>
      </c>
    </row>
    <row r="429" spans="1:26" x14ac:dyDescent="0.25">
      <c r="A429" t="s">
        <v>10</v>
      </c>
      <c r="B429" t="s">
        <v>11</v>
      </c>
      <c r="C429" t="s">
        <v>3666</v>
      </c>
      <c r="D429" t="s">
        <v>555</v>
      </c>
      <c r="E429" t="s">
        <v>814</v>
      </c>
      <c r="F429" t="s">
        <v>14</v>
      </c>
      <c r="G429" t="s">
        <v>21</v>
      </c>
      <c r="H429" t="s">
        <v>22</v>
      </c>
      <c r="I429" t="s">
        <v>931</v>
      </c>
      <c r="J429" t="s">
        <v>932</v>
      </c>
      <c r="K429" t="str">
        <f t="shared" si="54"/>
        <v>1026.6</v>
      </c>
      <c r="N429" t="str">
        <f t="shared" si="55"/>
        <v>HOLDING REGISTER</v>
      </c>
      <c r="O429" t="str">
        <f t="shared" si="56"/>
        <v>BOOL</v>
      </c>
      <c r="P429" t="str">
        <f t="shared" si="57"/>
        <v>SELETTORE 8S1</v>
      </c>
      <c r="R429" t="str">
        <f t="shared" si="58"/>
        <v>QVE2 -SELETTORE V3 SX IN AUTOMATICOMATICO DA QUADRO</v>
      </c>
      <c r="U429" t="str">
        <f t="shared" si="59"/>
        <v>Stato</v>
      </c>
      <c r="V429" t="str">
        <f t="shared" si="60"/>
        <v>QVE 2</v>
      </c>
      <c r="W429" t="str">
        <f t="shared" si="61"/>
        <v>CABINA PRINCIPALE</v>
      </c>
      <c r="Z429" t="str">
        <f t="shared" si="62"/>
        <v>10.220.80.16</v>
      </c>
    </row>
    <row r="430" spans="1:26" x14ac:dyDescent="0.25">
      <c r="A430" t="s">
        <v>10</v>
      </c>
      <c r="B430" t="s">
        <v>11</v>
      </c>
      <c r="C430" t="s">
        <v>3666</v>
      </c>
      <c r="D430" t="s">
        <v>552</v>
      </c>
      <c r="E430" t="s">
        <v>817</v>
      </c>
      <c r="F430" t="s">
        <v>14</v>
      </c>
      <c r="G430" t="s">
        <v>21</v>
      </c>
      <c r="H430" t="s">
        <v>22</v>
      </c>
      <c r="I430" t="s">
        <v>933</v>
      </c>
      <c r="J430" t="s">
        <v>934</v>
      </c>
      <c r="K430" t="str">
        <f t="shared" si="54"/>
        <v>1026.7</v>
      </c>
      <c r="N430" t="str">
        <f t="shared" si="55"/>
        <v>HOLDING REGISTER</v>
      </c>
      <c r="O430" t="str">
        <f t="shared" si="56"/>
        <v>BOOL</v>
      </c>
      <c r="P430" t="str">
        <f t="shared" si="57"/>
        <v>CONTATTORE 8K2</v>
      </c>
      <c r="R430" t="str">
        <f t="shared" si="58"/>
        <v>QVE2 -V3 SX IN MARCIA DIR. SUD</v>
      </c>
      <c r="U430" t="str">
        <f t="shared" si="59"/>
        <v>Stato</v>
      </c>
      <c r="V430" t="str">
        <f t="shared" si="60"/>
        <v>QVE 2</v>
      </c>
      <c r="W430" t="str">
        <f t="shared" si="61"/>
        <v>CABINA PRINCIPALE</v>
      </c>
      <c r="Z430" t="str">
        <f t="shared" si="62"/>
        <v>10.220.80.16</v>
      </c>
    </row>
    <row r="431" spans="1:26" x14ac:dyDescent="0.25">
      <c r="A431" t="s">
        <v>10</v>
      </c>
      <c r="B431" t="s">
        <v>11</v>
      </c>
      <c r="C431" t="s">
        <v>3666</v>
      </c>
      <c r="D431" t="s">
        <v>552</v>
      </c>
      <c r="E431" t="s">
        <v>820</v>
      </c>
      <c r="F431" t="s">
        <v>14</v>
      </c>
      <c r="G431" t="s">
        <v>21</v>
      </c>
      <c r="H431" t="s">
        <v>22</v>
      </c>
      <c r="I431" t="s">
        <v>935</v>
      </c>
      <c r="J431" t="s">
        <v>936</v>
      </c>
      <c r="K431" t="str">
        <f t="shared" si="54"/>
        <v>1026.8</v>
      </c>
      <c r="N431" t="str">
        <f t="shared" si="55"/>
        <v>HOLDING REGISTER</v>
      </c>
      <c r="O431" t="str">
        <f t="shared" si="56"/>
        <v>BOOL</v>
      </c>
      <c r="P431" t="str">
        <f t="shared" si="57"/>
        <v>CONTATTORE 22K3</v>
      </c>
      <c r="R431" t="str">
        <f t="shared" si="58"/>
        <v>QVE2 -V3 SX CONTATTORE BY-PASS AVVIATORE</v>
      </c>
      <c r="U431" t="str">
        <f t="shared" si="59"/>
        <v>Stato</v>
      </c>
      <c r="V431" t="str">
        <f t="shared" si="60"/>
        <v>QVE 2</v>
      </c>
      <c r="W431" t="str">
        <f t="shared" si="61"/>
        <v>CABINA PRINCIPALE</v>
      </c>
      <c r="Z431" t="str">
        <f t="shared" si="62"/>
        <v>10.220.80.16</v>
      </c>
    </row>
    <row r="432" spans="1:26" x14ac:dyDescent="0.25">
      <c r="A432" t="s">
        <v>10</v>
      </c>
      <c r="B432" t="s">
        <v>11</v>
      </c>
      <c r="C432" t="s">
        <v>3666</v>
      </c>
      <c r="D432" t="s">
        <v>205</v>
      </c>
      <c r="E432" t="s">
        <v>206</v>
      </c>
      <c r="F432" t="s">
        <v>14</v>
      </c>
      <c r="G432" t="s">
        <v>28</v>
      </c>
      <c r="H432" t="s">
        <v>22</v>
      </c>
      <c r="I432" t="s">
        <v>937</v>
      </c>
      <c r="J432" t="s">
        <v>938</v>
      </c>
      <c r="K432" t="str">
        <f t="shared" si="54"/>
        <v>1026.9</v>
      </c>
      <c r="N432" t="str">
        <f t="shared" si="55"/>
        <v>HOLDING REGISTER</v>
      </c>
      <c r="O432" t="str">
        <f t="shared" si="56"/>
        <v>BOOL</v>
      </c>
      <c r="P432" t="str">
        <f t="shared" si="57"/>
        <v>REMOTE I/O RIO</v>
      </c>
      <c r="R432" t="str">
        <f t="shared" si="58"/>
        <v>QVE2 -ERRORE DI COMUNICAZIONE CON RIO</v>
      </c>
      <c r="U432" t="str">
        <f t="shared" si="59"/>
        <v>Allarme</v>
      </c>
      <c r="V432" t="str">
        <f t="shared" si="60"/>
        <v>QVE 2</v>
      </c>
      <c r="W432" t="str">
        <f t="shared" si="61"/>
        <v>CABINA PRINCIPALE</v>
      </c>
      <c r="Z432" t="str">
        <f t="shared" si="62"/>
        <v>10.220.80.16</v>
      </c>
    </row>
    <row r="433" spans="1:26" x14ac:dyDescent="0.25">
      <c r="A433" t="s">
        <v>10</v>
      </c>
      <c r="B433" t="s">
        <v>11</v>
      </c>
      <c r="C433" t="s">
        <v>939</v>
      </c>
      <c r="D433" t="s">
        <v>939</v>
      </c>
      <c r="E433" t="s">
        <v>940</v>
      </c>
      <c r="F433" t="s">
        <v>14</v>
      </c>
      <c r="G433" t="s">
        <v>28</v>
      </c>
      <c r="H433" t="s">
        <v>22</v>
      </c>
      <c r="I433" t="s">
        <v>941</v>
      </c>
      <c r="J433" t="s">
        <v>942</v>
      </c>
      <c r="K433" t="str">
        <f t="shared" si="54"/>
        <v>1026.10</v>
      </c>
      <c r="N433" t="str">
        <f t="shared" si="55"/>
        <v>HOLDING REGISTER</v>
      </c>
      <c r="O433" t="str">
        <f t="shared" si="56"/>
        <v>BOOL</v>
      </c>
      <c r="P433" t="str">
        <f t="shared" si="57"/>
        <v>UPS UPS 80kVA</v>
      </c>
      <c r="R433" t="str">
        <f t="shared" si="58"/>
        <v>UPS80 -MANCA RETE</v>
      </c>
      <c r="U433" t="str">
        <f t="shared" si="59"/>
        <v>Allarme</v>
      </c>
      <c r="V433" t="str">
        <f t="shared" si="60"/>
        <v>UPS</v>
      </c>
      <c r="W433" t="str">
        <f t="shared" si="61"/>
        <v>CABINA PRINCIPALE</v>
      </c>
      <c r="Z433" t="str">
        <f t="shared" si="62"/>
        <v>10.220.80.16</v>
      </c>
    </row>
    <row r="434" spans="1:26" x14ac:dyDescent="0.25">
      <c r="A434" t="s">
        <v>10</v>
      </c>
      <c r="B434" t="s">
        <v>11</v>
      </c>
      <c r="C434" t="s">
        <v>939</v>
      </c>
      <c r="D434" t="s">
        <v>939</v>
      </c>
      <c r="E434" t="s">
        <v>940</v>
      </c>
      <c r="F434" t="s">
        <v>14</v>
      </c>
      <c r="G434" t="s">
        <v>28</v>
      </c>
      <c r="H434" t="s">
        <v>22</v>
      </c>
      <c r="I434" t="s">
        <v>943</v>
      </c>
      <c r="J434" t="s">
        <v>944</v>
      </c>
      <c r="K434" t="str">
        <f t="shared" si="54"/>
        <v>1026.11</v>
      </c>
      <c r="N434" t="str">
        <f t="shared" si="55"/>
        <v>HOLDING REGISTER</v>
      </c>
      <c r="O434" t="str">
        <f t="shared" si="56"/>
        <v>BOOL</v>
      </c>
      <c r="P434" t="str">
        <f t="shared" si="57"/>
        <v>UPS UPS 80kVA</v>
      </c>
      <c r="R434" t="str">
        <f t="shared" si="58"/>
        <v>UPS80 -BATTERIA SCARICA</v>
      </c>
      <c r="U434" t="str">
        <f t="shared" si="59"/>
        <v>Allarme</v>
      </c>
      <c r="V434" t="str">
        <f t="shared" si="60"/>
        <v>UPS</v>
      </c>
      <c r="W434" t="str">
        <f t="shared" si="61"/>
        <v>CABINA PRINCIPALE</v>
      </c>
      <c r="Z434" t="str">
        <f t="shared" si="62"/>
        <v>10.220.80.16</v>
      </c>
    </row>
    <row r="435" spans="1:26" x14ac:dyDescent="0.25">
      <c r="A435" t="s">
        <v>10</v>
      </c>
      <c r="B435" t="s">
        <v>11</v>
      </c>
      <c r="C435" t="s">
        <v>939</v>
      </c>
      <c r="D435" t="s">
        <v>939</v>
      </c>
      <c r="E435" t="s">
        <v>940</v>
      </c>
      <c r="F435" t="s">
        <v>14</v>
      </c>
      <c r="G435" t="s">
        <v>28</v>
      </c>
      <c r="H435" t="s">
        <v>22</v>
      </c>
      <c r="I435" t="s">
        <v>945</v>
      </c>
      <c r="J435" t="s">
        <v>946</v>
      </c>
      <c r="K435" t="str">
        <f t="shared" si="54"/>
        <v>1026.12</v>
      </c>
      <c r="N435" t="str">
        <f t="shared" si="55"/>
        <v>HOLDING REGISTER</v>
      </c>
      <c r="O435" t="str">
        <f t="shared" si="56"/>
        <v>BOOL</v>
      </c>
      <c r="P435" t="str">
        <f t="shared" si="57"/>
        <v>UPS UPS 80kVA</v>
      </c>
      <c r="R435" t="str">
        <f t="shared" si="58"/>
        <v>UPS80 -ALLARME</v>
      </c>
      <c r="U435" t="str">
        <f t="shared" si="59"/>
        <v>Allarme</v>
      </c>
      <c r="V435" t="str">
        <f t="shared" si="60"/>
        <v>UPS</v>
      </c>
      <c r="W435" t="str">
        <f t="shared" si="61"/>
        <v>CABINA PRINCIPALE</v>
      </c>
      <c r="Z435" t="str">
        <f t="shared" si="62"/>
        <v>10.220.80.16</v>
      </c>
    </row>
    <row r="436" spans="1:26" x14ac:dyDescent="0.25">
      <c r="A436" t="s">
        <v>10</v>
      </c>
      <c r="B436" t="s">
        <v>11</v>
      </c>
      <c r="C436" t="s">
        <v>939</v>
      </c>
      <c r="D436" t="s">
        <v>939</v>
      </c>
      <c r="E436" t="s">
        <v>947</v>
      </c>
      <c r="F436" t="s">
        <v>14</v>
      </c>
      <c r="G436" t="s">
        <v>28</v>
      </c>
      <c r="H436" t="s">
        <v>22</v>
      </c>
      <c r="I436" t="s">
        <v>948</v>
      </c>
      <c r="J436" t="s">
        <v>949</v>
      </c>
      <c r="K436" t="str">
        <f t="shared" si="54"/>
        <v>1026.13</v>
      </c>
      <c r="N436" t="str">
        <f t="shared" si="55"/>
        <v>HOLDING REGISTER</v>
      </c>
      <c r="O436" t="str">
        <f t="shared" si="56"/>
        <v>BOOL</v>
      </c>
      <c r="P436" t="str">
        <f t="shared" si="57"/>
        <v>UPS UPS1 40kVA</v>
      </c>
      <c r="R436" t="str">
        <f t="shared" si="58"/>
        <v>UPS120_1 -MANCA RETE</v>
      </c>
      <c r="U436" t="str">
        <f t="shared" si="59"/>
        <v>Allarme</v>
      </c>
      <c r="V436" t="str">
        <f t="shared" si="60"/>
        <v>UPS</v>
      </c>
      <c r="W436" t="str">
        <f t="shared" si="61"/>
        <v>CABINA PRINCIPALE</v>
      </c>
      <c r="Z436" t="str">
        <f t="shared" si="62"/>
        <v>10.220.80.16</v>
      </c>
    </row>
    <row r="437" spans="1:26" x14ac:dyDescent="0.25">
      <c r="A437" t="s">
        <v>10</v>
      </c>
      <c r="B437" t="s">
        <v>11</v>
      </c>
      <c r="C437" t="s">
        <v>939</v>
      </c>
      <c r="D437" t="s">
        <v>939</v>
      </c>
      <c r="E437" t="s">
        <v>947</v>
      </c>
      <c r="F437" t="s">
        <v>14</v>
      </c>
      <c r="G437" t="s">
        <v>28</v>
      </c>
      <c r="H437" t="s">
        <v>22</v>
      </c>
      <c r="I437" t="s">
        <v>950</v>
      </c>
      <c r="J437" t="s">
        <v>951</v>
      </c>
      <c r="K437" t="str">
        <f t="shared" si="54"/>
        <v>1026.14</v>
      </c>
      <c r="N437" t="str">
        <f t="shared" si="55"/>
        <v>HOLDING REGISTER</v>
      </c>
      <c r="O437" t="str">
        <f t="shared" si="56"/>
        <v>BOOL</v>
      </c>
      <c r="P437" t="str">
        <f t="shared" si="57"/>
        <v>UPS UPS1 40kVA</v>
      </c>
      <c r="R437" t="str">
        <f t="shared" si="58"/>
        <v>UPS120_1 -BATTERIA SCARICA</v>
      </c>
      <c r="U437" t="str">
        <f t="shared" si="59"/>
        <v>Allarme</v>
      </c>
      <c r="V437" t="str">
        <f t="shared" si="60"/>
        <v>UPS</v>
      </c>
      <c r="W437" t="str">
        <f t="shared" si="61"/>
        <v>CABINA PRINCIPALE</v>
      </c>
      <c r="Z437" t="str">
        <f t="shared" si="62"/>
        <v>10.220.80.16</v>
      </c>
    </row>
    <row r="438" spans="1:26" x14ac:dyDescent="0.25">
      <c r="A438" t="s">
        <v>10</v>
      </c>
      <c r="B438" t="s">
        <v>11</v>
      </c>
      <c r="C438" t="s">
        <v>939</v>
      </c>
      <c r="D438" t="s">
        <v>939</v>
      </c>
      <c r="E438" t="s">
        <v>947</v>
      </c>
      <c r="F438" t="s">
        <v>14</v>
      </c>
      <c r="G438" t="s">
        <v>28</v>
      </c>
      <c r="H438" t="s">
        <v>22</v>
      </c>
      <c r="I438" t="s">
        <v>952</v>
      </c>
      <c r="J438" t="s">
        <v>953</v>
      </c>
      <c r="K438" t="str">
        <f t="shared" si="54"/>
        <v>1026.15</v>
      </c>
      <c r="N438" t="str">
        <f t="shared" si="55"/>
        <v>HOLDING REGISTER</v>
      </c>
      <c r="O438" t="str">
        <f t="shared" si="56"/>
        <v>BOOL</v>
      </c>
      <c r="P438" t="str">
        <f t="shared" si="57"/>
        <v>UPS UPS1 40kVA</v>
      </c>
      <c r="R438" t="str">
        <f t="shared" si="58"/>
        <v>UPS120_1 -ALLARME</v>
      </c>
      <c r="U438" t="str">
        <f t="shared" si="59"/>
        <v>Allarme</v>
      </c>
      <c r="V438" t="str">
        <f t="shared" si="60"/>
        <v>UPS</v>
      </c>
      <c r="W438" t="str">
        <f t="shared" si="61"/>
        <v>CABINA PRINCIPALE</v>
      </c>
      <c r="Z438" t="str">
        <f t="shared" si="62"/>
        <v>10.220.80.16</v>
      </c>
    </row>
    <row r="439" spans="1:26" x14ac:dyDescent="0.25">
      <c r="A439" t="s">
        <v>10</v>
      </c>
      <c r="B439" t="s">
        <v>11</v>
      </c>
      <c r="C439" t="s">
        <v>939</v>
      </c>
      <c r="D439" t="s">
        <v>939</v>
      </c>
      <c r="E439" t="s">
        <v>954</v>
      </c>
      <c r="F439" t="s">
        <v>14</v>
      </c>
      <c r="G439" t="s">
        <v>28</v>
      </c>
      <c r="H439" t="s">
        <v>22</v>
      </c>
      <c r="I439" t="s">
        <v>955</v>
      </c>
      <c r="J439" t="s">
        <v>956</v>
      </c>
      <c r="K439" t="str">
        <f t="shared" si="54"/>
        <v>1027.0</v>
      </c>
      <c r="N439" t="str">
        <f t="shared" si="55"/>
        <v>HOLDING REGISTER</v>
      </c>
      <c r="O439" t="str">
        <f t="shared" si="56"/>
        <v>BOOL</v>
      </c>
      <c r="P439" t="str">
        <f t="shared" si="57"/>
        <v>UPS UPS2 40kVA</v>
      </c>
      <c r="R439" t="str">
        <f t="shared" si="58"/>
        <v>UPS120_2 -MANCA RETE</v>
      </c>
      <c r="U439" t="str">
        <f t="shared" si="59"/>
        <v>Allarme</v>
      </c>
      <c r="V439" t="str">
        <f t="shared" si="60"/>
        <v>UPS</v>
      </c>
      <c r="W439" t="str">
        <f t="shared" si="61"/>
        <v>CABINA PRINCIPALE</v>
      </c>
      <c r="Z439" t="str">
        <f t="shared" si="62"/>
        <v>10.220.80.16</v>
      </c>
    </row>
    <row r="440" spans="1:26" x14ac:dyDescent="0.25">
      <c r="A440" t="s">
        <v>10</v>
      </c>
      <c r="B440" t="s">
        <v>11</v>
      </c>
      <c r="C440" t="s">
        <v>939</v>
      </c>
      <c r="D440" t="s">
        <v>939</v>
      </c>
      <c r="E440" t="s">
        <v>954</v>
      </c>
      <c r="F440" t="s">
        <v>14</v>
      </c>
      <c r="G440" t="s">
        <v>28</v>
      </c>
      <c r="H440" t="s">
        <v>22</v>
      </c>
      <c r="I440" t="s">
        <v>957</v>
      </c>
      <c r="J440" t="s">
        <v>958</v>
      </c>
      <c r="K440" t="str">
        <f t="shared" si="54"/>
        <v>1027.1</v>
      </c>
      <c r="N440" t="str">
        <f t="shared" si="55"/>
        <v>HOLDING REGISTER</v>
      </c>
      <c r="O440" t="str">
        <f t="shared" si="56"/>
        <v>BOOL</v>
      </c>
      <c r="P440" t="str">
        <f t="shared" si="57"/>
        <v>UPS UPS2 40kVA</v>
      </c>
      <c r="R440" t="str">
        <f t="shared" si="58"/>
        <v>UPS120_2 -BATTERIA SCARICA</v>
      </c>
      <c r="U440" t="str">
        <f t="shared" si="59"/>
        <v>Allarme</v>
      </c>
      <c r="V440" t="str">
        <f t="shared" si="60"/>
        <v>UPS</v>
      </c>
      <c r="W440" t="str">
        <f t="shared" si="61"/>
        <v>CABINA PRINCIPALE</v>
      </c>
      <c r="Z440" t="str">
        <f t="shared" si="62"/>
        <v>10.220.80.16</v>
      </c>
    </row>
    <row r="441" spans="1:26" x14ac:dyDescent="0.25">
      <c r="A441" t="s">
        <v>10</v>
      </c>
      <c r="B441" t="s">
        <v>11</v>
      </c>
      <c r="C441" t="s">
        <v>939</v>
      </c>
      <c r="D441" t="s">
        <v>939</v>
      </c>
      <c r="E441" t="s">
        <v>954</v>
      </c>
      <c r="F441" t="s">
        <v>14</v>
      </c>
      <c r="G441" t="s">
        <v>28</v>
      </c>
      <c r="H441" t="s">
        <v>22</v>
      </c>
      <c r="I441" t="s">
        <v>959</v>
      </c>
      <c r="J441" t="s">
        <v>960</v>
      </c>
      <c r="K441" t="str">
        <f t="shared" si="54"/>
        <v>1027.2</v>
      </c>
      <c r="N441" t="str">
        <f t="shared" si="55"/>
        <v>HOLDING REGISTER</v>
      </c>
      <c r="O441" t="str">
        <f t="shared" si="56"/>
        <v>BOOL</v>
      </c>
      <c r="P441" t="str">
        <f t="shared" si="57"/>
        <v>UPS UPS2 40kVA</v>
      </c>
      <c r="R441" t="str">
        <f t="shared" si="58"/>
        <v>UPS120_2 -ALLARME</v>
      </c>
      <c r="U441" t="str">
        <f t="shared" si="59"/>
        <v>Allarme</v>
      </c>
      <c r="V441" t="str">
        <f t="shared" si="60"/>
        <v>UPS</v>
      </c>
      <c r="W441" t="str">
        <f t="shared" si="61"/>
        <v>CABINA PRINCIPALE</v>
      </c>
      <c r="Z441" t="str">
        <f t="shared" si="62"/>
        <v>10.220.80.16</v>
      </c>
    </row>
    <row r="442" spans="1:26" x14ac:dyDescent="0.25">
      <c r="A442" t="s">
        <v>10</v>
      </c>
      <c r="B442" t="s">
        <v>11</v>
      </c>
      <c r="C442" t="s">
        <v>939</v>
      </c>
      <c r="D442" t="s">
        <v>939</v>
      </c>
      <c r="E442" t="s">
        <v>961</v>
      </c>
      <c r="F442" t="s">
        <v>14</v>
      </c>
      <c r="G442" t="s">
        <v>28</v>
      </c>
      <c r="H442" t="s">
        <v>22</v>
      </c>
      <c r="I442" t="s">
        <v>962</v>
      </c>
      <c r="J442" t="s">
        <v>963</v>
      </c>
      <c r="K442" t="str">
        <f t="shared" si="54"/>
        <v>1027.3</v>
      </c>
      <c r="N442" t="str">
        <f t="shared" si="55"/>
        <v>HOLDING REGISTER</v>
      </c>
      <c r="O442" t="str">
        <f t="shared" si="56"/>
        <v>BOOL</v>
      </c>
      <c r="P442" t="str">
        <f t="shared" si="57"/>
        <v>UPS UPS3 40kVA</v>
      </c>
      <c r="R442" t="str">
        <f t="shared" si="58"/>
        <v>UPS120_3 -MANCA RETE</v>
      </c>
      <c r="U442" t="str">
        <f t="shared" si="59"/>
        <v>Allarme</v>
      </c>
      <c r="V442" t="str">
        <f t="shared" si="60"/>
        <v>UPS</v>
      </c>
      <c r="W442" t="str">
        <f t="shared" si="61"/>
        <v>CABINA PRINCIPALE</v>
      </c>
      <c r="Z442" t="str">
        <f t="shared" si="62"/>
        <v>10.220.80.16</v>
      </c>
    </row>
    <row r="443" spans="1:26" x14ac:dyDescent="0.25">
      <c r="A443" t="s">
        <v>10</v>
      </c>
      <c r="B443" t="s">
        <v>11</v>
      </c>
      <c r="C443" t="s">
        <v>939</v>
      </c>
      <c r="D443" t="s">
        <v>939</v>
      </c>
      <c r="E443" t="s">
        <v>961</v>
      </c>
      <c r="F443" t="s">
        <v>14</v>
      </c>
      <c r="G443" t="s">
        <v>28</v>
      </c>
      <c r="H443" t="s">
        <v>22</v>
      </c>
      <c r="I443" t="s">
        <v>964</v>
      </c>
      <c r="J443" t="s">
        <v>965</v>
      </c>
      <c r="K443" t="str">
        <f t="shared" si="54"/>
        <v>1027.4</v>
      </c>
      <c r="N443" t="str">
        <f t="shared" si="55"/>
        <v>HOLDING REGISTER</v>
      </c>
      <c r="O443" t="str">
        <f t="shared" si="56"/>
        <v>BOOL</v>
      </c>
      <c r="P443" t="str">
        <f t="shared" si="57"/>
        <v>UPS UPS3 40kVA</v>
      </c>
      <c r="R443" t="str">
        <f t="shared" si="58"/>
        <v>UPS120_3 -BATTERIA SCARICA</v>
      </c>
      <c r="U443" t="str">
        <f t="shared" si="59"/>
        <v>Allarme</v>
      </c>
      <c r="V443" t="str">
        <f t="shared" si="60"/>
        <v>UPS</v>
      </c>
      <c r="W443" t="str">
        <f t="shared" si="61"/>
        <v>CABINA PRINCIPALE</v>
      </c>
      <c r="Z443" t="str">
        <f t="shared" si="62"/>
        <v>10.220.80.16</v>
      </c>
    </row>
    <row r="444" spans="1:26" x14ac:dyDescent="0.25">
      <c r="A444" t="s">
        <v>10</v>
      </c>
      <c r="B444" t="s">
        <v>11</v>
      </c>
      <c r="C444" t="s">
        <v>939</v>
      </c>
      <c r="D444" t="s">
        <v>939</v>
      </c>
      <c r="E444" t="s">
        <v>961</v>
      </c>
      <c r="F444" t="s">
        <v>14</v>
      </c>
      <c r="G444" t="s">
        <v>28</v>
      </c>
      <c r="H444" t="s">
        <v>22</v>
      </c>
      <c r="I444" t="s">
        <v>966</v>
      </c>
      <c r="J444" t="s">
        <v>967</v>
      </c>
      <c r="K444" t="str">
        <f t="shared" si="54"/>
        <v>1027.5</v>
      </c>
      <c r="N444" t="str">
        <f t="shared" si="55"/>
        <v>HOLDING REGISTER</v>
      </c>
      <c r="O444" t="str">
        <f t="shared" si="56"/>
        <v>BOOL</v>
      </c>
      <c r="P444" t="str">
        <f t="shared" si="57"/>
        <v>UPS UPS3 40kVA</v>
      </c>
      <c r="R444" t="str">
        <f t="shared" si="58"/>
        <v>UPS120_3 -ALLARME</v>
      </c>
      <c r="U444" t="str">
        <f t="shared" si="59"/>
        <v>Allarme</v>
      </c>
      <c r="V444" t="str">
        <f t="shared" si="60"/>
        <v>UPS</v>
      </c>
      <c r="W444" t="str">
        <f t="shared" si="61"/>
        <v>CABINA PRINCIPALE</v>
      </c>
      <c r="Z444" t="str">
        <f t="shared" si="62"/>
        <v>10.220.80.16</v>
      </c>
    </row>
    <row r="445" spans="1:26" x14ac:dyDescent="0.25">
      <c r="A445" t="s">
        <v>10</v>
      </c>
      <c r="B445" t="s">
        <v>968</v>
      </c>
      <c r="C445" t="s">
        <v>969</v>
      </c>
      <c r="D445" t="s">
        <v>49</v>
      </c>
      <c r="E445">
        <v>1</v>
      </c>
      <c r="F445" t="s">
        <v>14</v>
      </c>
      <c r="G445" t="s">
        <v>21</v>
      </c>
      <c r="H445" t="s">
        <v>22</v>
      </c>
      <c r="I445" t="s">
        <v>970</v>
      </c>
      <c r="J445" t="s">
        <v>971</v>
      </c>
      <c r="K445" t="str">
        <f t="shared" si="54"/>
        <v>1027.6</v>
      </c>
      <c r="N445" t="str">
        <f t="shared" si="55"/>
        <v>HOLDING REGISTER</v>
      </c>
      <c r="O445" t="str">
        <f t="shared" si="56"/>
        <v>BOOL</v>
      </c>
      <c r="P445" t="str">
        <f t="shared" si="57"/>
        <v>INTERRUTTORE 1</v>
      </c>
      <c r="R445" t="str">
        <f t="shared" si="58"/>
        <v>QILL_MURGE -INTERRUTTORE GENERALE QUADRO CHIUSO</v>
      </c>
      <c r="U445" t="str">
        <f t="shared" si="59"/>
        <v>Stato</v>
      </c>
      <c r="V445" t="str">
        <f t="shared" si="60"/>
        <v>QILL_MURGE</v>
      </c>
      <c r="W445" t="str">
        <f t="shared" si="61"/>
        <v>CABINA MURGE</v>
      </c>
      <c r="Z445" t="str">
        <f t="shared" si="62"/>
        <v>10.220.80.16</v>
      </c>
    </row>
    <row r="446" spans="1:26" x14ac:dyDescent="0.25">
      <c r="A446" t="s">
        <v>10</v>
      </c>
      <c r="B446" t="s">
        <v>968</v>
      </c>
      <c r="C446" t="s">
        <v>969</v>
      </c>
      <c r="D446" t="s">
        <v>49</v>
      </c>
      <c r="E446">
        <v>1</v>
      </c>
      <c r="F446" t="s">
        <v>14</v>
      </c>
      <c r="G446" t="s">
        <v>28</v>
      </c>
      <c r="H446" t="s">
        <v>22</v>
      </c>
      <c r="I446" t="s">
        <v>972</v>
      </c>
      <c r="J446" t="s">
        <v>973</v>
      </c>
      <c r="K446" t="str">
        <f t="shared" si="54"/>
        <v>1027.7</v>
      </c>
      <c r="N446" t="str">
        <f t="shared" si="55"/>
        <v>HOLDING REGISTER</v>
      </c>
      <c r="O446" t="str">
        <f t="shared" si="56"/>
        <v>BOOL</v>
      </c>
      <c r="P446" t="str">
        <f t="shared" si="57"/>
        <v>INTERRUTTORE 1</v>
      </c>
      <c r="R446" t="str">
        <f t="shared" si="58"/>
        <v>QILL_MURGE -INTERRUTTORE GENERALE QUADRO SCATTATO</v>
      </c>
      <c r="U446" t="str">
        <f t="shared" si="59"/>
        <v>Allarme</v>
      </c>
      <c r="V446" t="str">
        <f t="shared" si="60"/>
        <v>QILL_MURGE</v>
      </c>
      <c r="W446" t="str">
        <f t="shared" si="61"/>
        <v>CABINA MURGE</v>
      </c>
      <c r="Z446" t="str">
        <f t="shared" si="62"/>
        <v>10.220.80.16</v>
      </c>
    </row>
    <row r="447" spans="1:26" x14ac:dyDescent="0.25">
      <c r="A447" t="s">
        <v>10</v>
      </c>
      <c r="B447" t="s">
        <v>968</v>
      </c>
      <c r="C447" t="s">
        <v>969</v>
      </c>
      <c r="D447" t="s">
        <v>94</v>
      </c>
      <c r="E447" t="s">
        <v>95</v>
      </c>
      <c r="F447" t="s">
        <v>14</v>
      </c>
      <c r="G447" t="s">
        <v>28</v>
      </c>
      <c r="H447" t="s">
        <v>22</v>
      </c>
      <c r="I447" t="s">
        <v>974</v>
      </c>
      <c r="J447" t="s">
        <v>975</v>
      </c>
      <c r="K447" t="str">
        <f t="shared" si="54"/>
        <v>1027.8</v>
      </c>
      <c r="N447" t="str">
        <f t="shared" si="55"/>
        <v>HOLDING REGISTER</v>
      </c>
      <c r="O447" t="str">
        <f t="shared" si="56"/>
        <v>BOOL</v>
      </c>
      <c r="P447" t="str">
        <f t="shared" si="57"/>
        <v>SCARICATORE SOVRATENSIONI SPD1</v>
      </c>
      <c r="R447" t="str">
        <f t="shared" si="58"/>
        <v>QILL_MURGE -LIMITATORE DI SOVRATENSIONE INTERVENUTO SEZ. NORMALE</v>
      </c>
      <c r="U447" t="str">
        <f t="shared" si="59"/>
        <v>Allarme</v>
      </c>
      <c r="V447" t="str">
        <f t="shared" si="60"/>
        <v>QILL_MURGE</v>
      </c>
      <c r="W447" t="str">
        <f t="shared" si="61"/>
        <v>CABINA MURGE</v>
      </c>
      <c r="Z447" t="str">
        <f t="shared" si="62"/>
        <v>10.220.80.16</v>
      </c>
    </row>
    <row r="448" spans="1:26" x14ac:dyDescent="0.25">
      <c r="A448" t="s">
        <v>10</v>
      </c>
      <c r="B448" t="s">
        <v>968</v>
      </c>
      <c r="C448" t="s">
        <v>969</v>
      </c>
      <c r="D448" t="s">
        <v>49</v>
      </c>
      <c r="E448">
        <v>3</v>
      </c>
      <c r="F448" t="s">
        <v>14</v>
      </c>
      <c r="G448" t="s">
        <v>21</v>
      </c>
      <c r="H448" t="s">
        <v>22</v>
      </c>
      <c r="I448" t="s">
        <v>976</v>
      </c>
      <c r="J448" t="s">
        <v>977</v>
      </c>
      <c r="K448" t="str">
        <f t="shared" si="54"/>
        <v>1027.9</v>
      </c>
      <c r="N448" t="str">
        <f t="shared" si="55"/>
        <v>HOLDING REGISTER</v>
      </c>
      <c r="O448" t="str">
        <f t="shared" si="56"/>
        <v>BOOL</v>
      </c>
      <c r="P448" t="str">
        <f t="shared" si="57"/>
        <v>INTERRUTTORE 3</v>
      </c>
      <c r="R448" t="str">
        <f t="shared" si="58"/>
        <v>QILL_MURGE -INTERRUTTORE UPS CHIUSO</v>
      </c>
      <c r="U448" t="str">
        <f t="shared" si="59"/>
        <v>Stato</v>
      </c>
      <c r="V448" t="str">
        <f t="shared" si="60"/>
        <v>QILL_MURGE</v>
      </c>
      <c r="W448" t="str">
        <f t="shared" si="61"/>
        <v>CABINA MURGE</v>
      </c>
      <c r="Z448" t="str">
        <f t="shared" si="62"/>
        <v>10.220.80.16</v>
      </c>
    </row>
    <row r="449" spans="1:26" x14ac:dyDescent="0.25">
      <c r="A449" t="s">
        <v>10</v>
      </c>
      <c r="B449" t="s">
        <v>968</v>
      </c>
      <c r="C449" t="s">
        <v>969</v>
      </c>
      <c r="D449" t="s">
        <v>49</v>
      </c>
      <c r="E449">
        <v>3</v>
      </c>
      <c r="F449" t="s">
        <v>14</v>
      </c>
      <c r="G449" t="s">
        <v>28</v>
      </c>
      <c r="H449" t="s">
        <v>22</v>
      </c>
      <c r="I449" t="s">
        <v>978</v>
      </c>
      <c r="J449" t="s">
        <v>979</v>
      </c>
      <c r="K449" t="str">
        <f t="shared" si="54"/>
        <v>1027.10</v>
      </c>
      <c r="N449" t="str">
        <f t="shared" si="55"/>
        <v>HOLDING REGISTER</v>
      </c>
      <c r="O449" t="str">
        <f t="shared" si="56"/>
        <v>BOOL</v>
      </c>
      <c r="P449" t="str">
        <f t="shared" si="57"/>
        <v>INTERRUTTORE 3</v>
      </c>
      <c r="R449" t="str">
        <f t="shared" si="58"/>
        <v>QILL_MURGE -INTERRUTTORE UPS SCATTATO</v>
      </c>
      <c r="U449" t="str">
        <f t="shared" si="59"/>
        <v>Allarme</v>
      </c>
      <c r="V449" t="str">
        <f t="shared" si="60"/>
        <v>QILL_MURGE</v>
      </c>
      <c r="W449" t="str">
        <f t="shared" si="61"/>
        <v>CABINA MURGE</v>
      </c>
      <c r="Z449" t="str">
        <f t="shared" si="62"/>
        <v>10.220.80.16</v>
      </c>
    </row>
    <row r="450" spans="1:26" x14ac:dyDescent="0.25">
      <c r="A450" t="s">
        <v>10</v>
      </c>
      <c r="B450" t="s">
        <v>968</v>
      </c>
      <c r="C450" t="s">
        <v>969</v>
      </c>
      <c r="D450" t="s">
        <v>49</v>
      </c>
      <c r="E450">
        <v>10</v>
      </c>
      <c r="F450" t="s">
        <v>14</v>
      </c>
      <c r="G450" t="s">
        <v>21</v>
      </c>
      <c r="H450" t="s">
        <v>22</v>
      </c>
      <c r="I450" t="s">
        <v>980</v>
      </c>
      <c r="J450" t="s">
        <v>981</v>
      </c>
      <c r="K450" t="str">
        <f t="shared" si="54"/>
        <v>1027.11</v>
      </c>
      <c r="N450" t="str">
        <f t="shared" si="55"/>
        <v>HOLDING REGISTER</v>
      </c>
      <c r="O450" t="str">
        <f t="shared" si="56"/>
        <v>BOOL</v>
      </c>
      <c r="P450" t="str">
        <f t="shared" si="57"/>
        <v>INTERRUTTORE 10</v>
      </c>
      <c r="R450" t="str">
        <f t="shared" si="58"/>
        <v>QILL_MURGE -INTERRUTTORE ILLUMINAZIONE RINFORZO R1-DX CHIUSO</v>
      </c>
      <c r="U450" t="str">
        <f t="shared" si="59"/>
        <v>Stato</v>
      </c>
      <c r="V450" t="str">
        <f t="shared" si="60"/>
        <v>QILL_MURGE</v>
      </c>
      <c r="W450" t="str">
        <f t="shared" si="61"/>
        <v>CABINA MURGE</v>
      </c>
      <c r="Z450" t="str">
        <f t="shared" si="62"/>
        <v>10.220.80.16</v>
      </c>
    </row>
    <row r="451" spans="1:26" x14ac:dyDescent="0.25">
      <c r="A451" t="s">
        <v>10</v>
      </c>
      <c r="B451" t="s">
        <v>968</v>
      </c>
      <c r="C451" t="s">
        <v>969</v>
      </c>
      <c r="D451" t="s">
        <v>49</v>
      </c>
      <c r="E451">
        <v>10</v>
      </c>
      <c r="F451" t="s">
        <v>14</v>
      </c>
      <c r="G451" t="s">
        <v>28</v>
      </c>
      <c r="H451" t="s">
        <v>22</v>
      </c>
      <c r="I451" t="s">
        <v>982</v>
      </c>
      <c r="J451" t="s">
        <v>983</v>
      </c>
      <c r="K451" t="str">
        <f t="shared" ref="K451:K514" si="63">IF(I451="","",I451)</f>
        <v>1027.12</v>
      </c>
      <c r="N451" t="str">
        <f t="shared" ref="N451:N514" si="64">IF(F451="","",F451)</f>
        <v>HOLDING REGISTER</v>
      </c>
      <c r="O451" t="str">
        <f t="shared" ref="O451:O514" si="65">IF(H451="","",H451)</f>
        <v>BOOL</v>
      </c>
      <c r="P451" t="str">
        <f t="shared" ref="P451:P514" si="66">_xlfn.CONCAT(D451," ",E451)</f>
        <v>INTERRUTTORE 10</v>
      </c>
      <c r="R451" t="str">
        <f t="shared" ref="R451:R514" si="67">IF(J451="","",J451)</f>
        <v>QILL_MURGE -INTERRUTTORE ILLUMINAZIONE RINFORZO R1-DX SCATTATO</v>
      </c>
      <c r="U451" t="str">
        <f t="shared" ref="U451:U514" si="68">IF(G451="","",G451)</f>
        <v>Allarme</v>
      </c>
      <c r="V451" t="str">
        <f t="shared" ref="V451:V514" si="69">IF(C451="","",C451)</f>
        <v>QILL_MURGE</v>
      </c>
      <c r="W451" t="str">
        <f t="shared" ref="W451:W514" si="70">IF(B451="","",B451)</f>
        <v>CABINA MURGE</v>
      </c>
      <c r="Z451" t="str">
        <f t="shared" ref="Z451:Z514" si="71">IF(A451="","",A451)</f>
        <v>10.220.80.16</v>
      </c>
    </row>
    <row r="452" spans="1:26" x14ac:dyDescent="0.25">
      <c r="A452" t="s">
        <v>10</v>
      </c>
      <c r="B452" t="s">
        <v>968</v>
      </c>
      <c r="C452" t="s">
        <v>969</v>
      </c>
      <c r="D452" t="s">
        <v>49</v>
      </c>
      <c r="E452">
        <v>11</v>
      </c>
      <c r="F452" t="s">
        <v>14</v>
      </c>
      <c r="G452" t="s">
        <v>21</v>
      </c>
      <c r="H452" t="s">
        <v>22</v>
      </c>
      <c r="I452" t="s">
        <v>984</v>
      </c>
      <c r="J452" t="s">
        <v>985</v>
      </c>
      <c r="K452" t="str">
        <f t="shared" si="63"/>
        <v>1027.13</v>
      </c>
      <c r="N452" t="str">
        <f t="shared" si="64"/>
        <v>HOLDING REGISTER</v>
      </c>
      <c r="O452" t="str">
        <f t="shared" si="65"/>
        <v>BOOL</v>
      </c>
      <c r="P452" t="str">
        <f t="shared" si="66"/>
        <v>INTERRUTTORE 11</v>
      </c>
      <c r="R452" t="str">
        <f t="shared" si="67"/>
        <v>QILL_MURGE -INTERRUTTORE ILLUMINAZIONE RINFORZO R2-DX CHIUSO</v>
      </c>
      <c r="U452" t="str">
        <f t="shared" si="68"/>
        <v>Stato</v>
      </c>
      <c r="V452" t="str">
        <f t="shared" si="69"/>
        <v>QILL_MURGE</v>
      </c>
      <c r="W452" t="str">
        <f t="shared" si="70"/>
        <v>CABINA MURGE</v>
      </c>
      <c r="Z452" t="str">
        <f t="shared" si="71"/>
        <v>10.220.80.16</v>
      </c>
    </row>
    <row r="453" spans="1:26" x14ac:dyDescent="0.25">
      <c r="A453" t="s">
        <v>10</v>
      </c>
      <c r="B453" t="s">
        <v>968</v>
      </c>
      <c r="C453" t="s">
        <v>969</v>
      </c>
      <c r="D453" t="s">
        <v>49</v>
      </c>
      <c r="E453">
        <v>11</v>
      </c>
      <c r="F453" t="s">
        <v>14</v>
      </c>
      <c r="G453" t="s">
        <v>28</v>
      </c>
      <c r="H453" t="s">
        <v>22</v>
      </c>
      <c r="I453" t="s">
        <v>986</v>
      </c>
      <c r="J453" t="s">
        <v>987</v>
      </c>
      <c r="K453" t="str">
        <f t="shared" si="63"/>
        <v>1027.14</v>
      </c>
      <c r="N453" t="str">
        <f t="shared" si="64"/>
        <v>HOLDING REGISTER</v>
      </c>
      <c r="O453" t="str">
        <f t="shared" si="65"/>
        <v>BOOL</v>
      </c>
      <c r="P453" t="str">
        <f t="shared" si="66"/>
        <v>INTERRUTTORE 11</v>
      </c>
      <c r="R453" t="str">
        <f t="shared" si="67"/>
        <v>QILL_MURGE -INTERRUTTORE ILLUMINAZIONE RINFORZO R2-DX SCATTATO</v>
      </c>
      <c r="U453" t="str">
        <f t="shared" si="68"/>
        <v>Allarme</v>
      </c>
      <c r="V453" t="str">
        <f t="shared" si="69"/>
        <v>QILL_MURGE</v>
      </c>
      <c r="W453" t="str">
        <f t="shared" si="70"/>
        <v>CABINA MURGE</v>
      </c>
      <c r="Z453" t="str">
        <f t="shared" si="71"/>
        <v>10.220.80.16</v>
      </c>
    </row>
    <row r="454" spans="1:26" x14ac:dyDescent="0.25">
      <c r="A454" t="s">
        <v>10</v>
      </c>
      <c r="B454" t="s">
        <v>968</v>
      </c>
      <c r="C454" t="s">
        <v>969</v>
      </c>
      <c r="D454" t="s">
        <v>49</v>
      </c>
      <c r="E454">
        <v>12</v>
      </c>
      <c r="F454" t="s">
        <v>14</v>
      </c>
      <c r="G454" t="s">
        <v>21</v>
      </c>
      <c r="H454" t="s">
        <v>22</v>
      </c>
      <c r="I454" t="s">
        <v>988</v>
      </c>
      <c r="J454" t="s">
        <v>989</v>
      </c>
      <c r="K454" t="str">
        <f t="shared" si="63"/>
        <v>1027.15</v>
      </c>
      <c r="N454" t="str">
        <f t="shared" si="64"/>
        <v>HOLDING REGISTER</v>
      </c>
      <c r="O454" t="str">
        <f t="shared" si="65"/>
        <v>BOOL</v>
      </c>
      <c r="P454" t="str">
        <f t="shared" si="66"/>
        <v>INTERRUTTORE 12</v>
      </c>
      <c r="R454" t="str">
        <f t="shared" si="67"/>
        <v>QILL_MURGE -INTERRUTTORE ILLUMINAZIONE RINFORZO R1-SX CHIUSO</v>
      </c>
      <c r="U454" t="str">
        <f t="shared" si="68"/>
        <v>Stato</v>
      </c>
      <c r="V454" t="str">
        <f t="shared" si="69"/>
        <v>QILL_MURGE</v>
      </c>
      <c r="W454" t="str">
        <f t="shared" si="70"/>
        <v>CABINA MURGE</v>
      </c>
      <c r="Z454" t="str">
        <f t="shared" si="71"/>
        <v>10.220.80.16</v>
      </c>
    </row>
    <row r="455" spans="1:26" x14ac:dyDescent="0.25">
      <c r="A455" t="s">
        <v>10</v>
      </c>
      <c r="B455" t="s">
        <v>968</v>
      </c>
      <c r="C455" t="s">
        <v>969</v>
      </c>
      <c r="D455" t="s">
        <v>49</v>
      </c>
      <c r="E455">
        <v>12</v>
      </c>
      <c r="F455" t="s">
        <v>14</v>
      </c>
      <c r="G455" t="s">
        <v>28</v>
      </c>
      <c r="H455" t="s">
        <v>22</v>
      </c>
      <c r="I455" t="s">
        <v>990</v>
      </c>
      <c r="J455" t="s">
        <v>991</v>
      </c>
      <c r="K455" t="str">
        <f t="shared" si="63"/>
        <v>1028.0</v>
      </c>
      <c r="N455" t="str">
        <f t="shared" si="64"/>
        <v>HOLDING REGISTER</v>
      </c>
      <c r="O455" t="str">
        <f t="shared" si="65"/>
        <v>BOOL</v>
      </c>
      <c r="P455" t="str">
        <f t="shared" si="66"/>
        <v>INTERRUTTORE 12</v>
      </c>
      <c r="R455" t="str">
        <f t="shared" si="67"/>
        <v>QILL_MURGE -INTERRUTTORE ILLUMINAZIONE RINFORZO R1-SX SCATTATO</v>
      </c>
      <c r="U455" t="str">
        <f t="shared" si="68"/>
        <v>Allarme</v>
      </c>
      <c r="V455" t="str">
        <f t="shared" si="69"/>
        <v>QILL_MURGE</v>
      </c>
      <c r="W455" t="str">
        <f t="shared" si="70"/>
        <v>CABINA MURGE</v>
      </c>
      <c r="Z455" t="str">
        <f t="shared" si="71"/>
        <v>10.220.80.16</v>
      </c>
    </row>
    <row r="456" spans="1:26" x14ac:dyDescent="0.25">
      <c r="A456" t="s">
        <v>10</v>
      </c>
      <c r="B456" t="s">
        <v>968</v>
      </c>
      <c r="C456" t="s">
        <v>969</v>
      </c>
      <c r="D456" t="s">
        <v>49</v>
      </c>
      <c r="E456">
        <v>13</v>
      </c>
      <c r="F456" t="s">
        <v>14</v>
      </c>
      <c r="G456" t="s">
        <v>21</v>
      </c>
      <c r="H456" t="s">
        <v>22</v>
      </c>
      <c r="I456" t="s">
        <v>992</v>
      </c>
      <c r="J456" t="s">
        <v>993</v>
      </c>
      <c r="K456" t="str">
        <f t="shared" si="63"/>
        <v>1028.1</v>
      </c>
      <c r="N456" t="str">
        <f t="shared" si="64"/>
        <v>HOLDING REGISTER</v>
      </c>
      <c r="O456" t="str">
        <f t="shared" si="65"/>
        <v>BOOL</v>
      </c>
      <c r="P456" t="str">
        <f t="shared" si="66"/>
        <v>INTERRUTTORE 13</v>
      </c>
      <c r="R456" t="str">
        <f t="shared" si="67"/>
        <v>QILL_MURGE -INTERRUTTORE ILLUMINAZIONE RINFORZO R2-SX CHIUSO</v>
      </c>
      <c r="U456" t="str">
        <f t="shared" si="68"/>
        <v>Stato</v>
      </c>
      <c r="V456" t="str">
        <f t="shared" si="69"/>
        <v>QILL_MURGE</v>
      </c>
      <c r="W456" t="str">
        <f t="shared" si="70"/>
        <v>CABINA MURGE</v>
      </c>
      <c r="Z456" t="str">
        <f t="shared" si="71"/>
        <v>10.220.80.16</v>
      </c>
    </row>
    <row r="457" spans="1:26" x14ac:dyDescent="0.25">
      <c r="A457" t="s">
        <v>10</v>
      </c>
      <c r="B457" t="s">
        <v>968</v>
      </c>
      <c r="C457" t="s">
        <v>969</v>
      </c>
      <c r="D457" t="s">
        <v>49</v>
      </c>
      <c r="E457">
        <v>13</v>
      </c>
      <c r="F457" t="s">
        <v>14</v>
      </c>
      <c r="G457" t="s">
        <v>28</v>
      </c>
      <c r="H457" t="s">
        <v>22</v>
      </c>
      <c r="I457" t="s">
        <v>994</v>
      </c>
      <c r="J457" t="s">
        <v>995</v>
      </c>
      <c r="K457" t="str">
        <f t="shared" si="63"/>
        <v>1028.2</v>
      </c>
      <c r="N457" t="str">
        <f t="shared" si="64"/>
        <v>HOLDING REGISTER</v>
      </c>
      <c r="O457" t="str">
        <f t="shared" si="65"/>
        <v>BOOL</v>
      </c>
      <c r="P457" t="str">
        <f t="shared" si="66"/>
        <v>INTERRUTTORE 13</v>
      </c>
      <c r="R457" t="str">
        <f t="shared" si="67"/>
        <v>QILL_MURGE -INTERRUTTORE ILLUMINAZIONE RINFORZO R2-SX SCATTATO</v>
      </c>
      <c r="U457" t="str">
        <f t="shared" si="68"/>
        <v>Allarme</v>
      </c>
      <c r="V457" t="str">
        <f t="shared" si="69"/>
        <v>QILL_MURGE</v>
      </c>
      <c r="W457" t="str">
        <f t="shared" si="70"/>
        <v>CABINA MURGE</v>
      </c>
      <c r="Z457" t="str">
        <f t="shared" si="71"/>
        <v>10.220.80.16</v>
      </c>
    </row>
    <row r="458" spans="1:26" x14ac:dyDescent="0.25">
      <c r="A458" t="s">
        <v>10</v>
      </c>
      <c r="B458" t="s">
        <v>968</v>
      </c>
      <c r="C458" t="s">
        <v>969</v>
      </c>
      <c r="D458" t="s">
        <v>49</v>
      </c>
      <c r="E458">
        <v>21</v>
      </c>
      <c r="F458" t="s">
        <v>14</v>
      </c>
      <c r="G458" t="s">
        <v>21</v>
      </c>
      <c r="H458" t="s">
        <v>22</v>
      </c>
      <c r="I458" t="s">
        <v>996</v>
      </c>
      <c r="J458" t="s">
        <v>997</v>
      </c>
      <c r="K458" t="str">
        <f t="shared" si="63"/>
        <v>1028.3</v>
      </c>
      <c r="N458" t="str">
        <f t="shared" si="64"/>
        <v>HOLDING REGISTER</v>
      </c>
      <c r="O458" t="str">
        <f t="shared" si="65"/>
        <v>BOOL</v>
      </c>
      <c r="P458" t="str">
        <f t="shared" si="66"/>
        <v>INTERRUTTORE 21</v>
      </c>
      <c r="R458" t="str">
        <f t="shared" si="67"/>
        <v>QILL_MURGE -INTERRUTTORE PMV DIR. SUD CHIUSO</v>
      </c>
      <c r="U458" t="str">
        <f t="shared" si="68"/>
        <v>Stato</v>
      </c>
      <c r="V458" t="str">
        <f t="shared" si="69"/>
        <v>QILL_MURGE</v>
      </c>
      <c r="W458" t="str">
        <f t="shared" si="70"/>
        <v>CABINA MURGE</v>
      </c>
      <c r="Z458" t="str">
        <f t="shared" si="71"/>
        <v>10.220.80.16</v>
      </c>
    </row>
    <row r="459" spans="1:26" x14ac:dyDescent="0.25">
      <c r="A459" t="s">
        <v>10</v>
      </c>
      <c r="B459" t="s">
        <v>968</v>
      </c>
      <c r="C459" t="s">
        <v>969</v>
      </c>
      <c r="D459" t="s">
        <v>49</v>
      </c>
      <c r="E459">
        <v>21</v>
      </c>
      <c r="F459" t="s">
        <v>14</v>
      </c>
      <c r="G459" t="s">
        <v>28</v>
      </c>
      <c r="H459" t="s">
        <v>22</v>
      </c>
      <c r="I459" t="s">
        <v>998</v>
      </c>
      <c r="J459" t="s">
        <v>999</v>
      </c>
      <c r="K459" t="str">
        <f t="shared" si="63"/>
        <v>1028.4</v>
      </c>
      <c r="N459" t="str">
        <f t="shared" si="64"/>
        <v>HOLDING REGISTER</v>
      </c>
      <c r="O459" t="str">
        <f t="shared" si="65"/>
        <v>BOOL</v>
      </c>
      <c r="P459" t="str">
        <f t="shared" si="66"/>
        <v>INTERRUTTORE 21</v>
      </c>
      <c r="R459" t="str">
        <f t="shared" si="67"/>
        <v>QILL_MURGE -INTERRUTTORE PMV DIR. SUD SCATTATO</v>
      </c>
      <c r="U459" t="str">
        <f t="shared" si="68"/>
        <v>Allarme</v>
      </c>
      <c r="V459" t="str">
        <f t="shared" si="69"/>
        <v>QILL_MURGE</v>
      </c>
      <c r="W459" t="str">
        <f t="shared" si="70"/>
        <v>CABINA MURGE</v>
      </c>
      <c r="Z459" t="str">
        <f t="shared" si="71"/>
        <v>10.220.80.16</v>
      </c>
    </row>
    <row r="460" spans="1:26" x14ac:dyDescent="0.25">
      <c r="A460" t="s">
        <v>10</v>
      </c>
      <c r="B460" t="s">
        <v>968</v>
      </c>
      <c r="C460" t="s">
        <v>969</v>
      </c>
      <c r="D460" t="s">
        <v>49</v>
      </c>
      <c r="E460">
        <v>22</v>
      </c>
      <c r="F460" t="s">
        <v>14</v>
      </c>
      <c r="G460" t="s">
        <v>21</v>
      </c>
      <c r="H460" t="s">
        <v>22</v>
      </c>
      <c r="I460" t="s">
        <v>1000</v>
      </c>
      <c r="J460" t="s">
        <v>1001</v>
      </c>
      <c r="K460" t="str">
        <f t="shared" si="63"/>
        <v>1028.5</v>
      </c>
      <c r="N460" t="str">
        <f t="shared" si="64"/>
        <v>HOLDING REGISTER</v>
      </c>
      <c r="O460" t="str">
        <f t="shared" si="65"/>
        <v>BOOL</v>
      </c>
      <c r="P460" t="str">
        <f t="shared" si="66"/>
        <v>INTERRUTTORE 22</v>
      </c>
      <c r="R460" t="str">
        <f t="shared" si="67"/>
        <v>QILL_MURGE -INTERRUTTORE CCL PMV ITINERE CHIUSO</v>
      </c>
      <c r="U460" t="str">
        <f t="shared" si="68"/>
        <v>Stato</v>
      </c>
      <c r="V460" t="str">
        <f t="shared" si="69"/>
        <v>QILL_MURGE</v>
      </c>
      <c r="W460" t="str">
        <f t="shared" si="70"/>
        <v>CABINA MURGE</v>
      </c>
      <c r="Z460" t="str">
        <f t="shared" si="71"/>
        <v>10.220.80.16</v>
      </c>
    </row>
    <row r="461" spans="1:26" x14ac:dyDescent="0.25">
      <c r="A461" t="s">
        <v>10</v>
      </c>
      <c r="B461" t="s">
        <v>968</v>
      </c>
      <c r="C461" t="s">
        <v>969</v>
      </c>
      <c r="D461" t="s">
        <v>49</v>
      </c>
      <c r="E461">
        <v>22</v>
      </c>
      <c r="F461" t="s">
        <v>14</v>
      </c>
      <c r="G461" t="s">
        <v>28</v>
      </c>
      <c r="H461" t="s">
        <v>22</v>
      </c>
      <c r="I461" t="s">
        <v>1002</v>
      </c>
      <c r="J461" t="s">
        <v>1003</v>
      </c>
      <c r="K461" t="str">
        <f t="shared" si="63"/>
        <v>1028.6</v>
      </c>
      <c r="N461" t="str">
        <f t="shared" si="64"/>
        <v>HOLDING REGISTER</v>
      </c>
      <c r="O461" t="str">
        <f t="shared" si="65"/>
        <v>BOOL</v>
      </c>
      <c r="P461" t="str">
        <f t="shared" si="66"/>
        <v>INTERRUTTORE 22</v>
      </c>
      <c r="R461" t="str">
        <f t="shared" si="67"/>
        <v>QILL_MURGE -INTERRUTTORE CCL PMV ITINERE SCATTATO</v>
      </c>
      <c r="U461" t="str">
        <f t="shared" si="68"/>
        <v>Allarme</v>
      </c>
      <c r="V461" t="str">
        <f t="shared" si="69"/>
        <v>QILL_MURGE</v>
      </c>
      <c r="W461" t="str">
        <f t="shared" si="70"/>
        <v>CABINA MURGE</v>
      </c>
      <c r="Z461" t="str">
        <f t="shared" si="71"/>
        <v>10.220.80.16</v>
      </c>
    </row>
    <row r="462" spans="1:26" x14ac:dyDescent="0.25">
      <c r="A462" t="s">
        <v>10</v>
      </c>
      <c r="B462" t="s">
        <v>968</v>
      </c>
      <c r="C462" t="s">
        <v>969</v>
      </c>
      <c r="D462" t="s">
        <v>49</v>
      </c>
      <c r="E462">
        <v>30</v>
      </c>
      <c r="F462" t="s">
        <v>14</v>
      </c>
      <c r="G462" t="s">
        <v>21</v>
      </c>
      <c r="H462" t="s">
        <v>22</v>
      </c>
      <c r="I462" t="s">
        <v>1004</v>
      </c>
      <c r="J462" t="s">
        <v>1005</v>
      </c>
      <c r="K462" t="str">
        <f t="shared" si="63"/>
        <v>1028.7</v>
      </c>
      <c r="N462" t="str">
        <f t="shared" si="64"/>
        <v>HOLDING REGISTER</v>
      </c>
      <c r="O462" t="str">
        <f t="shared" si="65"/>
        <v>BOOL</v>
      </c>
      <c r="P462" t="str">
        <f t="shared" si="66"/>
        <v>INTERRUTTORE 30</v>
      </c>
      <c r="R462" t="str">
        <f t="shared" si="67"/>
        <v>QILL_MURGE -INTERRUTTORE ILLUMINAZIONE EMERGENZA E1 CHIUSO</v>
      </c>
      <c r="U462" t="str">
        <f t="shared" si="68"/>
        <v>Stato</v>
      </c>
      <c r="V462" t="str">
        <f t="shared" si="69"/>
        <v>QILL_MURGE</v>
      </c>
      <c r="W462" t="str">
        <f t="shared" si="70"/>
        <v>CABINA MURGE</v>
      </c>
      <c r="Z462" t="str">
        <f t="shared" si="71"/>
        <v>10.220.80.16</v>
      </c>
    </row>
    <row r="463" spans="1:26" x14ac:dyDescent="0.25">
      <c r="A463" t="s">
        <v>10</v>
      </c>
      <c r="B463" t="s">
        <v>968</v>
      </c>
      <c r="C463" t="s">
        <v>969</v>
      </c>
      <c r="D463" t="s">
        <v>49</v>
      </c>
      <c r="E463">
        <v>30</v>
      </c>
      <c r="F463" t="s">
        <v>14</v>
      </c>
      <c r="G463" t="s">
        <v>28</v>
      </c>
      <c r="H463" t="s">
        <v>22</v>
      </c>
      <c r="I463" t="s">
        <v>1006</v>
      </c>
      <c r="J463" t="s">
        <v>1007</v>
      </c>
      <c r="K463" t="str">
        <f t="shared" si="63"/>
        <v>1028.8</v>
      </c>
      <c r="N463" t="str">
        <f t="shared" si="64"/>
        <v>HOLDING REGISTER</v>
      </c>
      <c r="O463" t="str">
        <f t="shared" si="65"/>
        <v>BOOL</v>
      </c>
      <c r="P463" t="str">
        <f t="shared" si="66"/>
        <v>INTERRUTTORE 30</v>
      </c>
      <c r="R463" t="str">
        <f t="shared" si="67"/>
        <v>QILL_MURGE -INTERRUTTORE ILLUMINAZIONE EMERGENZA E1 SCATTATO</v>
      </c>
      <c r="U463" t="str">
        <f t="shared" si="68"/>
        <v>Allarme</v>
      </c>
      <c r="V463" t="str">
        <f t="shared" si="69"/>
        <v>QILL_MURGE</v>
      </c>
      <c r="W463" t="str">
        <f t="shared" si="70"/>
        <v>CABINA MURGE</v>
      </c>
      <c r="Z463" t="str">
        <f t="shared" si="71"/>
        <v>10.220.80.16</v>
      </c>
    </row>
    <row r="464" spans="1:26" x14ac:dyDescent="0.25">
      <c r="A464" t="s">
        <v>10</v>
      </c>
      <c r="B464" t="s">
        <v>968</v>
      </c>
      <c r="C464" t="s">
        <v>969</v>
      </c>
      <c r="D464" t="s">
        <v>49</v>
      </c>
      <c r="E464">
        <v>31</v>
      </c>
      <c r="F464" t="s">
        <v>14</v>
      </c>
      <c r="G464" t="s">
        <v>21</v>
      </c>
      <c r="H464" t="s">
        <v>22</v>
      </c>
      <c r="I464" t="s">
        <v>1008</v>
      </c>
      <c r="J464" t="s">
        <v>1009</v>
      </c>
      <c r="K464" t="str">
        <f t="shared" si="63"/>
        <v>1028.9</v>
      </c>
      <c r="N464" t="str">
        <f t="shared" si="64"/>
        <v>HOLDING REGISTER</v>
      </c>
      <c r="O464" t="str">
        <f t="shared" si="65"/>
        <v>BOOL</v>
      </c>
      <c r="P464" t="str">
        <f t="shared" si="66"/>
        <v>INTERRUTTORE 31</v>
      </c>
      <c r="R464" t="str">
        <f t="shared" si="67"/>
        <v>QILL_MURGE -INTERRUTTORE ILLUMINAZIONE EMERGENZA E2 CHIUSO</v>
      </c>
      <c r="U464" t="str">
        <f t="shared" si="68"/>
        <v>Stato</v>
      </c>
      <c r="V464" t="str">
        <f t="shared" si="69"/>
        <v>QILL_MURGE</v>
      </c>
      <c r="W464" t="str">
        <f t="shared" si="70"/>
        <v>CABINA MURGE</v>
      </c>
      <c r="Z464" t="str">
        <f t="shared" si="71"/>
        <v>10.220.80.16</v>
      </c>
    </row>
    <row r="465" spans="1:26" x14ac:dyDescent="0.25">
      <c r="A465" t="s">
        <v>10</v>
      </c>
      <c r="B465" t="s">
        <v>968</v>
      </c>
      <c r="C465" t="s">
        <v>969</v>
      </c>
      <c r="D465" t="s">
        <v>49</v>
      </c>
      <c r="E465">
        <v>31</v>
      </c>
      <c r="F465" t="s">
        <v>14</v>
      </c>
      <c r="G465" t="s">
        <v>28</v>
      </c>
      <c r="H465" t="s">
        <v>22</v>
      </c>
      <c r="I465" t="s">
        <v>1010</v>
      </c>
      <c r="J465" t="s">
        <v>1011</v>
      </c>
      <c r="K465" t="str">
        <f t="shared" si="63"/>
        <v>1028.10</v>
      </c>
      <c r="N465" t="str">
        <f t="shared" si="64"/>
        <v>HOLDING REGISTER</v>
      </c>
      <c r="O465" t="str">
        <f t="shared" si="65"/>
        <v>BOOL</v>
      </c>
      <c r="P465" t="str">
        <f t="shared" si="66"/>
        <v>INTERRUTTORE 31</v>
      </c>
      <c r="R465" t="str">
        <f t="shared" si="67"/>
        <v>QILL_MURGE -INTERRUTTORE ILLUMINAZIONE EMERGENZA E2 SCATTATO</v>
      </c>
      <c r="U465" t="str">
        <f t="shared" si="68"/>
        <v>Allarme</v>
      </c>
      <c r="V465" t="str">
        <f t="shared" si="69"/>
        <v>QILL_MURGE</v>
      </c>
      <c r="W465" t="str">
        <f t="shared" si="70"/>
        <v>CABINA MURGE</v>
      </c>
      <c r="Z465" t="str">
        <f t="shared" si="71"/>
        <v>10.220.80.16</v>
      </c>
    </row>
    <row r="466" spans="1:26" x14ac:dyDescent="0.25">
      <c r="A466" t="s">
        <v>10</v>
      </c>
      <c r="B466" t="s">
        <v>968</v>
      </c>
      <c r="C466" t="s">
        <v>969</v>
      </c>
      <c r="D466" t="s">
        <v>552</v>
      </c>
      <c r="E466" t="s">
        <v>295</v>
      </c>
      <c r="F466" t="s">
        <v>14</v>
      </c>
      <c r="G466" t="s">
        <v>21</v>
      </c>
      <c r="H466" t="s">
        <v>22</v>
      </c>
      <c r="I466" t="s">
        <v>1012</v>
      </c>
      <c r="J466" t="s">
        <v>1013</v>
      </c>
      <c r="K466" t="str">
        <f t="shared" si="63"/>
        <v>1028.11</v>
      </c>
      <c r="N466" t="str">
        <f t="shared" si="64"/>
        <v>HOLDING REGISTER</v>
      </c>
      <c r="O466" t="str">
        <f t="shared" si="65"/>
        <v>BOOL</v>
      </c>
      <c r="P466" t="str">
        <f t="shared" si="66"/>
        <v>CONTATTORE 2K1</v>
      </c>
      <c r="R466" t="str">
        <f t="shared" si="67"/>
        <v>QILL_MURGE -CONTATTORE ILLUMINAZIONE R1-DX CHIUSO</v>
      </c>
      <c r="U466" t="str">
        <f t="shared" si="68"/>
        <v>Stato</v>
      </c>
      <c r="V466" t="str">
        <f t="shared" si="69"/>
        <v>QILL_MURGE</v>
      </c>
      <c r="W466" t="str">
        <f t="shared" si="70"/>
        <v>CABINA MURGE</v>
      </c>
      <c r="Z466" t="str">
        <f t="shared" si="71"/>
        <v>10.220.80.16</v>
      </c>
    </row>
    <row r="467" spans="1:26" x14ac:dyDescent="0.25">
      <c r="A467" t="s">
        <v>10</v>
      </c>
      <c r="B467" t="s">
        <v>968</v>
      </c>
      <c r="C467" t="s">
        <v>969</v>
      </c>
      <c r="D467" t="s">
        <v>552</v>
      </c>
      <c r="E467" t="s">
        <v>1014</v>
      </c>
      <c r="F467" t="s">
        <v>14</v>
      </c>
      <c r="G467" t="s">
        <v>21</v>
      </c>
      <c r="H467" t="s">
        <v>22</v>
      </c>
      <c r="I467" t="s">
        <v>1015</v>
      </c>
      <c r="J467" t="s">
        <v>1016</v>
      </c>
      <c r="K467" t="str">
        <f t="shared" si="63"/>
        <v>1028.12</v>
      </c>
      <c r="N467" t="str">
        <f t="shared" si="64"/>
        <v>HOLDING REGISTER</v>
      </c>
      <c r="O467" t="str">
        <f t="shared" si="65"/>
        <v>BOOL</v>
      </c>
      <c r="P467" t="str">
        <f t="shared" si="66"/>
        <v>CONTATTORE 2K2</v>
      </c>
      <c r="R467" t="str">
        <f t="shared" si="67"/>
        <v>QILL_MURGE -CONTATTORE ILLUMINAZIONE R2-DX CHIUSO</v>
      </c>
      <c r="U467" t="str">
        <f t="shared" si="68"/>
        <v>Stato</v>
      </c>
      <c r="V467" t="str">
        <f t="shared" si="69"/>
        <v>QILL_MURGE</v>
      </c>
      <c r="W467" t="str">
        <f t="shared" si="70"/>
        <v>CABINA MURGE</v>
      </c>
      <c r="Z467" t="str">
        <f t="shared" si="71"/>
        <v>10.220.80.16</v>
      </c>
    </row>
    <row r="468" spans="1:26" x14ac:dyDescent="0.25">
      <c r="A468" t="s">
        <v>10</v>
      </c>
      <c r="B468" t="s">
        <v>968</v>
      </c>
      <c r="C468" t="s">
        <v>969</v>
      </c>
      <c r="D468" t="s">
        <v>555</v>
      </c>
      <c r="E468" t="s">
        <v>556</v>
      </c>
      <c r="F468" t="s">
        <v>14</v>
      </c>
      <c r="G468" t="s">
        <v>21</v>
      </c>
      <c r="H468" t="s">
        <v>22</v>
      </c>
      <c r="I468" t="s">
        <v>1017</v>
      </c>
      <c r="J468" t="s">
        <v>1018</v>
      </c>
      <c r="K468" t="str">
        <f t="shared" si="63"/>
        <v>1028.13</v>
      </c>
      <c r="N468" t="str">
        <f t="shared" si="64"/>
        <v>HOLDING REGISTER</v>
      </c>
      <c r="O468" t="str">
        <f t="shared" si="65"/>
        <v>BOOL</v>
      </c>
      <c r="P468" t="str">
        <f t="shared" si="66"/>
        <v>SELETTORE 2S1</v>
      </c>
      <c r="R468" t="str">
        <f t="shared" si="67"/>
        <v>QILL_MURGE -SELETTORE ILLUMINAZIONE R1-DX IN AUTOMATICO</v>
      </c>
      <c r="U468" t="str">
        <f t="shared" si="68"/>
        <v>Stato</v>
      </c>
      <c r="V468" t="str">
        <f t="shared" si="69"/>
        <v>QILL_MURGE</v>
      </c>
      <c r="W468" t="str">
        <f t="shared" si="70"/>
        <v>CABINA MURGE</v>
      </c>
      <c r="Z468" t="str">
        <f t="shared" si="71"/>
        <v>10.220.80.16</v>
      </c>
    </row>
    <row r="469" spans="1:26" x14ac:dyDescent="0.25">
      <c r="A469" t="s">
        <v>10</v>
      </c>
      <c r="B469" t="s">
        <v>968</v>
      </c>
      <c r="C469" t="s">
        <v>969</v>
      </c>
      <c r="D469" t="s">
        <v>555</v>
      </c>
      <c r="E469" t="s">
        <v>1019</v>
      </c>
      <c r="F469" t="s">
        <v>14</v>
      </c>
      <c r="G469" t="s">
        <v>21</v>
      </c>
      <c r="H469" t="s">
        <v>22</v>
      </c>
      <c r="I469" t="s">
        <v>1020</v>
      </c>
      <c r="J469" t="s">
        <v>1021</v>
      </c>
      <c r="K469" t="str">
        <f t="shared" si="63"/>
        <v>1028.14</v>
      </c>
      <c r="N469" t="str">
        <f t="shared" si="64"/>
        <v>HOLDING REGISTER</v>
      </c>
      <c r="O469" t="str">
        <f t="shared" si="65"/>
        <v>BOOL</v>
      </c>
      <c r="P469" t="str">
        <f t="shared" si="66"/>
        <v>SELETTORE 2S2</v>
      </c>
      <c r="R469" t="str">
        <f t="shared" si="67"/>
        <v>QILL_MURGE -SELETTORE ILLUMINAZIONE R2-DX IN AUTOMATICO</v>
      </c>
      <c r="U469" t="str">
        <f t="shared" si="68"/>
        <v>Stato</v>
      </c>
      <c r="V469" t="str">
        <f t="shared" si="69"/>
        <v>QILL_MURGE</v>
      </c>
      <c r="W469" t="str">
        <f t="shared" si="70"/>
        <v>CABINA MURGE</v>
      </c>
      <c r="Z469" t="str">
        <f t="shared" si="71"/>
        <v>10.220.80.16</v>
      </c>
    </row>
    <row r="470" spans="1:26" x14ac:dyDescent="0.25">
      <c r="A470" t="s">
        <v>10</v>
      </c>
      <c r="B470" t="s">
        <v>968</v>
      </c>
      <c r="C470" t="s">
        <v>969</v>
      </c>
      <c r="D470" t="s">
        <v>552</v>
      </c>
      <c r="E470" t="s">
        <v>566</v>
      </c>
      <c r="F470" t="s">
        <v>14</v>
      </c>
      <c r="G470" t="s">
        <v>21</v>
      </c>
      <c r="H470" t="s">
        <v>22</v>
      </c>
      <c r="I470" t="s">
        <v>1022</v>
      </c>
      <c r="J470" t="s">
        <v>1023</v>
      </c>
      <c r="K470" t="str">
        <f t="shared" si="63"/>
        <v>1028.15</v>
      </c>
      <c r="N470" t="str">
        <f t="shared" si="64"/>
        <v>HOLDING REGISTER</v>
      </c>
      <c r="O470" t="str">
        <f t="shared" si="65"/>
        <v>BOOL</v>
      </c>
      <c r="P470" t="str">
        <f t="shared" si="66"/>
        <v>CONTATTORE 3K1</v>
      </c>
      <c r="R470" t="str">
        <f t="shared" si="67"/>
        <v>QILL_MURGE -CONTATTORE ILLUMINAZIONE R1-SX CHIUSO</v>
      </c>
      <c r="U470" t="str">
        <f t="shared" si="68"/>
        <v>Stato</v>
      </c>
      <c r="V470" t="str">
        <f t="shared" si="69"/>
        <v>QILL_MURGE</v>
      </c>
      <c r="W470" t="str">
        <f t="shared" si="70"/>
        <v>CABINA MURGE</v>
      </c>
      <c r="Z470" t="str">
        <f t="shared" si="71"/>
        <v>10.220.80.16</v>
      </c>
    </row>
    <row r="471" spans="1:26" x14ac:dyDescent="0.25">
      <c r="A471" t="s">
        <v>10</v>
      </c>
      <c r="B471" t="s">
        <v>968</v>
      </c>
      <c r="C471" t="s">
        <v>969</v>
      </c>
      <c r="D471" t="s">
        <v>552</v>
      </c>
      <c r="E471" t="s">
        <v>742</v>
      </c>
      <c r="F471" t="s">
        <v>14</v>
      </c>
      <c r="G471" t="s">
        <v>21</v>
      </c>
      <c r="H471" t="s">
        <v>22</v>
      </c>
      <c r="I471" t="s">
        <v>1024</v>
      </c>
      <c r="J471" t="s">
        <v>1025</v>
      </c>
      <c r="K471" t="str">
        <f t="shared" si="63"/>
        <v>1029.0</v>
      </c>
      <c r="N471" t="str">
        <f t="shared" si="64"/>
        <v>HOLDING REGISTER</v>
      </c>
      <c r="O471" t="str">
        <f t="shared" si="65"/>
        <v>BOOL</v>
      </c>
      <c r="P471" t="str">
        <f t="shared" si="66"/>
        <v>CONTATTORE 3K2</v>
      </c>
      <c r="R471" t="str">
        <f t="shared" si="67"/>
        <v>QILL_MURGE -CONTATTORE ILLUMINAZIONE R2-SX CHIUSO</v>
      </c>
      <c r="U471" t="str">
        <f t="shared" si="68"/>
        <v>Stato</v>
      </c>
      <c r="V471" t="str">
        <f t="shared" si="69"/>
        <v>QILL_MURGE</v>
      </c>
      <c r="W471" t="str">
        <f t="shared" si="70"/>
        <v>CABINA MURGE</v>
      </c>
      <c r="Z471" t="str">
        <f t="shared" si="71"/>
        <v>10.220.80.16</v>
      </c>
    </row>
    <row r="472" spans="1:26" x14ac:dyDescent="0.25">
      <c r="A472" t="s">
        <v>10</v>
      </c>
      <c r="B472" t="s">
        <v>968</v>
      </c>
      <c r="C472" t="s">
        <v>969</v>
      </c>
      <c r="D472" t="s">
        <v>555</v>
      </c>
      <c r="E472" t="s">
        <v>569</v>
      </c>
      <c r="F472" t="s">
        <v>14</v>
      </c>
      <c r="G472" t="s">
        <v>21</v>
      </c>
      <c r="H472" t="s">
        <v>22</v>
      </c>
      <c r="I472" t="s">
        <v>1026</v>
      </c>
      <c r="J472" t="s">
        <v>1027</v>
      </c>
      <c r="K472" t="str">
        <f t="shared" si="63"/>
        <v>1029.1</v>
      </c>
      <c r="N472" t="str">
        <f t="shared" si="64"/>
        <v>HOLDING REGISTER</v>
      </c>
      <c r="O472" t="str">
        <f t="shared" si="65"/>
        <v>BOOL</v>
      </c>
      <c r="P472" t="str">
        <f t="shared" si="66"/>
        <v>SELETTORE 3S1</v>
      </c>
      <c r="R472" t="str">
        <f t="shared" si="67"/>
        <v>QILL_MURGE -SELETTORE ILLUMINAZIONE R1-SX IN AUTOMATICO</v>
      </c>
      <c r="U472" t="str">
        <f t="shared" si="68"/>
        <v>Stato</v>
      </c>
      <c r="V472" t="str">
        <f t="shared" si="69"/>
        <v>QILL_MURGE</v>
      </c>
      <c r="W472" t="str">
        <f t="shared" si="70"/>
        <v>CABINA MURGE</v>
      </c>
      <c r="Z472" t="str">
        <f t="shared" si="71"/>
        <v>10.220.80.16</v>
      </c>
    </row>
    <row r="473" spans="1:26" x14ac:dyDescent="0.25">
      <c r="A473" t="s">
        <v>10</v>
      </c>
      <c r="B473" t="s">
        <v>968</v>
      </c>
      <c r="C473" t="s">
        <v>969</v>
      </c>
      <c r="D473" t="s">
        <v>555</v>
      </c>
      <c r="E473" t="s">
        <v>1028</v>
      </c>
      <c r="F473" t="s">
        <v>14</v>
      </c>
      <c r="G473" t="s">
        <v>21</v>
      </c>
      <c r="H473" t="s">
        <v>22</v>
      </c>
      <c r="I473" t="s">
        <v>1029</v>
      </c>
      <c r="J473" t="s">
        <v>1030</v>
      </c>
      <c r="K473" t="str">
        <f t="shared" si="63"/>
        <v>1029.2</v>
      </c>
      <c r="N473" t="str">
        <f t="shared" si="64"/>
        <v>HOLDING REGISTER</v>
      </c>
      <c r="O473" t="str">
        <f t="shared" si="65"/>
        <v>BOOL</v>
      </c>
      <c r="P473" t="str">
        <f t="shared" si="66"/>
        <v>SELETTORE 3S2</v>
      </c>
      <c r="R473" t="str">
        <f t="shared" si="67"/>
        <v>QILL_MURGE -SELETTORE ILLUMINAZIONE R2-SX IN AUTOMATICO</v>
      </c>
      <c r="U473" t="str">
        <f t="shared" si="68"/>
        <v>Stato</v>
      </c>
      <c r="V473" t="str">
        <f t="shared" si="69"/>
        <v>QILL_MURGE</v>
      </c>
      <c r="W473" t="str">
        <f t="shared" si="70"/>
        <v>CABINA MURGE</v>
      </c>
      <c r="Z473" t="str">
        <f t="shared" si="71"/>
        <v>10.220.80.16</v>
      </c>
    </row>
    <row r="474" spans="1:26" x14ac:dyDescent="0.25">
      <c r="A474" t="s">
        <v>10</v>
      </c>
      <c r="B474" t="s">
        <v>968</v>
      </c>
      <c r="C474" t="s">
        <v>969</v>
      </c>
      <c r="D474" t="s">
        <v>205</v>
      </c>
      <c r="E474" t="s">
        <v>206</v>
      </c>
      <c r="F474" t="s">
        <v>14</v>
      </c>
      <c r="G474" t="s">
        <v>28</v>
      </c>
      <c r="H474" t="s">
        <v>22</v>
      </c>
      <c r="I474" t="s">
        <v>1031</v>
      </c>
      <c r="J474" t="s">
        <v>1032</v>
      </c>
      <c r="K474" t="str">
        <f t="shared" si="63"/>
        <v>1029.3</v>
      </c>
      <c r="N474" t="str">
        <f t="shared" si="64"/>
        <v>HOLDING REGISTER</v>
      </c>
      <c r="O474" t="str">
        <f t="shared" si="65"/>
        <v>BOOL</v>
      </c>
      <c r="P474" t="str">
        <f t="shared" si="66"/>
        <v>REMOTE I/O RIO</v>
      </c>
      <c r="R474" t="str">
        <f t="shared" si="67"/>
        <v>Qill MURGE -ERRORE DI COMUNICAZIONE CON RIO</v>
      </c>
      <c r="U474" t="str">
        <f t="shared" si="68"/>
        <v>Allarme</v>
      </c>
      <c r="V474" t="str">
        <f t="shared" si="69"/>
        <v>QILL_MURGE</v>
      </c>
      <c r="W474" t="str">
        <f t="shared" si="70"/>
        <v>CABINA MURGE</v>
      </c>
      <c r="Z474" t="str">
        <f t="shared" si="71"/>
        <v>10.220.80.16</v>
      </c>
    </row>
    <row r="475" spans="1:26" x14ac:dyDescent="0.25">
      <c r="A475" t="s">
        <v>10</v>
      </c>
      <c r="B475" t="s">
        <v>1033</v>
      </c>
      <c r="C475" t="s">
        <v>1034</v>
      </c>
      <c r="D475" t="s">
        <v>361</v>
      </c>
      <c r="E475">
        <v>1</v>
      </c>
      <c r="F475" t="s">
        <v>14</v>
      </c>
      <c r="G475" t="s">
        <v>21</v>
      </c>
      <c r="H475" t="s">
        <v>22</v>
      </c>
      <c r="I475" t="s">
        <v>1035</v>
      </c>
      <c r="J475" t="s">
        <v>1036</v>
      </c>
      <c r="K475" t="str">
        <f t="shared" si="63"/>
        <v>1029.4</v>
      </c>
      <c r="N475" t="str">
        <f t="shared" si="64"/>
        <v>HOLDING REGISTER</v>
      </c>
      <c r="O475" t="str">
        <f t="shared" si="65"/>
        <v>BOOL</v>
      </c>
      <c r="P475" t="str">
        <f t="shared" si="66"/>
        <v>SEZIONATORE 1</v>
      </c>
      <c r="R475" t="str">
        <f t="shared" si="67"/>
        <v>QILL_SV_SUD -SEZIONATORE GENERALE QUADRO CHIUSO</v>
      </c>
      <c r="U475" t="str">
        <f t="shared" si="68"/>
        <v>Stato</v>
      </c>
      <c r="V475" t="str">
        <f t="shared" si="69"/>
        <v>QILL_SV_SUD</v>
      </c>
      <c r="W475" t="str">
        <f t="shared" si="70"/>
        <v>QUADRO ESTERNO SVINCOLO SUD</v>
      </c>
      <c r="Z475" t="str">
        <f t="shared" si="71"/>
        <v>10.220.80.16</v>
      </c>
    </row>
    <row r="476" spans="1:26" x14ac:dyDescent="0.25">
      <c r="A476" t="s">
        <v>10</v>
      </c>
      <c r="B476" t="s">
        <v>1033</v>
      </c>
      <c r="C476" t="s">
        <v>1034</v>
      </c>
      <c r="D476" t="s">
        <v>49</v>
      </c>
      <c r="E476">
        <v>4</v>
      </c>
      <c r="F476" t="s">
        <v>14</v>
      </c>
      <c r="G476" t="s">
        <v>21</v>
      </c>
      <c r="H476" t="s">
        <v>22</v>
      </c>
      <c r="I476" t="s">
        <v>1037</v>
      </c>
      <c r="J476" t="s">
        <v>1038</v>
      </c>
      <c r="K476" t="str">
        <f t="shared" si="63"/>
        <v>1029.5</v>
      </c>
      <c r="N476" t="str">
        <f t="shared" si="64"/>
        <v>HOLDING REGISTER</v>
      </c>
      <c r="O476" t="str">
        <f t="shared" si="65"/>
        <v>BOOL</v>
      </c>
      <c r="P476" t="str">
        <f t="shared" si="66"/>
        <v>INTERRUTTORE 4</v>
      </c>
      <c r="R476" t="str">
        <f t="shared" si="67"/>
        <v>QILL_SV_SUD -INTERRUTTORE AUX QUADRO CHIUSO</v>
      </c>
      <c r="U476" t="str">
        <f t="shared" si="68"/>
        <v>Stato</v>
      </c>
      <c r="V476" t="str">
        <f t="shared" si="69"/>
        <v>QILL_SV_SUD</v>
      </c>
      <c r="W476" t="str">
        <f t="shared" si="70"/>
        <v>QUADRO ESTERNO SVINCOLO SUD</v>
      </c>
      <c r="Z476" t="str">
        <f t="shared" si="71"/>
        <v>10.220.80.16</v>
      </c>
    </row>
    <row r="477" spans="1:26" x14ac:dyDescent="0.25">
      <c r="A477" t="s">
        <v>10</v>
      </c>
      <c r="B477" t="s">
        <v>1033</v>
      </c>
      <c r="C477" t="s">
        <v>1034</v>
      </c>
      <c r="D477" t="s">
        <v>49</v>
      </c>
      <c r="E477">
        <v>4</v>
      </c>
      <c r="F477" t="s">
        <v>14</v>
      </c>
      <c r="G477" t="s">
        <v>28</v>
      </c>
      <c r="H477" t="s">
        <v>22</v>
      </c>
      <c r="I477" t="s">
        <v>1039</v>
      </c>
      <c r="J477" t="s">
        <v>1040</v>
      </c>
      <c r="K477" t="str">
        <f t="shared" si="63"/>
        <v>1029.6</v>
      </c>
      <c r="N477" t="str">
        <f t="shared" si="64"/>
        <v>HOLDING REGISTER</v>
      </c>
      <c r="O477" t="str">
        <f t="shared" si="65"/>
        <v>BOOL</v>
      </c>
      <c r="P477" t="str">
        <f t="shared" si="66"/>
        <v>INTERRUTTORE 4</v>
      </c>
      <c r="R477" t="str">
        <f t="shared" si="67"/>
        <v>QILL_SV_SUD -INTERRUTTORE AUX QUADRO SCATTATO</v>
      </c>
      <c r="U477" t="str">
        <f t="shared" si="68"/>
        <v>Allarme</v>
      </c>
      <c r="V477" t="str">
        <f t="shared" si="69"/>
        <v>QILL_SV_SUD</v>
      </c>
      <c r="W477" t="str">
        <f t="shared" si="70"/>
        <v>QUADRO ESTERNO SVINCOLO SUD</v>
      </c>
      <c r="Z477" t="str">
        <f t="shared" si="71"/>
        <v>10.220.80.16</v>
      </c>
    </row>
    <row r="478" spans="1:26" x14ac:dyDescent="0.25">
      <c r="A478" t="s">
        <v>10</v>
      </c>
      <c r="B478" t="s">
        <v>1033</v>
      </c>
      <c r="C478" t="s">
        <v>1034</v>
      </c>
      <c r="D478" t="s">
        <v>49</v>
      </c>
      <c r="E478">
        <v>6</v>
      </c>
      <c r="F478" t="s">
        <v>14</v>
      </c>
      <c r="G478" t="s">
        <v>21</v>
      </c>
      <c r="H478" t="s">
        <v>22</v>
      </c>
      <c r="I478" t="s">
        <v>1041</v>
      </c>
      <c r="J478" t="s">
        <v>1042</v>
      </c>
      <c r="K478" t="str">
        <f t="shared" si="63"/>
        <v>1029.7</v>
      </c>
      <c r="N478" t="str">
        <f t="shared" si="64"/>
        <v>HOLDING REGISTER</v>
      </c>
      <c r="O478" t="str">
        <f t="shared" si="65"/>
        <v>BOOL</v>
      </c>
      <c r="P478" t="str">
        <f t="shared" si="66"/>
        <v>INTERRUTTORE 6</v>
      </c>
      <c r="R478" t="str">
        <f t="shared" si="67"/>
        <v>QILL_SV_SUD -INTERRUTTORE PMV CHIUSO</v>
      </c>
      <c r="U478" t="str">
        <f t="shared" si="68"/>
        <v>Stato</v>
      </c>
      <c r="V478" t="str">
        <f t="shared" si="69"/>
        <v>QILL_SV_SUD</v>
      </c>
      <c r="W478" t="str">
        <f t="shared" si="70"/>
        <v>QUADRO ESTERNO SVINCOLO SUD</v>
      </c>
      <c r="Z478" t="str">
        <f t="shared" si="71"/>
        <v>10.220.80.16</v>
      </c>
    </row>
    <row r="479" spans="1:26" x14ac:dyDescent="0.25">
      <c r="A479" t="s">
        <v>10</v>
      </c>
      <c r="B479" t="s">
        <v>1033</v>
      </c>
      <c r="C479" t="s">
        <v>1034</v>
      </c>
      <c r="D479" t="s">
        <v>49</v>
      </c>
      <c r="E479">
        <v>6</v>
      </c>
      <c r="F479" t="s">
        <v>14</v>
      </c>
      <c r="G479" t="s">
        <v>28</v>
      </c>
      <c r="H479" t="s">
        <v>22</v>
      </c>
      <c r="I479" t="s">
        <v>1043</v>
      </c>
      <c r="J479" t="s">
        <v>1044</v>
      </c>
      <c r="K479" t="str">
        <f t="shared" si="63"/>
        <v>1029.8</v>
      </c>
      <c r="N479" t="str">
        <f t="shared" si="64"/>
        <v>HOLDING REGISTER</v>
      </c>
      <c r="O479" t="str">
        <f t="shared" si="65"/>
        <v>BOOL</v>
      </c>
      <c r="P479" t="str">
        <f t="shared" si="66"/>
        <v>INTERRUTTORE 6</v>
      </c>
      <c r="R479" t="str">
        <f t="shared" si="67"/>
        <v>QILL_SV_SUD -INTERRUTTORE PMV SCATTATO</v>
      </c>
      <c r="U479" t="str">
        <f t="shared" si="68"/>
        <v>Allarme</v>
      </c>
      <c r="V479" t="str">
        <f t="shared" si="69"/>
        <v>QILL_SV_SUD</v>
      </c>
      <c r="W479" t="str">
        <f t="shared" si="70"/>
        <v>QUADRO ESTERNO SVINCOLO SUD</v>
      </c>
      <c r="Z479" t="str">
        <f t="shared" si="71"/>
        <v>10.220.80.16</v>
      </c>
    </row>
    <row r="480" spans="1:26" x14ac:dyDescent="0.25">
      <c r="A480" t="s">
        <v>10</v>
      </c>
      <c r="B480" t="s">
        <v>1033</v>
      </c>
      <c r="C480" t="s">
        <v>1034</v>
      </c>
      <c r="D480" t="s">
        <v>49</v>
      </c>
      <c r="E480">
        <v>10</v>
      </c>
      <c r="F480" t="s">
        <v>14</v>
      </c>
      <c r="G480" t="s">
        <v>21</v>
      </c>
      <c r="H480" t="s">
        <v>22</v>
      </c>
      <c r="I480" t="s">
        <v>1045</v>
      </c>
      <c r="J480" t="s">
        <v>1046</v>
      </c>
      <c r="K480" t="str">
        <f t="shared" si="63"/>
        <v>1029.9</v>
      </c>
      <c r="N480" t="str">
        <f t="shared" si="64"/>
        <v>HOLDING REGISTER</v>
      </c>
      <c r="O480" t="str">
        <f t="shared" si="65"/>
        <v>BOOL</v>
      </c>
      <c r="P480" t="str">
        <f t="shared" si="66"/>
        <v>INTERRUTTORE 10</v>
      </c>
      <c r="R480" t="str">
        <f t="shared" si="67"/>
        <v>QILL_SV_SUD -INTERRUTTORE ILLUMINAZIONE CIRCUITO 1 CHIUSO</v>
      </c>
      <c r="U480" t="str">
        <f t="shared" si="68"/>
        <v>Stato</v>
      </c>
      <c r="V480" t="str">
        <f t="shared" si="69"/>
        <v>QILL_SV_SUD</v>
      </c>
      <c r="W480" t="str">
        <f t="shared" si="70"/>
        <v>QUADRO ESTERNO SVINCOLO SUD</v>
      </c>
      <c r="Z480" t="str">
        <f t="shared" si="71"/>
        <v>10.220.80.16</v>
      </c>
    </row>
    <row r="481" spans="1:26" x14ac:dyDescent="0.25">
      <c r="A481" t="s">
        <v>10</v>
      </c>
      <c r="B481" t="s">
        <v>1033</v>
      </c>
      <c r="C481" t="s">
        <v>1034</v>
      </c>
      <c r="D481" t="s">
        <v>49</v>
      </c>
      <c r="E481">
        <v>10</v>
      </c>
      <c r="F481" t="s">
        <v>14</v>
      </c>
      <c r="G481" t="s">
        <v>28</v>
      </c>
      <c r="H481" t="s">
        <v>22</v>
      </c>
      <c r="I481" t="s">
        <v>1047</v>
      </c>
      <c r="J481" t="s">
        <v>1048</v>
      </c>
      <c r="K481" t="str">
        <f t="shared" si="63"/>
        <v>1029.10</v>
      </c>
      <c r="N481" t="str">
        <f t="shared" si="64"/>
        <v>HOLDING REGISTER</v>
      </c>
      <c r="O481" t="str">
        <f t="shared" si="65"/>
        <v>BOOL</v>
      </c>
      <c r="P481" t="str">
        <f t="shared" si="66"/>
        <v>INTERRUTTORE 10</v>
      </c>
      <c r="R481" t="str">
        <f t="shared" si="67"/>
        <v>QILL_SV_SUD -INTERRUTTORE ILLUMINAZIONE CIRCUITO 1 SCATTATO</v>
      </c>
      <c r="U481" t="str">
        <f t="shared" si="68"/>
        <v>Allarme</v>
      </c>
      <c r="V481" t="str">
        <f t="shared" si="69"/>
        <v>QILL_SV_SUD</v>
      </c>
      <c r="W481" t="str">
        <f t="shared" si="70"/>
        <v>QUADRO ESTERNO SVINCOLO SUD</v>
      </c>
      <c r="Z481" t="str">
        <f t="shared" si="71"/>
        <v>10.220.80.16</v>
      </c>
    </row>
    <row r="482" spans="1:26" x14ac:dyDescent="0.25">
      <c r="A482" t="s">
        <v>10</v>
      </c>
      <c r="B482" t="s">
        <v>1033</v>
      </c>
      <c r="C482" t="s">
        <v>1034</v>
      </c>
      <c r="D482" t="s">
        <v>49</v>
      </c>
      <c r="E482">
        <v>11</v>
      </c>
      <c r="F482" t="s">
        <v>14</v>
      </c>
      <c r="G482" t="s">
        <v>21</v>
      </c>
      <c r="H482" t="s">
        <v>22</v>
      </c>
      <c r="I482" t="s">
        <v>1049</v>
      </c>
      <c r="J482" t="s">
        <v>1050</v>
      </c>
      <c r="K482" t="str">
        <f t="shared" si="63"/>
        <v>1029.11</v>
      </c>
      <c r="N482" t="str">
        <f t="shared" si="64"/>
        <v>HOLDING REGISTER</v>
      </c>
      <c r="O482" t="str">
        <f t="shared" si="65"/>
        <v>BOOL</v>
      </c>
      <c r="P482" t="str">
        <f t="shared" si="66"/>
        <v>INTERRUTTORE 11</v>
      </c>
      <c r="R482" t="str">
        <f t="shared" si="67"/>
        <v>QILL_SV_SUD -INTERRUTTORE ILLUMINAZIONE CIRCUITO 2 CHIUSO</v>
      </c>
      <c r="U482" t="str">
        <f t="shared" si="68"/>
        <v>Stato</v>
      </c>
      <c r="V482" t="str">
        <f t="shared" si="69"/>
        <v>QILL_SV_SUD</v>
      </c>
      <c r="W482" t="str">
        <f t="shared" si="70"/>
        <v>QUADRO ESTERNO SVINCOLO SUD</v>
      </c>
      <c r="Z482" t="str">
        <f t="shared" si="71"/>
        <v>10.220.80.16</v>
      </c>
    </row>
    <row r="483" spans="1:26" x14ac:dyDescent="0.25">
      <c r="A483" t="s">
        <v>10</v>
      </c>
      <c r="B483" t="s">
        <v>1033</v>
      </c>
      <c r="C483" t="s">
        <v>1034</v>
      </c>
      <c r="D483" t="s">
        <v>49</v>
      </c>
      <c r="E483">
        <v>11</v>
      </c>
      <c r="F483" t="s">
        <v>14</v>
      </c>
      <c r="G483" t="s">
        <v>28</v>
      </c>
      <c r="H483" t="s">
        <v>22</v>
      </c>
      <c r="I483" t="s">
        <v>1051</v>
      </c>
      <c r="J483" t="s">
        <v>1052</v>
      </c>
      <c r="K483" t="str">
        <f t="shared" si="63"/>
        <v>1029.12</v>
      </c>
      <c r="N483" t="str">
        <f t="shared" si="64"/>
        <v>HOLDING REGISTER</v>
      </c>
      <c r="O483" t="str">
        <f t="shared" si="65"/>
        <v>BOOL</v>
      </c>
      <c r="P483" t="str">
        <f t="shared" si="66"/>
        <v>INTERRUTTORE 11</v>
      </c>
      <c r="R483" t="str">
        <f t="shared" si="67"/>
        <v>QILL_SV_SUD -INTERRUTTORE ILLUMINAZIONE CIRCUITO 2 SCATTATO</v>
      </c>
      <c r="U483" t="str">
        <f t="shared" si="68"/>
        <v>Allarme</v>
      </c>
      <c r="V483" t="str">
        <f t="shared" si="69"/>
        <v>QILL_SV_SUD</v>
      </c>
      <c r="W483" t="str">
        <f t="shared" si="70"/>
        <v>QUADRO ESTERNO SVINCOLO SUD</v>
      </c>
      <c r="Z483" t="str">
        <f t="shared" si="71"/>
        <v>10.220.80.16</v>
      </c>
    </row>
    <row r="484" spans="1:26" x14ac:dyDescent="0.25">
      <c r="A484" t="s">
        <v>10</v>
      </c>
      <c r="B484" t="s">
        <v>1033</v>
      </c>
      <c r="C484" t="s">
        <v>1034</v>
      </c>
      <c r="D484" t="s">
        <v>49</v>
      </c>
      <c r="E484" t="s">
        <v>295</v>
      </c>
      <c r="F484" t="s">
        <v>14</v>
      </c>
      <c r="G484" t="s">
        <v>21</v>
      </c>
      <c r="H484" t="s">
        <v>22</v>
      </c>
      <c r="I484" t="s">
        <v>1053</v>
      </c>
      <c r="J484" t="s">
        <v>1054</v>
      </c>
      <c r="K484" t="str">
        <f t="shared" si="63"/>
        <v>1029.13</v>
      </c>
      <c r="N484" t="str">
        <f t="shared" si="64"/>
        <v>HOLDING REGISTER</v>
      </c>
      <c r="O484" t="str">
        <f t="shared" si="65"/>
        <v>BOOL</v>
      </c>
      <c r="P484" t="str">
        <f t="shared" si="66"/>
        <v>INTERRUTTORE 2K1</v>
      </c>
      <c r="R484" t="str">
        <f t="shared" si="67"/>
        <v>QILL_SV_SUD -CONTATTORE CIRCUITO 1 CHIUSO</v>
      </c>
      <c r="U484" t="str">
        <f t="shared" si="68"/>
        <v>Stato</v>
      </c>
      <c r="V484" t="str">
        <f t="shared" si="69"/>
        <v>QILL_SV_SUD</v>
      </c>
      <c r="W484" t="str">
        <f t="shared" si="70"/>
        <v>QUADRO ESTERNO SVINCOLO SUD</v>
      </c>
      <c r="Z484" t="str">
        <f t="shared" si="71"/>
        <v>10.220.80.16</v>
      </c>
    </row>
    <row r="485" spans="1:26" x14ac:dyDescent="0.25">
      <c r="A485" t="s">
        <v>10</v>
      </c>
      <c r="B485" t="s">
        <v>1033</v>
      </c>
      <c r="C485" t="s">
        <v>1034</v>
      </c>
      <c r="D485" t="s">
        <v>49</v>
      </c>
      <c r="E485" t="s">
        <v>1014</v>
      </c>
      <c r="F485" t="s">
        <v>14</v>
      </c>
      <c r="G485" t="s">
        <v>21</v>
      </c>
      <c r="H485" t="s">
        <v>22</v>
      </c>
      <c r="I485" t="s">
        <v>1055</v>
      </c>
      <c r="J485" t="s">
        <v>1056</v>
      </c>
      <c r="K485" t="str">
        <f t="shared" si="63"/>
        <v>1029.14</v>
      </c>
      <c r="N485" t="str">
        <f t="shared" si="64"/>
        <v>HOLDING REGISTER</v>
      </c>
      <c r="O485" t="str">
        <f t="shared" si="65"/>
        <v>BOOL</v>
      </c>
      <c r="P485" t="str">
        <f t="shared" si="66"/>
        <v>INTERRUTTORE 2K2</v>
      </c>
      <c r="R485" t="str">
        <f t="shared" si="67"/>
        <v>QILL_SV_SUD -CONTATTORE CIRCUITO 2 CHIUSO</v>
      </c>
      <c r="U485" t="str">
        <f t="shared" si="68"/>
        <v>Stato</v>
      </c>
      <c r="V485" t="str">
        <f t="shared" si="69"/>
        <v>QILL_SV_SUD</v>
      </c>
      <c r="W485" t="str">
        <f t="shared" si="70"/>
        <v>QUADRO ESTERNO SVINCOLO SUD</v>
      </c>
      <c r="Z485" t="str">
        <f t="shared" si="71"/>
        <v>10.220.80.16</v>
      </c>
    </row>
    <row r="486" spans="1:26" x14ac:dyDescent="0.25">
      <c r="A486" t="s">
        <v>10</v>
      </c>
      <c r="B486" t="s">
        <v>1033</v>
      </c>
      <c r="C486" t="s">
        <v>1034</v>
      </c>
      <c r="D486" t="s">
        <v>49</v>
      </c>
      <c r="E486" t="s">
        <v>556</v>
      </c>
      <c r="F486" t="s">
        <v>14</v>
      </c>
      <c r="G486" t="s">
        <v>21</v>
      </c>
      <c r="H486" t="s">
        <v>22</v>
      </c>
      <c r="I486" t="s">
        <v>1057</v>
      </c>
      <c r="J486" t="s">
        <v>1058</v>
      </c>
      <c r="K486" t="str">
        <f t="shared" si="63"/>
        <v>1029.15</v>
      </c>
      <c r="N486" t="str">
        <f t="shared" si="64"/>
        <v>HOLDING REGISTER</v>
      </c>
      <c r="O486" t="str">
        <f t="shared" si="65"/>
        <v>BOOL</v>
      </c>
      <c r="P486" t="str">
        <f t="shared" si="66"/>
        <v>INTERRUTTORE 2S1</v>
      </c>
      <c r="R486" t="str">
        <f t="shared" si="67"/>
        <v>QILL_SV_SUD -SELETTORE CIRCUITO 1 IN AUTOMATICO</v>
      </c>
      <c r="U486" t="str">
        <f t="shared" si="68"/>
        <v>Stato</v>
      </c>
      <c r="V486" t="str">
        <f t="shared" si="69"/>
        <v>QILL_SV_SUD</v>
      </c>
      <c r="W486" t="str">
        <f t="shared" si="70"/>
        <v>QUADRO ESTERNO SVINCOLO SUD</v>
      </c>
      <c r="Z486" t="str">
        <f t="shared" si="71"/>
        <v>10.220.80.16</v>
      </c>
    </row>
    <row r="487" spans="1:26" x14ac:dyDescent="0.25">
      <c r="A487" t="s">
        <v>10</v>
      </c>
      <c r="B487" t="s">
        <v>1033</v>
      </c>
      <c r="C487" t="s">
        <v>1034</v>
      </c>
      <c r="D487" t="s">
        <v>49</v>
      </c>
      <c r="E487" t="s">
        <v>1019</v>
      </c>
      <c r="F487" t="s">
        <v>14</v>
      </c>
      <c r="G487" t="s">
        <v>21</v>
      </c>
      <c r="H487" t="s">
        <v>22</v>
      </c>
      <c r="I487" t="s">
        <v>1059</v>
      </c>
      <c r="J487" t="s">
        <v>1060</v>
      </c>
      <c r="K487" t="str">
        <f t="shared" si="63"/>
        <v>1030.0</v>
      </c>
      <c r="N487" t="str">
        <f t="shared" si="64"/>
        <v>HOLDING REGISTER</v>
      </c>
      <c r="O487" t="str">
        <f t="shared" si="65"/>
        <v>BOOL</v>
      </c>
      <c r="P487" t="str">
        <f t="shared" si="66"/>
        <v>INTERRUTTORE 2S2</v>
      </c>
      <c r="R487" t="str">
        <f t="shared" si="67"/>
        <v>QILL_SV_SUD -SELETTORE CIRCUITO 2 IN AUTOMATICO</v>
      </c>
      <c r="U487" t="str">
        <f t="shared" si="68"/>
        <v>Stato</v>
      </c>
      <c r="V487" t="str">
        <f t="shared" si="69"/>
        <v>QILL_SV_SUD</v>
      </c>
      <c r="W487" t="str">
        <f t="shared" si="70"/>
        <v>QUADRO ESTERNO SVINCOLO SUD</v>
      </c>
      <c r="Z487" t="str">
        <f t="shared" si="71"/>
        <v>10.220.80.16</v>
      </c>
    </row>
    <row r="488" spans="1:26" x14ac:dyDescent="0.25">
      <c r="A488" t="s">
        <v>10</v>
      </c>
      <c r="B488" t="s">
        <v>1033</v>
      </c>
      <c r="C488" t="s">
        <v>1034</v>
      </c>
      <c r="D488" t="s">
        <v>205</v>
      </c>
      <c r="E488" t="s">
        <v>206</v>
      </c>
      <c r="F488" t="s">
        <v>14</v>
      </c>
      <c r="G488" t="s">
        <v>28</v>
      </c>
      <c r="H488" t="s">
        <v>22</v>
      </c>
      <c r="I488" t="s">
        <v>1061</v>
      </c>
      <c r="J488" t="s">
        <v>1062</v>
      </c>
      <c r="K488" t="str">
        <f t="shared" si="63"/>
        <v>1030.1</v>
      </c>
      <c r="N488" t="str">
        <f t="shared" si="64"/>
        <v>HOLDING REGISTER</v>
      </c>
      <c r="O488" t="str">
        <f t="shared" si="65"/>
        <v>BOOL</v>
      </c>
      <c r="P488" t="str">
        <f t="shared" si="66"/>
        <v>REMOTE I/O RIO</v>
      </c>
      <c r="R488" t="str">
        <f t="shared" si="67"/>
        <v>QILL_SV_SUD -ERRORE DI COMUNICAZIONE CON RIO</v>
      </c>
      <c r="U488" t="str">
        <f t="shared" si="68"/>
        <v>Allarme</v>
      </c>
      <c r="V488" t="str">
        <f t="shared" si="69"/>
        <v>QILL_SV_SUD</v>
      </c>
      <c r="W488" t="str">
        <f t="shared" si="70"/>
        <v>QUADRO ESTERNO SVINCOLO SUD</v>
      </c>
      <c r="Z488" t="str">
        <f t="shared" si="71"/>
        <v>10.220.80.16</v>
      </c>
    </row>
    <row r="489" spans="1:26" x14ac:dyDescent="0.25">
      <c r="A489" t="s">
        <v>10</v>
      </c>
      <c r="B489" t="s">
        <v>1063</v>
      </c>
      <c r="C489" t="s">
        <v>1064</v>
      </c>
      <c r="D489" t="s">
        <v>361</v>
      </c>
      <c r="E489">
        <v>1</v>
      </c>
      <c r="F489" t="s">
        <v>14</v>
      </c>
      <c r="G489" t="s">
        <v>21</v>
      </c>
      <c r="H489" t="s">
        <v>22</v>
      </c>
      <c r="I489" t="s">
        <v>1065</v>
      </c>
      <c r="J489" t="s">
        <v>1066</v>
      </c>
      <c r="K489" t="str">
        <f t="shared" si="63"/>
        <v>1030.2</v>
      </c>
      <c r="N489" t="str">
        <f t="shared" si="64"/>
        <v>HOLDING REGISTER</v>
      </c>
      <c r="O489" t="str">
        <f t="shared" si="65"/>
        <v>BOOL</v>
      </c>
      <c r="P489" t="str">
        <f t="shared" si="66"/>
        <v>SEZIONATORE 1</v>
      </c>
      <c r="R489" t="str">
        <f t="shared" si="67"/>
        <v>QACC1_SG -SEZIONATORE GENERALE QUADRO CHIUSO</v>
      </c>
      <c r="U489" t="str">
        <f t="shared" si="68"/>
        <v>Stato</v>
      </c>
      <c r="V489" t="str">
        <f t="shared" si="69"/>
        <v>QACC1_SG</v>
      </c>
      <c r="W489" t="str">
        <f t="shared" si="70"/>
        <v>GALLERIA SAN GIULIANO</v>
      </c>
      <c r="Z489" t="str">
        <f t="shared" si="71"/>
        <v>10.220.80.16</v>
      </c>
    </row>
    <row r="490" spans="1:26" x14ac:dyDescent="0.25">
      <c r="A490" t="s">
        <v>10</v>
      </c>
      <c r="B490" t="s">
        <v>1063</v>
      </c>
      <c r="C490" t="s">
        <v>1064</v>
      </c>
      <c r="D490" t="s">
        <v>49</v>
      </c>
      <c r="E490" t="s">
        <v>1067</v>
      </c>
      <c r="F490" t="s">
        <v>14</v>
      </c>
      <c r="G490" t="s">
        <v>21</v>
      </c>
      <c r="H490" t="s">
        <v>22</v>
      </c>
      <c r="I490" t="s">
        <v>1068</v>
      </c>
      <c r="J490" t="s">
        <v>1069</v>
      </c>
      <c r="K490" t="str">
        <f t="shared" si="63"/>
        <v>1030.3</v>
      </c>
      <c r="N490" t="str">
        <f t="shared" si="64"/>
        <v>HOLDING REGISTER</v>
      </c>
      <c r="O490" t="str">
        <f t="shared" si="65"/>
        <v>BOOL</v>
      </c>
      <c r="P490" t="str">
        <f t="shared" si="66"/>
        <v>INTERRUTTORE 1RPT1</v>
      </c>
      <c r="R490" t="str">
        <f t="shared" si="67"/>
        <v>QACC1_SG -PRESENZA RETE QUADRO</v>
      </c>
      <c r="U490" t="str">
        <f t="shared" si="68"/>
        <v>Stato</v>
      </c>
      <c r="V490" t="str">
        <f t="shared" si="69"/>
        <v>QACC1_SG</v>
      </c>
      <c r="W490" t="str">
        <f t="shared" si="70"/>
        <v>GALLERIA SAN GIULIANO</v>
      </c>
      <c r="Z490" t="str">
        <f t="shared" si="71"/>
        <v>10.220.80.16</v>
      </c>
    </row>
    <row r="491" spans="1:26" x14ac:dyDescent="0.25">
      <c r="A491" t="s">
        <v>10</v>
      </c>
      <c r="B491" t="s">
        <v>1063</v>
      </c>
      <c r="C491" t="s">
        <v>1064</v>
      </c>
      <c r="D491" t="s">
        <v>49</v>
      </c>
      <c r="E491">
        <v>3</v>
      </c>
      <c r="F491" t="s">
        <v>14</v>
      </c>
      <c r="G491" t="s">
        <v>21</v>
      </c>
      <c r="H491" t="s">
        <v>22</v>
      </c>
      <c r="I491" t="s">
        <v>1070</v>
      </c>
      <c r="J491" t="s">
        <v>1071</v>
      </c>
      <c r="K491" t="str">
        <f t="shared" si="63"/>
        <v>1030.4</v>
      </c>
      <c r="N491" t="str">
        <f t="shared" si="64"/>
        <v>HOLDING REGISTER</v>
      </c>
      <c r="O491" t="str">
        <f t="shared" si="65"/>
        <v>BOOL</v>
      </c>
      <c r="P491" t="str">
        <f t="shared" si="66"/>
        <v>INTERRUTTORE 3</v>
      </c>
      <c r="R491" t="str">
        <f t="shared" si="67"/>
        <v>QACC1_SG -INTERRUTTORE VENTILATORE PRESSURIZZAZIONE CHIUSO</v>
      </c>
      <c r="U491" t="str">
        <f t="shared" si="68"/>
        <v>Stato</v>
      </c>
      <c r="V491" t="str">
        <f t="shared" si="69"/>
        <v>QACC1_SG</v>
      </c>
      <c r="W491" t="str">
        <f t="shared" si="70"/>
        <v>GALLERIA SAN GIULIANO</v>
      </c>
      <c r="Z491" t="str">
        <f t="shared" si="71"/>
        <v>10.220.80.16</v>
      </c>
    </row>
    <row r="492" spans="1:26" x14ac:dyDescent="0.25">
      <c r="A492" t="s">
        <v>10</v>
      </c>
      <c r="B492" t="s">
        <v>1063</v>
      </c>
      <c r="C492" t="s">
        <v>1064</v>
      </c>
      <c r="D492" t="s">
        <v>49</v>
      </c>
      <c r="E492">
        <v>3</v>
      </c>
      <c r="F492" t="s">
        <v>14</v>
      </c>
      <c r="G492" t="s">
        <v>28</v>
      </c>
      <c r="H492" t="s">
        <v>22</v>
      </c>
      <c r="I492" t="s">
        <v>1072</v>
      </c>
      <c r="J492" t="s">
        <v>1073</v>
      </c>
      <c r="K492" t="str">
        <f t="shared" si="63"/>
        <v>1030.5</v>
      </c>
      <c r="N492" t="str">
        <f t="shared" si="64"/>
        <v>HOLDING REGISTER</v>
      </c>
      <c r="O492" t="str">
        <f t="shared" si="65"/>
        <v>BOOL</v>
      </c>
      <c r="P492" t="str">
        <f t="shared" si="66"/>
        <v>INTERRUTTORE 3</v>
      </c>
      <c r="R492" t="str">
        <f t="shared" si="67"/>
        <v>QACC1_SG -INTERRUTTORE VENTILATORE PRESSURIZZAZIONE SCATTATO</v>
      </c>
      <c r="U492" t="str">
        <f t="shared" si="68"/>
        <v>Allarme</v>
      </c>
      <c r="V492" t="str">
        <f t="shared" si="69"/>
        <v>QACC1_SG</v>
      </c>
      <c r="W492" t="str">
        <f t="shared" si="70"/>
        <v>GALLERIA SAN GIULIANO</v>
      </c>
      <c r="Z492" t="str">
        <f t="shared" si="71"/>
        <v>10.220.80.16</v>
      </c>
    </row>
    <row r="493" spans="1:26" x14ac:dyDescent="0.25">
      <c r="A493" t="s">
        <v>10</v>
      </c>
      <c r="B493" t="s">
        <v>1063</v>
      </c>
      <c r="C493" t="s">
        <v>1064</v>
      </c>
      <c r="D493" t="s">
        <v>49</v>
      </c>
      <c r="E493">
        <v>6</v>
      </c>
      <c r="F493" t="s">
        <v>14</v>
      </c>
      <c r="G493" t="s">
        <v>21</v>
      </c>
      <c r="H493" t="s">
        <v>22</v>
      </c>
      <c r="I493" t="s">
        <v>1074</v>
      </c>
      <c r="J493" t="s">
        <v>1075</v>
      </c>
      <c r="K493" t="str">
        <f t="shared" si="63"/>
        <v>1030.6</v>
      </c>
      <c r="N493" t="str">
        <f t="shared" si="64"/>
        <v>HOLDING REGISTER</v>
      </c>
      <c r="O493" t="str">
        <f t="shared" si="65"/>
        <v>BOOL</v>
      </c>
      <c r="P493" t="str">
        <f t="shared" si="66"/>
        <v>INTERRUTTORE 6</v>
      </c>
      <c r="R493" t="str">
        <f t="shared" si="67"/>
        <v>QACC1_SG -INTERRUTTORE TRAFO AUX CHIUSO</v>
      </c>
      <c r="U493" t="str">
        <f t="shared" si="68"/>
        <v>Stato</v>
      </c>
      <c r="V493" t="str">
        <f t="shared" si="69"/>
        <v>QACC1_SG</v>
      </c>
      <c r="W493" t="str">
        <f t="shared" si="70"/>
        <v>GALLERIA SAN GIULIANO</v>
      </c>
      <c r="Z493" t="str">
        <f t="shared" si="71"/>
        <v>10.220.80.16</v>
      </c>
    </row>
    <row r="494" spans="1:26" x14ac:dyDescent="0.25">
      <c r="A494" t="s">
        <v>10</v>
      </c>
      <c r="B494" t="s">
        <v>1063</v>
      </c>
      <c r="C494" t="s">
        <v>1064</v>
      </c>
      <c r="D494" t="s">
        <v>49</v>
      </c>
      <c r="E494">
        <v>6</v>
      </c>
      <c r="F494" t="s">
        <v>14</v>
      </c>
      <c r="G494" t="s">
        <v>28</v>
      </c>
      <c r="H494" t="s">
        <v>22</v>
      </c>
      <c r="I494" t="s">
        <v>1076</v>
      </c>
      <c r="J494" t="s">
        <v>1077</v>
      </c>
      <c r="K494" t="str">
        <f t="shared" si="63"/>
        <v>1030.7</v>
      </c>
      <c r="N494" t="str">
        <f t="shared" si="64"/>
        <v>HOLDING REGISTER</v>
      </c>
      <c r="O494" t="str">
        <f t="shared" si="65"/>
        <v>BOOL</v>
      </c>
      <c r="P494" t="str">
        <f t="shared" si="66"/>
        <v>INTERRUTTORE 6</v>
      </c>
      <c r="R494" t="str">
        <f t="shared" si="67"/>
        <v>QACC1_SG -INTERRUTTORE TRAFO AUX SCATTATO</v>
      </c>
      <c r="U494" t="str">
        <f t="shared" si="68"/>
        <v>Allarme</v>
      </c>
      <c r="V494" t="str">
        <f t="shared" si="69"/>
        <v>QACC1_SG</v>
      </c>
      <c r="W494" t="str">
        <f t="shared" si="70"/>
        <v>GALLERIA SAN GIULIANO</v>
      </c>
      <c r="Z494" t="str">
        <f t="shared" si="71"/>
        <v>10.220.80.16</v>
      </c>
    </row>
    <row r="495" spans="1:26" x14ac:dyDescent="0.25">
      <c r="A495" t="s">
        <v>10</v>
      </c>
      <c r="B495" t="s">
        <v>1063</v>
      </c>
      <c r="C495" t="s">
        <v>1064</v>
      </c>
      <c r="D495" t="s">
        <v>49</v>
      </c>
      <c r="E495">
        <v>12</v>
      </c>
      <c r="F495" t="s">
        <v>14</v>
      </c>
      <c r="G495" t="s">
        <v>21</v>
      </c>
      <c r="H495" t="s">
        <v>22</v>
      </c>
      <c r="I495" t="s">
        <v>1078</v>
      </c>
      <c r="J495" t="s">
        <v>1079</v>
      </c>
      <c r="K495" t="str">
        <f t="shared" si="63"/>
        <v>1030.8</v>
      </c>
      <c r="N495" t="str">
        <f t="shared" si="64"/>
        <v>HOLDING REGISTER</v>
      </c>
      <c r="O495" t="str">
        <f t="shared" si="65"/>
        <v>BOOL</v>
      </c>
      <c r="P495" t="str">
        <f t="shared" si="66"/>
        <v>INTERRUTTORE 12</v>
      </c>
      <c r="R495" t="str">
        <f t="shared" si="67"/>
        <v>QACC1_SG -INTERRUTTORE QUADRO ASCENSORE CHIUSO</v>
      </c>
      <c r="U495" t="str">
        <f t="shared" si="68"/>
        <v>Stato</v>
      </c>
      <c r="V495" t="str">
        <f t="shared" si="69"/>
        <v>QACC1_SG</v>
      </c>
      <c r="W495" t="str">
        <f t="shared" si="70"/>
        <v>GALLERIA SAN GIULIANO</v>
      </c>
      <c r="Z495" t="str">
        <f t="shared" si="71"/>
        <v>10.220.80.16</v>
      </c>
    </row>
    <row r="496" spans="1:26" x14ac:dyDescent="0.25">
      <c r="A496" t="s">
        <v>10</v>
      </c>
      <c r="B496" t="s">
        <v>1063</v>
      </c>
      <c r="C496" t="s">
        <v>1064</v>
      </c>
      <c r="D496" t="s">
        <v>49</v>
      </c>
      <c r="E496">
        <v>12</v>
      </c>
      <c r="F496" t="s">
        <v>14</v>
      </c>
      <c r="G496" t="s">
        <v>28</v>
      </c>
      <c r="H496" t="s">
        <v>22</v>
      </c>
      <c r="I496" t="s">
        <v>1080</v>
      </c>
      <c r="J496" t="s">
        <v>1081</v>
      </c>
      <c r="K496" t="str">
        <f t="shared" si="63"/>
        <v>1030.9</v>
      </c>
      <c r="N496" t="str">
        <f t="shared" si="64"/>
        <v>HOLDING REGISTER</v>
      </c>
      <c r="O496" t="str">
        <f t="shared" si="65"/>
        <v>BOOL</v>
      </c>
      <c r="P496" t="str">
        <f t="shared" si="66"/>
        <v>INTERRUTTORE 12</v>
      </c>
      <c r="R496" t="str">
        <f t="shared" si="67"/>
        <v>QACC1_SG -INTERRUTTORE QUADRO ASCENSORE SCATTATO</v>
      </c>
      <c r="U496" t="str">
        <f t="shared" si="68"/>
        <v>Allarme</v>
      </c>
      <c r="V496" t="str">
        <f t="shared" si="69"/>
        <v>QACC1_SG</v>
      </c>
      <c r="W496" t="str">
        <f t="shared" si="70"/>
        <v>GALLERIA SAN GIULIANO</v>
      </c>
      <c r="Z496" t="str">
        <f t="shared" si="71"/>
        <v>10.220.80.16</v>
      </c>
    </row>
    <row r="497" spans="1:26" x14ac:dyDescent="0.25">
      <c r="A497" t="s">
        <v>10</v>
      </c>
      <c r="B497" t="s">
        <v>1063</v>
      </c>
      <c r="C497" t="s">
        <v>1064</v>
      </c>
      <c r="D497" t="s">
        <v>49</v>
      </c>
      <c r="E497">
        <v>13</v>
      </c>
      <c r="F497" t="s">
        <v>14</v>
      </c>
      <c r="G497" t="s">
        <v>21</v>
      </c>
      <c r="H497" t="s">
        <v>22</v>
      </c>
      <c r="I497" t="s">
        <v>1082</v>
      </c>
      <c r="J497" t="s">
        <v>1083</v>
      </c>
      <c r="K497" t="str">
        <f t="shared" si="63"/>
        <v>1030.10</v>
      </c>
      <c r="N497" t="str">
        <f t="shared" si="64"/>
        <v>HOLDING REGISTER</v>
      </c>
      <c r="O497" t="str">
        <f t="shared" si="65"/>
        <v>BOOL</v>
      </c>
      <c r="P497" t="str">
        <f t="shared" si="66"/>
        <v>INTERRUTTORE 13</v>
      </c>
      <c r="R497" t="str">
        <f t="shared" si="67"/>
        <v>QACC1_SG -INTERRUTTORE QUADRO SERVOSCALA CHIUSO</v>
      </c>
      <c r="U497" t="str">
        <f t="shared" si="68"/>
        <v>Stato</v>
      </c>
      <c r="V497" t="str">
        <f t="shared" si="69"/>
        <v>QACC1_SG</v>
      </c>
      <c r="W497" t="str">
        <f t="shared" si="70"/>
        <v>GALLERIA SAN GIULIANO</v>
      </c>
      <c r="Z497" t="str">
        <f t="shared" si="71"/>
        <v>10.220.80.16</v>
      </c>
    </row>
    <row r="498" spans="1:26" x14ac:dyDescent="0.25">
      <c r="A498" t="s">
        <v>10</v>
      </c>
      <c r="B498" t="s">
        <v>1063</v>
      </c>
      <c r="C498" t="s">
        <v>1064</v>
      </c>
      <c r="D498" t="s">
        <v>49</v>
      </c>
      <c r="E498">
        <v>13</v>
      </c>
      <c r="F498" t="s">
        <v>14</v>
      </c>
      <c r="G498" t="s">
        <v>28</v>
      </c>
      <c r="H498" t="s">
        <v>22</v>
      </c>
      <c r="I498" t="s">
        <v>1084</v>
      </c>
      <c r="J498" t="s">
        <v>1085</v>
      </c>
      <c r="K498" t="str">
        <f t="shared" si="63"/>
        <v>1030.11</v>
      </c>
      <c r="N498" t="str">
        <f t="shared" si="64"/>
        <v>HOLDING REGISTER</v>
      </c>
      <c r="O498" t="str">
        <f t="shared" si="65"/>
        <v>BOOL</v>
      </c>
      <c r="P498" t="str">
        <f t="shared" si="66"/>
        <v>INTERRUTTORE 13</v>
      </c>
      <c r="R498" t="str">
        <f t="shared" si="67"/>
        <v>QACC1_SG -INTERRUTTORE QUADRO SERVOSCALA SCATTATO</v>
      </c>
      <c r="U498" t="str">
        <f t="shared" si="68"/>
        <v>Allarme</v>
      </c>
      <c r="V498" t="str">
        <f t="shared" si="69"/>
        <v>QACC1_SG</v>
      </c>
      <c r="W498" t="str">
        <f t="shared" si="70"/>
        <v>GALLERIA SAN GIULIANO</v>
      </c>
      <c r="Z498" t="str">
        <f t="shared" si="71"/>
        <v>10.220.80.16</v>
      </c>
    </row>
    <row r="499" spans="1:26" x14ac:dyDescent="0.25">
      <c r="A499" t="s">
        <v>10</v>
      </c>
      <c r="B499" t="s">
        <v>1063</v>
      </c>
      <c r="C499" t="s">
        <v>1064</v>
      </c>
      <c r="D499" t="s">
        <v>49</v>
      </c>
      <c r="E499">
        <v>19</v>
      </c>
      <c r="F499" t="s">
        <v>14</v>
      </c>
      <c r="G499" t="s">
        <v>21</v>
      </c>
      <c r="H499" t="s">
        <v>22</v>
      </c>
      <c r="I499" t="s">
        <v>1086</v>
      </c>
      <c r="J499" t="s">
        <v>1087</v>
      </c>
      <c r="K499" t="str">
        <f t="shared" si="63"/>
        <v>1030.12</v>
      </c>
      <c r="N499" t="str">
        <f t="shared" si="64"/>
        <v>HOLDING REGISTER</v>
      </c>
      <c r="O499" t="str">
        <f t="shared" si="65"/>
        <v>BOOL</v>
      </c>
      <c r="P499" t="str">
        <f t="shared" si="66"/>
        <v>INTERRUTTORE 19</v>
      </c>
      <c r="R499" t="str">
        <f t="shared" si="67"/>
        <v>QACC1_SG -INTERRUTTORE SERRANDA TAGLIAFUOCO CHIUSO</v>
      </c>
      <c r="U499" t="str">
        <f t="shared" si="68"/>
        <v>Stato</v>
      </c>
      <c r="V499" t="str">
        <f t="shared" si="69"/>
        <v>QACC1_SG</v>
      </c>
      <c r="W499" t="str">
        <f t="shared" si="70"/>
        <v>GALLERIA SAN GIULIANO</v>
      </c>
      <c r="Z499" t="str">
        <f t="shared" si="71"/>
        <v>10.220.80.16</v>
      </c>
    </row>
    <row r="500" spans="1:26" x14ac:dyDescent="0.25">
      <c r="A500" t="s">
        <v>10</v>
      </c>
      <c r="B500" t="s">
        <v>1063</v>
      </c>
      <c r="C500" t="s">
        <v>1064</v>
      </c>
      <c r="D500" t="s">
        <v>49</v>
      </c>
      <c r="E500">
        <v>19</v>
      </c>
      <c r="F500" t="s">
        <v>14</v>
      </c>
      <c r="G500" t="s">
        <v>28</v>
      </c>
      <c r="H500" t="s">
        <v>22</v>
      </c>
      <c r="I500" t="s">
        <v>1088</v>
      </c>
      <c r="J500" t="s">
        <v>1089</v>
      </c>
      <c r="K500" t="str">
        <f t="shared" si="63"/>
        <v>1030.13</v>
      </c>
      <c r="N500" t="str">
        <f t="shared" si="64"/>
        <v>HOLDING REGISTER</v>
      </c>
      <c r="O500" t="str">
        <f t="shared" si="65"/>
        <v>BOOL</v>
      </c>
      <c r="P500" t="str">
        <f t="shared" si="66"/>
        <v>INTERRUTTORE 19</v>
      </c>
      <c r="R500" t="str">
        <f t="shared" si="67"/>
        <v>QACC1_SG -INTERRUTTORE SERRANDA TAGLIAFUOCO SCATTATO</v>
      </c>
      <c r="U500" t="str">
        <f t="shared" si="68"/>
        <v>Allarme</v>
      </c>
      <c r="V500" t="str">
        <f t="shared" si="69"/>
        <v>QACC1_SG</v>
      </c>
      <c r="W500" t="str">
        <f t="shared" si="70"/>
        <v>GALLERIA SAN GIULIANO</v>
      </c>
      <c r="Z500" t="str">
        <f t="shared" si="71"/>
        <v>10.220.80.16</v>
      </c>
    </row>
    <row r="501" spans="1:26" x14ac:dyDescent="0.25">
      <c r="A501" t="s">
        <v>10</v>
      </c>
      <c r="B501" t="s">
        <v>1063</v>
      </c>
      <c r="C501" t="s">
        <v>1064</v>
      </c>
      <c r="D501" t="s">
        <v>49</v>
      </c>
      <c r="E501">
        <v>21</v>
      </c>
      <c r="F501" t="s">
        <v>14</v>
      </c>
      <c r="G501" t="s">
        <v>21</v>
      </c>
      <c r="H501" t="s">
        <v>22</v>
      </c>
      <c r="I501" t="s">
        <v>1090</v>
      </c>
      <c r="J501" t="s">
        <v>1091</v>
      </c>
      <c r="K501" t="str">
        <f t="shared" si="63"/>
        <v>1030.14</v>
      </c>
      <c r="N501" t="str">
        <f t="shared" si="64"/>
        <v>HOLDING REGISTER</v>
      </c>
      <c r="O501" t="str">
        <f t="shared" si="65"/>
        <v>BOOL</v>
      </c>
      <c r="P501" t="str">
        <f t="shared" si="66"/>
        <v>INTERRUTTORE 21</v>
      </c>
      <c r="R501" t="str">
        <f t="shared" si="67"/>
        <v>QACC1_SG -INTERRUTTORE LUCE E LUCE EMG CHIUSO</v>
      </c>
      <c r="U501" t="str">
        <f t="shared" si="68"/>
        <v>Stato</v>
      </c>
      <c r="V501" t="str">
        <f t="shared" si="69"/>
        <v>QACC1_SG</v>
      </c>
      <c r="W501" t="str">
        <f t="shared" si="70"/>
        <v>GALLERIA SAN GIULIANO</v>
      </c>
      <c r="Z501" t="str">
        <f t="shared" si="71"/>
        <v>10.220.80.16</v>
      </c>
    </row>
    <row r="502" spans="1:26" x14ac:dyDescent="0.25">
      <c r="A502" t="s">
        <v>10</v>
      </c>
      <c r="B502" t="s">
        <v>1063</v>
      </c>
      <c r="C502" t="s">
        <v>1064</v>
      </c>
      <c r="D502" t="s">
        <v>49</v>
      </c>
      <c r="E502">
        <v>21</v>
      </c>
      <c r="F502" t="s">
        <v>14</v>
      </c>
      <c r="G502" t="s">
        <v>28</v>
      </c>
      <c r="H502" t="s">
        <v>22</v>
      </c>
      <c r="I502" t="s">
        <v>1092</v>
      </c>
      <c r="J502" t="s">
        <v>1093</v>
      </c>
      <c r="K502" t="str">
        <f t="shared" si="63"/>
        <v>1030.15</v>
      </c>
      <c r="N502" t="str">
        <f t="shared" si="64"/>
        <v>HOLDING REGISTER</v>
      </c>
      <c r="O502" t="str">
        <f t="shared" si="65"/>
        <v>BOOL</v>
      </c>
      <c r="P502" t="str">
        <f t="shared" si="66"/>
        <v>INTERRUTTORE 21</v>
      </c>
      <c r="R502" t="str">
        <f t="shared" si="67"/>
        <v>QACC1_SG -INTERRUTTORE LUCE E LUCE EMG SCATTATO</v>
      </c>
      <c r="U502" t="str">
        <f t="shared" si="68"/>
        <v>Allarme</v>
      </c>
      <c r="V502" t="str">
        <f t="shared" si="69"/>
        <v>QACC1_SG</v>
      </c>
      <c r="W502" t="str">
        <f t="shared" si="70"/>
        <v>GALLERIA SAN GIULIANO</v>
      </c>
      <c r="Z502" t="str">
        <f t="shared" si="71"/>
        <v>10.220.80.16</v>
      </c>
    </row>
    <row r="503" spans="1:26" x14ac:dyDescent="0.25">
      <c r="A503" t="s">
        <v>10</v>
      </c>
      <c r="B503" t="s">
        <v>1063</v>
      </c>
      <c r="C503" t="s">
        <v>1064</v>
      </c>
      <c r="D503" t="s">
        <v>49</v>
      </c>
      <c r="E503">
        <v>22</v>
      </c>
      <c r="F503" t="s">
        <v>14</v>
      </c>
      <c r="G503" t="s">
        <v>21</v>
      </c>
      <c r="H503" t="s">
        <v>22</v>
      </c>
      <c r="I503" t="s">
        <v>1094</v>
      </c>
      <c r="J503" t="s">
        <v>1095</v>
      </c>
      <c r="K503" t="str">
        <f t="shared" si="63"/>
        <v>1031.0</v>
      </c>
      <c r="N503" t="str">
        <f t="shared" si="64"/>
        <v>HOLDING REGISTER</v>
      </c>
      <c r="O503" t="str">
        <f t="shared" si="65"/>
        <v>BOOL</v>
      </c>
      <c r="P503" t="str">
        <f t="shared" si="66"/>
        <v>INTERRUTTORE 22</v>
      </c>
      <c r="R503" t="str">
        <f t="shared" si="67"/>
        <v>QACC1_SG -INTERRUTTORE SEGN. LUMINOSO CHIUSO</v>
      </c>
      <c r="U503" t="str">
        <f t="shared" si="68"/>
        <v>Stato</v>
      </c>
      <c r="V503" t="str">
        <f t="shared" si="69"/>
        <v>QACC1_SG</v>
      </c>
      <c r="W503" t="str">
        <f t="shared" si="70"/>
        <v>GALLERIA SAN GIULIANO</v>
      </c>
      <c r="Z503" t="str">
        <f t="shared" si="71"/>
        <v>10.220.80.16</v>
      </c>
    </row>
    <row r="504" spans="1:26" x14ac:dyDescent="0.25">
      <c r="A504" t="s">
        <v>10</v>
      </c>
      <c r="B504" t="s">
        <v>1063</v>
      </c>
      <c r="C504" t="s">
        <v>1064</v>
      </c>
      <c r="D504" t="s">
        <v>49</v>
      </c>
      <c r="E504">
        <v>22</v>
      </c>
      <c r="F504" t="s">
        <v>14</v>
      </c>
      <c r="G504" t="s">
        <v>28</v>
      </c>
      <c r="H504" t="s">
        <v>22</v>
      </c>
      <c r="I504" t="s">
        <v>1096</v>
      </c>
      <c r="J504" t="s">
        <v>1097</v>
      </c>
      <c r="K504" t="str">
        <f t="shared" si="63"/>
        <v>1031.1</v>
      </c>
      <c r="N504" t="str">
        <f t="shared" si="64"/>
        <v>HOLDING REGISTER</v>
      </c>
      <c r="O504" t="str">
        <f t="shared" si="65"/>
        <v>BOOL</v>
      </c>
      <c r="P504" t="str">
        <f t="shared" si="66"/>
        <v>INTERRUTTORE 22</v>
      </c>
      <c r="R504" t="str">
        <f t="shared" si="67"/>
        <v>QACC1_SG -INTERRUTTORE SEGN. LUMINOSO SCATTATO</v>
      </c>
      <c r="U504" t="str">
        <f t="shared" si="68"/>
        <v>Allarme</v>
      </c>
      <c r="V504" t="str">
        <f t="shared" si="69"/>
        <v>QACC1_SG</v>
      </c>
      <c r="W504" t="str">
        <f t="shared" si="70"/>
        <v>GALLERIA SAN GIULIANO</v>
      </c>
      <c r="Z504" t="str">
        <f t="shared" si="71"/>
        <v>10.220.80.16</v>
      </c>
    </row>
    <row r="505" spans="1:26" x14ac:dyDescent="0.25">
      <c r="A505" t="s">
        <v>10</v>
      </c>
      <c r="B505" t="s">
        <v>1063</v>
      </c>
      <c r="C505" t="s">
        <v>1064</v>
      </c>
      <c r="D505" t="s">
        <v>205</v>
      </c>
      <c r="E505" t="s">
        <v>206</v>
      </c>
      <c r="F505" t="s">
        <v>14</v>
      </c>
      <c r="G505" t="s">
        <v>28</v>
      </c>
      <c r="H505" t="s">
        <v>22</v>
      </c>
      <c r="I505" t="s">
        <v>1098</v>
      </c>
      <c r="J505" t="s">
        <v>1099</v>
      </c>
      <c r="K505" t="str">
        <f t="shared" si="63"/>
        <v>1031.2</v>
      </c>
      <c r="N505" t="str">
        <f t="shared" si="64"/>
        <v>HOLDING REGISTER</v>
      </c>
      <c r="O505" t="str">
        <f t="shared" si="65"/>
        <v>BOOL</v>
      </c>
      <c r="P505" t="str">
        <f t="shared" si="66"/>
        <v>REMOTE I/O RIO</v>
      </c>
      <c r="R505" t="str">
        <f t="shared" si="67"/>
        <v>QACC1_SG -ERRORE DI COMUNICAZIONE CON RIO</v>
      </c>
      <c r="U505" t="str">
        <f t="shared" si="68"/>
        <v>Allarme</v>
      </c>
      <c r="V505" t="str">
        <f t="shared" si="69"/>
        <v>QACC1_SG</v>
      </c>
      <c r="W505" t="str">
        <f t="shared" si="70"/>
        <v>GALLERIA SAN GIULIANO</v>
      </c>
      <c r="Z505" t="str">
        <f t="shared" si="71"/>
        <v>10.220.80.16</v>
      </c>
    </row>
    <row r="506" spans="1:26" x14ac:dyDescent="0.25">
      <c r="A506" t="s">
        <v>10</v>
      </c>
      <c r="B506" t="s">
        <v>1063</v>
      </c>
      <c r="C506" t="s">
        <v>1100</v>
      </c>
      <c r="D506" t="s">
        <v>361</v>
      </c>
      <c r="E506">
        <v>1</v>
      </c>
      <c r="F506" t="s">
        <v>14</v>
      </c>
      <c r="G506" t="s">
        <v>21</v>
      </c>
      <c r="H506" t="s">
        <v>22</v>
      </c>
      <c r="I506" t="s">
        <v>1101</v>
      </c>
      <c r="J506" t="s">
        <v>1102</v>
      </c>
      <c r="K506" t="str">
        <f t="shared" si="63"/>
        <v>1031.3</v>
      </c>
      <c r="N506" t="str">
        <f t="shared" si="64"/>
        <v>HOLDING REGISTER</v>
      </c>
      <c r="O506" t="str">
        <f t="shared" si="65"/>
        <v>BOOL</v>
      </c>
      <c r="P506" t="str">
        <f t="shared" si="66"/>
        <v>SEZIONATORE 1</v>
      </c>
      <c r="R506" t="str">
        <f t="shared" si="67"/>
        <v>QACC2_SG -SEZIONATORE GENERALE QUADRO CHIUSO</v>
      </c>
      <c r="U506" t="str">
        <f t="shared" si="68"/>
        <v>Stato</v>
      </c>
      <c r="V506" t="str">
        <f t="shared" si="69"/>
        <v>QACC2_SG</v>
      </c>
      <c r="W506" t="str">
        <f t="shared" si="70"/>
        <v>GALLERIA SAN GIULIANO</v>
      </c>
      <c r="Z506" t="str">
        <f t="shared" si="71"/>
        <v>10.220.80.16</v>
      </c>
    </row>
    <row r="507" spans="1:26" x14ac:dyDescent="0.25">
      <c r="A507" t="s">
        <v>10</v>
      </c>
      <c r="B507" t="s">
        <v>1063</v>
      </c>
      <c r="C507" t="s">
        <v>1100</v>
      </c>
      <c r="D507" t="s">
        <v>1103</v>
      </c>
      <c r="E507" t="s">
        <v>1067</v>
      </c>
      <c r="F507" t="s">
        <v>14</v>
      </c>
      <c r="G507" t="s">
        <v>21</v>
      </c>
      <c r="H507" t="s">
        <v>22</v>
      </c>
      <c r="I507" t="s">
        <v>1104</v>
      </c>
      <c r="J507" t="s">
        <v>1105</v>
      </c>
      <c r="K507" t="str">
        <f t="shared" si="63"/>
        <v>1031.4</v>
      </c>
      <c r="N507" t="str">
        <f t="shared" si="64"/>
        <v>HOLDING REGISTER</v>
      </c>
      <c r="O507" t="str">
        <f t="shared" si="65"/>
        <v>BOOL</v>
      </c>
      <c r="P507" t="str">
        <f t="shared" si="66"/>
        <v>RELE' PRESENZA TENSIONE 1RPT1</v>
      </c>
      <c r="R507" t="str">
        <f t="shared" si="67"/>
        <v>QACC2_SG -PRESENZA RETE QUADRO</v>
      </c>
      <c r="U507" t="str">
        <f t="shared" si="68"/>
        <v>Stato</v>
      </c>
      <c r="V507" t="str">
        <f t="shared" si="69"/>
        <v>QACC2_SG</v>
      </c>
      <c r="W507" t="str">
        <f t="shared" si="70"/>
        <v>GALLERIA SAN GIULIANO</v>
      </c>
      <c r="Z507" t="str">
        <f t="shared" si="71"/>
        <v>10.220.80.16</v>
      </c>
    </row>
    <row r="508" spans="1:26" x14ac:dyDescent="0.25">
      <c r="A508" t="s">
        <v>10</v>
      </c>
      <c r="B508" t="s">
        <v>1063</v>
      </c>
      <c r="C508" t="s">
        <v>1100</v>
      </c>
      <c r="D508" t="s">
        <v>49</v>
      </c>
      <c r="E508">
        <v>3</v>
      </c>
      <c r="F508" t="s">
        <v>14</v>
      </c>
      <c r="G508" t="s">
        <v>21</v>
      </c>
      <c r="H508" t="s">
        <v>22</v>
      </c>
      <c r="I508" t="s">
        <v>1106</v>
      </c>
      <c r="J508" t="s">
        <v>1107</v>
      </c>
      <c r="K508" t="str">
        <f t="shared" si="63"/>
        <v>1031.5</v>
      </c>
      <c r="N508" t="str">
        <f t="shared" si="64"/>
        <v>HOLDING REGISTER</v>
      </c>
      <c r="O508" t="str">
        <f t="shared" si="65"/>
        <v>BOOL</v>
      </c>
      <c r="P508" t="str">
        <f t="shared" si="66"/>
        <v>INTERRUTTORE 3</v>
      </c>
      <c r="R508" t="str">
        <f t="shared" si="67"/>
        <v>QACC2_SG -INTERRUTTORE VENTILATORE PRESSURIZZAZIONE CHIUSO</v>
      </c>
      <c r="U508" t="str">
        <f t="shared" si="68"/>
        <v>Stato</v>
      </c>
      <c r="V508" t="str">
        <f t="shared" si="69"/>
        <v>QACC2_SG</v>
      </c>
      <c r="W508" t="str">
        <f t="shared" si="70"/>
        <v>GALLERIA SAN GIULIANO</v>
      </c>
      <c r="Z508" t="str">
        <f t="shared" si="71"/>
        <v>10.220.80.16</v>
      </c>
    </row>
    <row r="509" spans="1:26" x14ac:dyDescent="0.25">
      <c r="A509" t="s">
        <v>10</v>
      </c>
      <c r="B509" t="s">
        <v>1063</v>
      </c>
      <c r="C509" t="s">
        <v>1100</v>
      </c>
      <c r="D509" t="s">
        <v>49</v>
      </c>
      <c r="E509">
        <v>3</v>
      </c>
      <c r="F509" t="s">
        <v>14</v>
      </c>
      <c r="G509" t="s">
        <v>28</v>
      </c>
      <c r="H509" t="s">
        <v>22</v>
      </c>
      <c r="I509" t="s">
        <v>1108</v>
      </c>
      <c r="J509" t="s">
        <v>1109</v>
      </c>
      <c r="K509" t="str">
        <f t="shared" si="63"/>
        <v>1031.6</v>
      </c>
      <c r="N509" t="str">
        <f t="shared" si="64"/>
        <v>HOLDING REGISTER</v>
      </c>
      <c r="O509" t="str">
        <f t="shared" si="65"/>
        <v>BOOL</v>
      </c>
      <c r="P509" t="str">
        <f t="shared" si="66"/>
        <v>INTERRUTTORE 3</v>
      </c>
      <c r="R509" t="str">
        <f t="shared" si="67"/>
        <v>QACC2_SG -INTERRUTTORE VENTILATORE PRESSURIZZAZIONE SCATTATO</v>
      </c>
      <c r="U509" t="str">
        <f t="shared" si="68"/>
        <v>Allarme</v>
      </c>
      <c r="V509" t="str">
        <f t="shared" si="69"/>
        <v>QACC2_SG</v>
      </c>
      <c r="W509" t="str">
        <f t="shared" si="70"/>
        <v>GALLERIA SAN GIULIANO</v>
      </c>
      <c r="Z509" t="str">
        <f t="shared" si="71"/>
        <v>10.220.80.16</v>
      </c>
    </row>
    <row r="510" spans="1:26" x14ac:dyDescent="0.25">
      <c r="A510" t="s">
        <v>10</v>
      </c>
      <c r="B510" t="s">
        <v>1063</v>
      </c>
      <c r="C510" t="s">
        <v>1100</v>
      </c>
      <c r="D510" t="s">
        <v>49</v>
      </c>
      <c r="E510">
        <v>6</v>
      </c>
      <c r="F510" t="s">
        <v>14</v>
      </c>
      <c r="G510" t="s">
        <v>21</v>
      </c>
      <c r="H510" t="s">
        <v>22</v>
      </c>
      <c r="I510" t="s">
        <v>1110</v>
      </c>
      <c r="J510" t="s">
        <v>1111</v>
      </c>
      <c r="K510" t="str">
        <f t="shared" si="63"/>
        <v>1031.7</v>
      </c>
      <c r="N510" t="str">
        <f t="shared" si="64"/>
        <v>HOLDING REGISTER</v>
      </c>
      <c r="O510" t="str">
        <f t="shared" si="65"/>
        <v>BOOL</v>
      </c>
      <c r="P510" t="str">
        <f t="shared" si="66"/>
        <v>INTERRUTTORE 6</v>
      </c>
      <c r="R510" t="str">
        <f t="shared" si="67"/>
        <v>QACC2_SG -INTERRUTTORE TRAFO AUX CHIUSO</v>
      </c>
      <c r="U510" t="str">
        <f t="shared" si="68"/>
        <v>Stato</v>
      </c>
      <c r="V510" t="str">
        <f t="shared" si="69"/>
        <v>QACC2_SG</v>
      </c>
      <c r="W510" t="str">
        <f t="shared" si="70"/>
        <v>GALLERIA SAN GIULIANO</v>
      </c>
      <c r="Z510" t="str">
        <f t="shared" si="71"/>
        <v>10.220.80.16</v>
      </c>
    </row>
    <row r="511" spans="1:26" x14ac:dyDescent="0.25">
      <c r="A511" t="s">
        <v>10</v>
      </c>
      <c r="B511" t="s">
        <v>1063</v>
      </c>
      <c r="C511" t="s">
        <v>1100</v>
      </c>
      <c r="D511" t="s">
        <v>49</v>
      </c>
      <c r="E511">
        <v>6</v>
      </c>
      <c r="F511" t="s">
        <v>14</v>
      </c>
      <c r="G511" t="s">
        <v>28</v>
      </c>
      <c r="H511" t="s">
        <v>22</v>
      </c>
      <c r="I511" t="s">
        <v>1112</v>
      </c>
      <c r="J511" t="s">
        <v>1113</v>
      </c>
      <c r="K511" t="str">
        <f t="shared" si="63"/>
        <v>1031.8</v>
      </c>
      <c r="N511" t="str">
        <f t="shared" si="64"/>
        <v>HOLDING REGISTER</v>
      </c>
      <c r="O511" t="str">
        <f t="shared" si="65"/>
        <v>BOOL</v>
      </c>
      <c r="P511" t="str">
        <f t="shared" si="66"/>
        <v>INTERRUTTORE 6</v>
      </c>
      <c r="R511" t="str">
        <f t="shared" si="67"/>
        <v>QACC2_SG -INTERRUTTORE TRAFO AUX SCATTATO</v>
      </c>
      <c r="U511" t="str">
        <f t="shared" si="68"/>
        <v>Allarme</v>
      </c>
      <c r="V511" t="str">
        <f t="shared" si="69"/>
        <v>QACC2_SG</v>
      </c>
      <c r="W511" t="str">
        <f t="shared" si="70"/>
        <v>GALLERIA SAN GIULIANO</v>
      </c>
      <c r="Z511" t="str">
        <f t="shared" si="71"/>
        <v>10.220.80.16</v>
      </c>
    </row>
    <row r="512" spans="1:26" x14ac:dyDescent="0.25">
      <c r="A512" t="s">
        <v>10</v>
      </c>
      <c r="B512" t="s">
        <v>1063</v>
      </c>
      <c r="C512" t="s">
        <v>1100</v>
      </c>
      <c r="D512" t="s">
        <v>49</v>
      </c>
      <c r="E512">
        <v>12</v>
      </c>
      <c r="F512" t="s">
        <v>14</v>
      </c>
      <c r="G512" t="s">
        <v>21</v>
      </c>
      <c r="H512" t="s">
        <v>22</v>
      </c>
      <c r="I512" t="s">
        <v>1114</v>
      </c>
      <c r="J512" t="s">
        <v>1115</v>
      </c>
      <c r="K512" t="str">
        <f t="shared" si="63"/>
        <v>1031.9</v>
      </c>
      <c r="N512" t="str">
        <f t="shared" si="64"/>
        <v>HOLDING REGISTER</v>
      </c>
      <c r="O512" t="str">
        <f t="shared" si="65"/>
        <v>BOOL</v>
      </c>
      <c r="P512" t="str">
        <f t="shared" si="66"/>
        <v>INTERRUTTORE 12</v>
      </c>
      <c r="R512" t="str">
        <f t="shared" si="67"/>
        <v>QACC2_SG -INTERRUTTORE QUADRO ASCENSORE CHIUSO</v>
      </c>
      <c r="U512" t="str">
        <f t="shared" si="68"/>
        <v>Stato</v>
      </c>
      <c r="V512" t="str">
        <f t="shared" si="69"/>
        <v>QACC2_SG</v>
      </c>
      <c r="W512" t="str">
        <f t="shared" si="70"/>
        <v>GALLERIA SAN GIULIANO</v>
      </c>
      <c r="Z512" t="str">
        <f t="shared" si="71"/>
        <v>10.220.80.16</v>
      </c>
    </row>
    <row r="513" spans="1:26" x14ac:dyDescent="0.25">
      <c r="A513" t="s">
        <v>10</v>
      </c>
      <c r="B513" t="s">
        <v>1063</v>
      </c>
      <c r="C513" t="s">
        <v>1100</v>
      </c>
      <c r="D513" t="s">
        <v>49</v>
      </c>
      <c r="E513">
        <v>12</v>
      </c>
      <c r="F513" t="s">
        <v>14</v>
      </c>
      <c r="G513" t="s">
        <v>28</v>
      </c>
      <c r="H513" t="s">
        <v>22</v>
      </c>
      <c r="I513" t="s">
        <v>1116</v>
      </c>
      <c r="J513" t="s">
        <v>1117</v>
      </c>
      <c r="K513" t="str">
        <f t="shared" si="63"/>
        <v>1031.10</v>
      </c>
      <c r="N513" t="str">
        <f t="shared" si="64"/>
        <v>HOLDING REGISTER</v>
      </c>
      <c r="O513" t="str">
        <f t="shared" si="65"/>
        <v>BOOL</v>
      </c>
      <c r="P513" t="str">
        <f t="shared" si="66"/>
        <v>INTERRUTTORE 12</v>
      </c>
      <c r="R513" t="str">
        <f t="shared" si="67"/>
        <v>QACC2_SG -INTERRUTTORE QUADRO ASCENSORE SCATTATO</v>
      </c>
      <c r="U513" t="str">
        <f t="shared" si="68"/>
        <v>Allarme</v>
      </c>
      <c r="V513" t="str">
        <f t="shared" si="69"/>
        <v>QACC2_SG</v>
      </c>
      <c r="W513" t="str">
        <f t="shared" si="70"/>
        <v>GALLERIA SAN GIULIANO</v>
      </c>
      <c r="Z513" t="str">
        <f t="shared" si="71"/>
        <v>10.220.80.16</v>
      </c>
    </row>
    <row r="514" spans="1:26" x14ac:dyDescent="0.25">
      <c r="A514" t="s">
        <v>10</v>
      </c>
      <c r="B514" t="s">
        <v>1063</v>
      </c>
      <c r="C514" t="s">
        <v>1100</v>
      </c>
      <c r="D514" t="s">
        <v>49</v>
      </c>
      <c r="E514">
        <v>13</v>
      </c>
      <c r="F514" t="s">
        <v>14</v>
      </c>
      <c r="G514" t="s">
        <v>21</v>
      </c>
      <c r="H514" t="s">
        <v>22</v>
      </c>
      <c r="I514" t="s">
        <v>1118</v>
      </c>
      <c r="J514" t="s">
        <v>1119</v>
      </c>
      <c r="K514" t="str">
        <f t="shared" si="63"/>
        <v>1031.11</v>
      </c>
      <c r="N514" t="str">
        <f t="shared" si="64"/>
        <v>HOLDING REGISTER</v>
      </c>
      <c r="O514" t="str">
        <f t="shared" si="65"/>
        <v>BOOL</v>
      </c>
      <c r="P514" t="str">
        <f t="shared" si="66"/>
        <v>INTERRUTTORE 13</v>
      </c>
      <c r="R514" t="str">
        <f t="shared" si="67"/>
        <v>QACC2_SG -INTERRUTTORE QUADRO SERVOSCALA CHIUSO</v>
      </c>
      <c r="U514" t="str">
        <f t="shared" si="68"/>
        <v>Stato</v>
      </c>
      <c r="V514" t="str">
        <f t="shared" si="69"/>
        <v>QACC2_SG</v>
      </c>
      <c r="W514" t="str">
        <f t="shared" si="70"/>
        <v>GALLERIA SAN GIULIANO</v>
      </c>
      <c r="Z514" t="str">
        <f t="shared" si="71"/>
        <v>10.220.80.16</v>
      </c>
    </row>
    <row r="515" spans="1:26" x14ac:dyDescent="0.25">
      <c r="A515" t="s">
        <v>10</v>
      </c>
      <c r="B515" t="s">
        <v>1063</v>
      </c>
      <c r="C515" t="s">
        <v>1100</v>
      </c>
      <c r="D515" t="s">
        <v>49</v>
      </c>
      <c r="E515">
        <v>13</v>
      </c>
      <c r="F515" t="s">
        <v>14</v>
      </c>
      <c r="G515" t="s">
        <v>28</v>
      </c>
      <c r="H515" t="s">
        <v>22</v>
      </c>
      <c r="I515" t="s">
        <v>1120</v>
      </c>
      <c r="J515" t="s">
        <v>1121</v>
      </c>
      <c r="K515" t="str">
        <f t="shared" ref="K515:K578" si="72">IF(I515="","",I515)</f>
        <v>1031.12</v>
      </c>
      <c r="N515" t="str">
        <f t="shared" ref="N515:N578" si="73">IF(F515="","",F515)</f>
        <v>HOLDING REGISTER</v>
      </c>
      <c r="O515" t="str">
        <f t="shared" ref="O515:O578" si="74">IF(H515="","",H515)</f>
        <v>BOOL</v>
      </c>
      <c r="P515" t="str">
        <f t="shared" ref="P515:P578" si="75">_xlfn.CONCAT(D515," ",E515)</f>
        <v>INTERRUTTORE 13</v>
      </c>
      <c r="R515" t="str">
        <f t="shared" ref="R515:R578" si="76">IF(J515="","",J515)</f>
        <v>QACC2_SG -INTERRUTTORE QUADRO SERVOSCALA SCATTATO</v>
      </c>
      <c r="U515" t="str">
        <f t="shared" ref="U515:U578" si="77">IF(G515="","",G515)</f>
        <v>Allarme</v>
      </c>
      <c r="V515" t="str">
        <f t="shared" ref="V515:V578" si="78">IF(C515="","",C515)</f>
        <v>QACC2_SG</v>
      </c>
      <c r="W515" t="str">
        <f t="shared" ref="W515:W578" si="79">IF(B515="","",B515)</f>
        <v>GALLERIA SAN GIULIANO</v>
      </c>
      <c r="Z515" t="str">
        <f t="shared" ref="Z515:Z578" si="80">IF(A515="","",A515)</f>
        <v>10.220.80.16</v>
      </c>
    </row>
    <row r="516" spans="1:26" x14ac:dyDescent="0.25">
      <c r="A516" t="s">
        <v>10</v>
      </c>
      <c r="B516" t="s">
        <v>1063</v>
      </c>
      <c r="C516" t="s">
        <v>1100</v>
      </c>
      <c r="D516" t="s">
        <v>49</v>
      </c>
      <c r="E516">
        <v>17</v>
      </c>
      <c r="F516" t="s">
        <v>14</v>
      </c>
      <c r="G516" t="s">
        <v>21</v>
      </c>
      <c r="H516" t="s">
        <v>22</v>
      </c>
      <c r="I516" t="s">
        <v>1122</v>
      </c>
      <c r="J516" t="s">
        <v>1123</v>
      </c>
      <c r="K516" t="str">
        <f t="shared" si="72"/>
        <v>1031.13</v>
      </c>
      <c r="N516" t="str">
        <f t="shared" si="73"/>
        <v>HOLDING REGISTER</v>
      </c>
      <c r="O516" t="str">
        <f t="shared" si="74"/>
        <v>BOOL</v>
      </c>
      <c r="P516" t="str">
        <f t="shared" si="75"/>
        <v>INTERRUTTORE 17</v>
      </c>
      <c r="R516" t="str">
        <f t="shared" si="76"/>
        <v>QACC2_SG -INTERRUTTORE ARMADIO SOS CHIUSO</v>
      </c>
      <c r="U516" t="str">
        <f t="shared" si="77"/>
        <v>Stato</v>
      </c>
      <c r="V516" t="str">
        <f t="shared" si="78"/>
        <v>QACC2_SG</v>
      </c>
      <c r="W516" t="str">
        <f t="shared" si="79"/>
        <v>GALLERIA SAN GIULIANO</v>
      </c>
      <c r="Z516" t="str">
        <f t="shared" si="80"/>
        <v>10.220.80.16</v>
      </c>
    </row>
    <row r="517" spans="1:26" x14ac:dyDescent="0.25">
      <c r="A517" t="s">
        <v>10</v>
      </c>
      <c r="B517" t="s">
        <v>1063</v>
      </c>
      <c r="C517" t="s">
        <v>1100</v>
      </c>
      <c r="D517" t="s">
        <v>49</v>
      </c>
      <c r="E517">
        <v>17</v>
      </c>
      <c r="F517" t="s">
        <v>14</v>
      </c>
      <c r="G517" t="s">
        <v>28</v>
      </c>
      <c r="H517" t="s">
        <v>22</v>
      </c>
      <c r="I517" t="s">
        <v>1124</v>
      </c>
      <c r="J517" t="s">
        <v>1125</v>
      </c>
      <c r="K517" t="str">
        <f t="shared" si="72"/>
        <v>1031.14</v>
      </c>
      <c r="N517" t="str">
        <f t="shared" si="73"/>
        <v>HOLDING REGISTER</v>
      </c>
      <c r="O517" t="str">
        <f t="shared" si="74"/>
        <v>BOOL</v>
      </c>
      <c r="P517" t="str">
        <f t="shared" si="75"/>
        <v>INTERRUTTORE 17</v>
      </c>
      <c r="R517" t="str">
        <f t="shared" si="76"/>
        <v>QACC2_SG -INTERRUTTORE ARMADIO SOS SCATTATO</v>
      </c>
      <c r="U517" t="str">
        <f t="shared" si="77"/>
        <v>Allarme</v>
      </c>
      <c r="V517" t="str">
        <f t="shared" si="78"/>
        <v>QACC2_SG</v>
      </c>
      <c r="W517" t="str">
        <f t="shared" si="79"/>
        <v>GALLERIA SAN GIULIANO</v>
      </c>
      <c r="Z517" t="str">
        <f t="shared" si="80"/>
        <v>10.220.80.16</v>
      </c>
    </row>
    <row r="518" spans="1:26" x14ac:dyDescent="0.25">
      <c r="A518" t="s">
        <v>10</v>
      </c>
      <c r="B518" t="s">
        <v>1063</v>
      </c>
      <c r="C518" t="s">
        <v>1100</v>
      </c>
      <c r="D518" t="s">
        <v>49</v>
      </c>
      <c r="E518">
        <v>19</v>
      </c>
      <c r="F518" t="s">
        <v>14</v>
      </c>
      <c r="G518" t="s">
        <v>21</v>
      </c>
      <c r="H518" t="s">
        <v>22</v>
      </c>
      <c r="I518" t="s">
        <v>1126</v>
      </c>
      <c r="J518" t="s">
        <v>1127</v>
      </c>
      <c r="K518" t="str">
        <f t="shared" si="72"/>
        <v>1031.15</v>
      </c>
      <c r="N518" t="str">
        <f t="shared" si="73"/>
        <v>HOLDING REGISTER</v>
      </c>
      <c r="O518" t="str">
        <f t="shared" si="74"/>
        <v>BOOL</v>
      </c>
      <c r="P518" t="str">
        <f t="shared" si="75"/>
        <v>INTERRUTTORE 19</v>
      </c>
      <c r="R518" t="str">
        <f t="shared" si="76"/>
        <v>QACC2_SG -INTERRUTTORE SERRANDA TAGLIAFUOCO CHIUSO</v>
      </c>
      <c r="U518" t="str">
        <f t="shared" si="77"/>
        <v>Stato</v>
      </c>
      <c r="V518" t="str">
        <f t="shared" si="78"/>
        <v>QACC2_SG</v>
      </c>
      <c r="W518" t="str">
        <f t="shared" si="79"/>
        <v>GALLERIA SAN GIULIANO</v>
      </c>
      <c r="Z518" t="str">
        <f t="shared" si="80"/>
        <v>10.220.80.16</v>
      </c>
    </row>
    <row r="519" spans="1:26" x14ac:dyDescent="0.25">
      <c r="A519" t="s">
        <v>10</v>
      </c>
      <c r="B519" t="s">
        <v>1063</v>
      </c>
      <c r="C519" t="s">
        <v>1100</v>
      </c>
      <c r="D519" t="s">
        <v>49</v>
      </c>
      <c r="E519">
        <v>19</v>
      </c>
      <c r="F519" t="s">
        <v>14</v>
      </c>
      <c r="G519" t="s">
        <v>28</v>
      </c>
      <c r="H519" t="s">
        <v>22</v>
      </c>
      <c r="I519" t="s">
        <v>1128</v>
      </c>
      <c r="J519" t="s">
        <v>1129</v>
      </c>
      <c r="K519" t="str">
        <f t="shared" si="72"/>
        <v>1032.0</v>
      </c>
      <c r="N519" t="str">
        <f t="shared" si="73"/>
        <v>HOLDING REGISTER</v>
      </c>
      <c r="O519" t="str">
        <f t="shared" si="74"/>
        <v>BOOL</v>
      </c>
      <c r="P519" t="str">
        <f t="shared" si="75"/>
        <v>INTERRUTTORE 19</v>
      </c>
      <c r="R519" t="str">
        <f t="shared" si="76"/>
        <v>QACC2_SG -INTERRUTTORE SERRANDA TAGLIAFUOCO SCATTATO</v>
      </c>
      <c r="U519" t="str">
        <f t="shared" si="77"/>
        <v>Allarme</v>
      </c>
      <c r="V519" t="str">
        <f t="shared" si="78"/>
        <v>QACC2_SG</v>
      </c>
      <c r="W519" t="str">
        <f t="shared" si="79"/>
        <v>GALLERIA SAN GIULIANO</v>
      </c>
      <c r="Z519" t="str">
        <f t="shared" si="80"/>
        <v>10.220.80.16</v>
      </c>
    </row>
    <row r="520" spans="1:26" x14ac:dyDescent="0.25">
      <c r="A520" t="s">
        <v>10</v>
      </c>
      <c r="B520" t="s">
        <v>1063</v>
      </c>
      <c r="C520" t="s">
        <v>1100</v>
      </c>
      <c r="D520" t="s">
        <v>49</v>
      </c>
      <c r="E520">
        <v>21</v>
      </c>
      <c r="F520" t="s">
        <v>14</v>
      </c>
      <c r="G520" t="s">
        <v>21</v>
      </c>
      <c r="H520" t="s">
        <v>22</v>
      </c>
      <c r="I520" t="s">
        <v>1130</v>
      </c>
      <c r="J520" t="s">
        <v>1131</v>
      </c>
      <c r="K520" t="str">
        <f t="shared" si="72"/>
        <v>1032.1</v>
      </c>
      <c r="N520" t="str">
        <f t="shared" si="73"/>
        <v>HOLDING REGISTER</v>
      </c>
      <c r="O520" t="str">
        <f t="shared" si="74"/>
        <v>BOOL</v>
      </c>
      <c r="P520" t="str">
        <f t="shared" si="75"/>
        <v>INTERRUTTORE 21</v>
      </c>
      <c r="R520" t="str">
        <f t="shared" si="76"/>
        <v>QACC2_SG -INTERRUTTORE LUCE E LUCE EMG CHIUSO</v>
      </c>
      <c r="U520" t="str">
        <f t="shared" si="77"/>
        <v>Stato</v>
      </c>
      <c r="V520" t="str">
        <f t="shared" si="78"/>
        <v>QACC2_SG</v>
      </c>
      <c r="W520" t="str">
        <f t="shared" si="79"/>
        <v>GALLERIA SAN GIULIANO</v>
      </c>
      <c r="Z520" t="str">
        <f t="shared" si="80"/>
        <v>10.220.80.16</v>
      </c>
    </row>
    <row r="521" spans="1:26" x14ac:dyDescent="0.25">
      <c r="A521" t="s">
        <v>10</v>
      </c>
      <c r="B521" t="s">
        <v>1063</v>
      </c>
      <c r="C521" t="s">
        <v>1100</v>
      </c>
      <c r="D521" t="s">
        <v>49</v>
      </c>
      <c r="E521">
        <v>21</v>
      </c>
      <c r="F521" t="s">
        <v>14</v>
      </c>
      <c r="G521" t="s">
        <v>28</v>
      </c>
      <c r="H521" t="s">
        <v>22</v>
      </c>
      <c r="I521" t="s">
        <v>1132</v>
      </c>
      <c r="J521" t="s">
        <v>1133</v>
      </c>
      <c r="K521" t="str">
        <f t="shared" si="72"/>
        <v>1032.2</v>
      </c>
      <c r="N521" t="str">
        <f t="shared" si="73"/>
        <v>HOLDING REGISTER</v>
      </c>
      <c r="O521" t="str">
        <f t="shared" si="74"/>
        <v>BOOL</v>
      </c>
      <c r="P521" t="str">
        <f t="shared" si="75"/>
        <v>INTERRUTTORE 21</v>
      </c>
      <c r="R521" t="str">
        <f t="shared" si="76"/>
        <v>QACC2_SG -INTERRUTTORE LUCE E LUCE EMG SCATTATO</v>
      </c>
      <c r="U521" t="str">
        <f t="shared" si="77"/>
        <v>Allarme</v>
      </c>
      <c r="V521" t="str">
        <f t="shared" si="78"/>
        <v>QACC2_SG</v>
      </c>
      <c r="W521" t="str">
        <f t="shared" si="79"/>
        <v>GALLERIA SAN GIULIANO</v>
      </c>
      <c r="Z521" t="str">
        <f t="shared" si="80"/>
        <v>10.220.80.16</v>
      </c>
    </row>
    <row r="522" spans="1:26" x14ac:dyDescent="0.25">
      <c r="A522" t="s">
        <v>10</v>
      </c>
      <c r="B522" t="s">
        <v>1063</v>
      </c>
      <c r="C522" t="s">
        <v>1100</v>
      </c>
      <c r="D522" t="s">
        <v>49</v>
      </c>
      <c r="E522">
        <v>22</v>
      </c>
      <c r="F522" t="s">
        <v>14</v>
      </c>
      <c r="G522" t="s">
        <v>21</v>
      </c>
      <c r="H522" t="s">
        <v>22</v>
      </c>
      <c r="I522" t="s">
        <v>1134</v>
      </c>
      <c r="J522" t="s">
        <v>1135</v>
      </c>
      <c r="K522" t="str">
        <f t="shared" si="72"/>
        <v>1032.3</v>
      </c>
      <c r="N522" t="str">
        <f t="shared" si="73"/>
        <v>HOLDING REGISTER</v>
      </c>
      <c r="O522" t="str">
        <f t="shared" si="74"/>
        <v>BOOL</v>
      </c>
      <c r="P522" t="str">
        <f t="shared" si="75"/>
        <v>INTERRUTTORE 22</v>
      </c>
      <c r="R522" t="str">
        <f t="shared" si="76"/>
        <v>QACC2_SG -INTERRUTTORE SEGN. LUMINOSO CHIUSO</v>
      </c>
      <c r="U522" t="str">
        <f t="shared" si="77"/>
        <v>Stato</v>
      </c>
      <c r="V522" t="str">
        <f t="shared" si="78"/>
        <v>QACC2_SG</v>
      </c>
      <c r="W522" t="str">
        <f t="shared" si="79"/>
        <v>GALLERIA SAN GIULIANO</v>
      </c>
      <c r="Z522" t="str">
        <f t="shared" si="80"/>
        <v>10.220.80.16</v>
      </c>
    </row>
    <row r="523" spans="1:26" x14ac:dyDescent="0.25">
      <c r="A523" t="s">
        <v>10</v>
      </c>
      <c r="B523" t="s">
        <v>1063</v>
      </c>
      <c r="C523" t="s">
        <v>1100</v>
      </c>
      <c r="D523" t="s">
        <v>49</v>
      </c>
      <c r="E523">
        <v>22</v>
      </c>
      <c r="F523" t="s">
        <v>14</v>
      </c>
      <c r="G523" t="s">
        <v>28</v>
      </c>
      <c r="H523" t="s">
        <v>22</v>
      </c>
      <c r="I523" t="s">
        <v>1136</v>
      </c>
      <c r="J523" t="s">
        <v>1137</v>
      </c>
      <c r="K523" t="str">
        <f t="shared" si="72"/>
        <v>1032.4</v>
      </c>
      <c r="N523" t="str">
        <f t="shared" si="73"/>
        <v>HOLDING REGISTER</v>
      </c>
      <c r="O523" t="str">
        <f t="shared" si="74"/>
        <v>BOOL</v>
      </c>
      <c r="P523" t="str">
        <f t="shared" si="75"/>
        <v>INTERRUTTORE 22</v>
      </c>
      <c r="R523" t="str">
        <f t="shared" si="76"/>
        <v>QACC2_SG -INTERRUTTORE SEGN. LUMINOSO SCATTATO</v>
      </c>
      <c r="U523" t="str">
        <f t="shared" si="77"/>
        <v>Allarme</v>
      </c>
      <c r="V523" t="str">
        <f t="shared" si="78"/>
        <v>QACC2_SG</v>
      </c>
      <c r="W523" t="str">
        <f t="shared" si="79"/>
        <v>GALLERIA SAN GIULIANO</v>
      </c>
      <c r="Z523" t="str">
        <f t="shared" si="80"/>
        <v>10.220.80.16</v>
      </c>
    </row>
    <row r="524" spans="1:26" x14ac:dyDescent="0.25">
      <c r="A524" t="s">
        <v>10</v>
      </c>
      <c r="B524" t="s">
        <v>1063</v>
      </c>
      <c r="C524" t="s">
        <v>1100</v>
      </c>
      <c r="D524" t="s">
        <v>205</v>
      </c>
      <c r="E524" t="s">
        <v>206</v>
      </c>
      <c r="F524" t="s">
        <v>14</v>
      </c>
      <c r="G524" t="s">
        <v>28</v>
      </c>
      <c r="H524" t="s">
        <v>22</v>
      </c>
      <c r="I524" t="s">
        <v>1138</v>
      </c>
      <c r="J524" t="s">
        <v>1139</v>
      </c>
      <c r="K524" t="str">
        <f t="shared" si="72"/>
        <v>1032.5</v>
      </c>
      <c r="N524" t="str">
        <f t="shared" si="73"/>
        <v>HOLDING REGISTER</v>
      </c>
      <c r="O524" t="str">
        <f t="shared" si="74"/>
        <v>BOOL</v>
      </c>
      <c r="P524" t="str">
        <f t="shared" si="75"/>
        <v>REMOTE I/O RIO</v>
      </c>
      <c r="R524" t="str">
        <f t="shared" si="76"/>
        <v>QACC2_SG -ERRORE DI COMUNICAZIONE CON RIO</v>
      </c>
      <c r="U524" t="str">
        <f t="shared" si="77"/>
        <v>Allarme</v>
      </c>
      <c r="V524" t="str">
        <f t="shared" si="78"/>
        <v>QACC2_SG</v>
      </c>
      <c r="W524" t="str">
        <f t="shared" si="79"/>
        <v>GALLERIA SAN GIULIANO</v>
      </c>
      <c r="Z524" t="str">
        <f t="shared" si="80"/>
        <v>10.220.80.16</v>
      </c>
    </row>
    <row r="525" spans="1:26" x14ac:dyDescent="0.25">
      <c r="A525" t="s">
        <v>10</v>
      </c>
      <c r="B525" t="s">
        <v>1063</v>
      </c>
      <c r="C525" t="s">
        <v>1140</v>
      </c>
      <c r="D525" t="s">
        <v>361</v>
      </c>
      <c r="E525">
        <v>1</v>
      </c>
      <c r="F525" t="s">
        <v>14</v>
      </c>
      <c r="G525" t="s">
        <v>21</v>
      </c>
      <c r="H525" t="s">
        <v>22</v>
      </c>
      <c r="I525" t="s">
        <v>1141</v>
      </c>
      <c r="J525" t="s">
        <v>1142</v>
      </c>
      <c r="K525" t="str">
        <f t="shared" si="72"/>
        <v>1032.6</v>
      </c>
      <c r="N525" t="str">
        <f t="shared" si="73"/>
        <v>HOLDING REGISTER</v>
      </c>
      <c r="O525" t="str">
        <f t="shared" si="74"/>
        <v>BOOL</v>
      </c>
      <c r="P525" t="str">
        <f t="shared" si="75"/>
        <v>SEZIONATORE 1</v>
      </c>
      <c r="R525" t="str">
        <f t="shared" si="76"/>
        <v>QACC3_SG -SEZIONATORE GENERALE QUADRO CHIUSO</v>
      </c>
      <c r="U525" t="str">
        <f t="shared" si="77"/>
        <v>Stato</v>
      </c>
      <c r="V525" t="str">
        <f t="shared" si="78"/>
        <v>QACC3_SG</v>
      </c>
      <c r="W525" t="str">
        <f t="shared" si="79"/>
        <v>GALLERIA SAN GIULIANO</v>
      </c>
      <c r="Z525" t="str">
        <f t="shared" si="80"/>
        <v>10.220.80.16</v>
      </c>
    </row>
    <row r="526" spans="1:26" x14ac:dyDescent="0.25">
      <c r="A526" t="s">
        <v>10</v>
      </c>
      <c r="B526" t="s">
        <v>1063</v>
      </c>
      <c r="C526" t="s">
        <v>1140</v>
      </c>
      <c r="D526" t="s">
        <v>1103</v>
      </c>
      <c r="E526" t="s">
        <v>1067</v>
      </c>
      <c r="F526" t="s">
        <v>14</v>
      </c>
      <c r="G526" t="s">
        <v>21</v>
      </c>
      <c r="H526" t="s">
        <v>22</v>
      </c>
      <c r="I526" t="s">
        <v>1143</v>
      </c>
      <c r="J526" t="s">
        <v>1144</v>
      </c>
      <c r="K526" t="str">
        <f t="shared" si="72"/>
        <v>1032.7</v>
      </c>
      <c r="N526" t="str">
        <f t="shared" si="73"/>
        <v>HOLDING REGISTER</v>
      </c>
      <c r="O526" t="str">
        <f t="shared" si="74"/>
        <v>BOOL</v>
      </c>
      <c r="P526" t="str">
        <f t="shared" si="75"/>
        <v>RELE' PRESENZA TENSIONE 1RPT1</v>
      </c>
      <c r="R526" t="str">
        <f t="shared" si="76"/>
        <v>QACC3_SG -PRESENZA RETE QUADRO</v>
      </c>
      <c r="U526" t="str">
        <f t="shared" si="77"/>
        <v>Stato</v>
      </c>
      <c r="V526" t="str">
        <f t="shared" si="78"/>
        <v>QACC3_SG</v>
      </c>
      <c r="W526" t="str">
        <f t="shared" si="79"/>
        <v>GALLERIA SAN GIULIANO</v>
      </c>
      <c r="Z526" t="str">
        <f t="shared" si="80"/>
        <v>10.220.80.16</v>
      </c>
    </row>
    <row r="527" spans="1:26" x14ac:dyDescent="0.25">
      <c r="A527" t="s">
        <v>10</v>
      </c>
      <c r="B527" t="s">
        <v>1063</v>
      </c>
      <c r="C527" t="s">
        <v>1140</v>
      </c>
      <c r="D527" t="s">
        <v>49</v>
      </c>
      <c r="E527">
        <v>6</v>
      </c>
      <c r="F527" t="s">
        <v>14</v>
      </c>
      <c r="G527" t="s">
        <v>21</v>
      </c>
      <c r="H527" t="s">
        <v>22</v>
      </c>
      <c r="I527" t="s">
        <v>1145</v>
      </c>
      <c r="J527" t="s">
        <v>1146</v>
      </c>
      <c r="K527" t="str">
        <f t="shared" si="72"/>
        <v>1032.8</v>
      </c>
      <c r="N527" t="str">
        <f t="shared" si="73"/>
        <v>HOLDING REGISTER</v>
      </c>
      <c r="O527" t="str">
        <f t="shared" si="74"/>
        <v>BOOL</v>
      </c>
      <c r="P527" t="str">
        <f t="shared" si="75"/>
        <v>INTERRUTTORE 6</v>
      </c>
      <c r="R527" t="str">
        <f t="shared" si="76"/>
        <v>QACC3_SG -INTERRUTTORE TRAFO AUX CHIUSO</v>
      </c>
      <c r="U527" t="str">
        <f t="shared" si="77"/>
        <v>Stato</v>
      </c>
      <c r="V527" t="str">
        <f t="shared" si="78"/>
        <v>QACC3_SG</v>
      </c>
      <c r="W527" t="str">
        <f t="shared" si="79"/>
        <v>GALLERIA SAN GIULIANO</v>
      </c>
      <c r="Z527" t="str">
        <f t="shared" si="80"/>
        <v>10.220.80.16</v>
      </c>
    </row>
    <row r="528" spans="1:26" x14ac:dyDescent="0.25">
      <c r="A528" t="s">
        <v>10</v>
      </c>
      <c r="B528" t="s">
        <v>1063</v>
      </c>
      <c r="C528" t="s">
        <v>1140</v>
      </c>
      <c r="D528" t="s">
        <v>49</v>
      </c>
      <c r="E528">
        <v>6</v>
      </c>
      <c r="F528" t="s">
        <v>14</v>
      </c>
      <c r="G528" t="s">
        <v>28</v>
      </c>
      <c r="H528" t="s">
        <v>22</v>
      </c>
      <c r="I528" t="s">
        <v>1147</v>
      </c>
      <c r="J528" t="s">
        <v>1148</v>
      </c>
      <c r="K528" t="str">
        <f t="shared" si="72"/>
        <v>1032.9</v>
      </c>
      <c r="N528" t="str">
        <f t="shared" si="73"/>
        <v>HOLDING REGISTER</v>
      </c>
      <c r="O528" t="str">
        <f t="shared" si="74"/>
        <v>BOOL</v>
      </c>
      <c r="P528" t="str">
        <f t="shared" si="75"/>
        <v>INTERRUTTORE 6</v>
      </c>
      <c r="R528" t="str">
        <f t="shared" si="76"/>
        <v>QACC3_SG -INTERRUTTORE TRAFO AUX SCATTATO</v>
      </c>
      <c r="U528" t="str">
        <f t="shared" si="77"/>
        <v>Allarme</v>
      </c>
      <c r="V528" t="str">
        <f t="shared" si="78"/>
        <v>QACC3_SG</v>
      </c>
      <c r="W528" t="str">
        <f t="shared" si="79"/>
        <v>GALLERIA SAN GIULIANO</v>
      </c>
      <c r="Z528" t="str">
        <f t="shared" si="80"/>
        <v>10.220.80.16</v>
      </c>
    </row>
    <row r="529" spans="1:26" x14ac:dyDescent="0.25">
      <c r="A529" t="s">
        <v>10</v>
      </c>
      <c r="B529" t="s">
        <v>1063</v>
      </c>
      <c r="C529" t="s">
        <v>1140</v>
      </c>
      <c r="D529" t="s">
        <v>49</v>
      </c>
      <c r="E529">
        <v>21</v>
      </c>
      <c r="F529" t="s">
        <v>14</v>
      </c>
      <c r="G529" t="s">
        <v>21</v>
      </c>
      <c r="H529" t="s">
        <v>22</v>
      </c>
      <c r="I529" t="s">
        <v>1149</v>
      </c>
      <c r="J529" t="s">
        <v>1150</v>
      </c>
      <c r="K529" t="str">
        <f t="shared" si="72"/>
        <v>1032.10</v>
      </c>
      <c r="N529" t="str">
        <f t="shared" si="73"/>
        <v>HOLDING REGISTER</v>
      </c>
      <c r="O529" t="str">
        <f t="shared" si="74"/>
        <v>BOOL</v>
      </c>
      <c r="P529" t="str">
        <f t="shared" si="75"/>
        <v>INTERRUTTORE 21</v>
      </c>
      <c r="R529" t="str">
        <f t="shared" si="76"/>
        <v>QACC3_SG -INTERRUTTORE LUCE E LUCE EMG CHIUSO</v>
      </c>
      <c r="U529" t="str">
        <f t="shared" si="77"/>
        <v>Stato</v>
      </c>
      <c r="V529" t="str">
        <f t="shared" si="78"/>
        <v>QACC3_SG</v>
      </c>
      <c r="W529" t="str">
        <f t="shared" si="79"/>
        <v>GALLERIA SAN GIULIANO</v>
      </c>
      <c r="Z529" t="str">
        <f t="shared" si="80"/>
        <v>10.220.80.16</v>
      </c>
    </row>
    <row r="530" spans="1:26" x14ac:dyDescent="0.25">
      <c r="A530" t="s">
        <v>10</v>
      </c>
      <c r="B530" t="s">
        <v>1063</v>
      </c>
      <c r="C530" t="s">
        <v>1140</v>
      </c>
      <c r="D530" t="s">
        <v>49</v>
      </c>
      <c r="E530">
        <v>21</v>
      </c>
      <c r="F530" t="s">
        <v>14</v>
      </c>
      <c r="G530" t="s">
        <v>28</v>
      </c>
      <c r="H530" t="s">
        <v>22</v>
      </c>
      <c r="I530" t="s">
        <v>1151</v>
      </c>
      <c r="J530" t="s">
        <v>1152</v>
      </c>
      <c r="K530" t="str">
        <f t="shared" si="72"/>
        <v>1032.11</v>
      </c>
      <c r="N530" t="str">
        <f t="shared" si="73"/>
        <v>HOLDING REGISTER</v>
      </c>
      <c r="O530" t="str">
        <f t="shared" si="74"/>
        <v>BOOL</v>
      </c>
      <c r="P530" t="str">
        <f t="shared" si="75"/>
        <v>INTERRUTTORE 21</v>
      </c>
      <c r="R530" t="str">
        <f t="shared" si="76"/>
        <v>QACC3_SG -INTERRUTTORE LUCE E LUCE EMG SCATTATO</v>
      </c>
      <c r="U530" t="str">
        <f t="shared" si="77"/>
        <v>Allarme</v>
      </c>
      <c r="V530" t="str">
        <f t="shared" si="78"/>
        <v>QACC3_SG</v>
      </c>
      <c r="W530" t="str">
        <f t="shared" si="79"/>
        <v>GALLERIA SAN GIULIANO</v>
      </c>
      <c r="Z530" t="str">
        <f t="shared" si="80"/>
        <v>10.220.80.16</v>
      </c>
    </row>
    <row r="531" spans="1:26" x14ac:dyDescent="0.25">
      <c r="A531" t="s">
        <v>10</v>
      </c>
      <c r="B531" t="s">
        <v>1063</v>
      </c>
      <c r="C531" t="s">
        <v>1140</v>
      </c>
      <c r="D531" t="s">
        <v>49</v>
      </c>
      <c r="E531">
        <v>22</v>
      </c>
      <c r="F531" t="s">
        <v>14</v>
      </c>
      <c r="G531" t="s">
        <v>21</v>
      </c>
      <c r="H531" t="s">
        <v>22</v>
      </c>
      <c r="I531" t="s">
        <v>1153</v>
      </c>
      <c r="J531" t="s">
        <v>1154</v>
      </c>
      <c r="K531" t="str">
        <f t="shared" si="72"/>
        <v>1032.12</v>
      </c>
      <c r="N531" t="str">
        <f t="shared" si="73"/>
        <v>HOLDING REGISTER</v>
      </c>
      <c r="O531" t="str">
        <f t="shared" si="74"/>
        <v>BOOL</v>
      </c>
      <c r="P531" t="str">
        <f t="shared" si="75"/>
        <v>INTERRUTTORE 22</v>
      </c>
      <c r="R531" t="str">
        <f t="shared" si="76"/>
        <v>QACC3_SG -INTERRUTTORE SEGN. LUMINOSO CHIUSO</v>
      </c>
      <c r="U531" t="str">
        <f t="shared" si="77"/>
        <v>Stato</v>
      </c>
      <c r="V531" t="str">
        <f t="shared" si="78"/>
        <v>QACC3_SG</v>
      </c>
      <c r="W531" t="str">
        <f t="shared" si="79"/>
        <v>GALLERIA SAN GIULIANO</v>
      </c>
      <c r="Z531" t="str">
        <f t="shared" si="80"/>
        <v>10.220.80.16</v>
      </c>
    </row>
    <row r="532" spans="1:26" x14ac:dyDescent="0.25">
      <c r="A532" t="s">
        <v>10</v>
      </c>
      <c r="B532" t="s">
        <v>1063</v>
      </c>
      <c r="C532" t="s">
        <v>1140</v>
      </c>
      <c r="D532" t="s">
        <v>49</v>
      </c>
      <c r="E532">
        <v>22</v>
      </c>
      <c r="F532" t="s">
        <v>14</v>
      </c>
      <c r="G532" t="s">
        <v>28</v>
      </c>
      <c r="H532" t="s">
        <v>22</v>
      </c>
      <c r="I532" t="s">
        <v>1155</v>
      </c>
      <c r="J532" t="s">
        <v>1156</v>
      </c>
      <c r="K532" t="str">
        <f t="shared" si="72"/>
        <v>1032.13</v>
      </c>
      <c r="N532" t="str">
        <f t="shared" si="73"/>
        <v>HOLDING REGISTER</v>
      </c>
      <c r="O532" t="str">
        <f t="shared" si="74"/>
        <v>BOOL</v>
      </c>
      <c r="P532" t="str">
        <f t="shared" si="75"/>
        <v>INTERRUTTORE 22</v>
      </c>
      <c r="R532" t="str">
        <f t="shared" si="76"/>
        <v>QACC3_SG -INTERRUTTORE SEGN. LUMINOSO SCATTATO</v>
      </c>
      <c r="U532" t="str">
        <f t="shared" si="77"/>
        <v>Allarme</v>
      </c>
      <c r="V532" t="str">
        <f t="shared" si="78"/>
        <v>QACC3_SG</v>
      </c>
      <c r="W532" t="str">
        <f t="shared" si="79"/>
        <v>GALLERIA SAN GIULIANO</v>
      </c>
      <c r="Z532" t="str">
        <f t="shared" si="80"/>
        <v>10.220.80.16</v>
      </c>
    </row>
    <row r="533" spans="1:26" x14ac:dyDescent="0.25">
      <c r="A533" t="s">
        <v>10</v>
      </c>
      <c r="B533" t="s">
        <v>1063</v>
      </c>
      <c r="C533" t="s">
        <v>1140</v>
      </c>
      <c r="D533" t="s">
        <v>205</v>
      </c>
      <c r="E533" t="s">
        <v>206</v>
      </c>
      <c r="F533" t="s">
        <v>14</v>
      </c>
      <c r="G533" t="s">
        <v>28</v>
      </c>
      <c r="H533" t="s">
        <v>22</v>
      </c>
      <c r="I533" t="s">
        <v>1157</v>
      </c>
      <c r="J533" t="s">
        <v>1158</v>
      </c>
      <c r="K533" t="str">
        <f t="shared" si="72"/>
        <v>1032.14</v>
      </c>
      <c r="N533" t="str">
        <f t="shared" si="73"/>
        <v>HOLDING REGISTER</v>
      </c>
      <c r="O533" t="str">
        <f t="shared" si="74"/>
        <v>BOOL</v>
      </c>
      <c r="P533" t="str">
        <f t="shared" si="75"/>
        <v>REMOTE I/O RIO</v>
      </c>
      <c r="R533" t="str">
        <f t="shared" si="76"/>
        <v>QACC3_SG -ERRORE DI COMUNICAZIONE CON RIO</v>
      </c>
      <c r="U533" t="str">
        <f t="shared" si="77"/>
        <v>Allarme</v>
      </c>
      <c r="V533" t="str">
        <f t="shared" si="78"/>
        <v>QACC3_SG</v>
      </c>
      <c r="W533" t="str">
        <f t="shared" si="79"/>
        <v>GALLERIA SAN GIULIANO</v>
      </c>
      <c r="Z533" t="str">
        <f t="shared" si="80"/>
        <v>10.220.80.16</v>
      </c>
    </row>
    <row r="534" spans="1:26" x14ac:dyDescent="0.25">
      <c r="A534" t="s">
        <v>10</v>
      </c>
      <c r="B534" t="s">
        <v>1063</v>
      </c>
      <c r="C534" t="s">
        <v>1159</v>
      </c>
      <c r="D534" t="s">
        <v>361</v>
      </c>
      <c r="E534">
        <v>1</v>
      </c>
      <c r="F534" t="s">
        <v>14</v>
      </c>
      <c r="G534" t="s">
        <v>21</v>
      </c>
      <c r="H534" t="s">
        <v>22</v>
      </c>
      <c r="I534" t="s">
        <v>1160</v>
      </c>
      <c r="J534" t="s">
        <v>1161</v>
      </c>
      <c r="K534" t="str">
        <f t="shared" si="72"/>
        <v>1032.15</v>
      </c>
      <c r="N534" t="str">
        <f t="shared" si="73"/>
        <v>HOLDING REGISTER</v>
      </c>
      <c r="O534" t="str">
        <f t="shared" si="74"/>
        <v>BOOL</v>
      </c>
      <c r="P534" t="str">
        <f t="shared" si="75"/>
        <v>SEZIONATORE 1</v>
      </c>
      <c r="R534" t="str">
        <f t="shared" si="76"/>
        <v>QPIAZZ_SG -SEZIONATORE GENERALE QUADRO CHIUSO</v>
      </c>
      <c r="U534" t="str">
        <f t="shared" si="77"/>
        <v>Stato</v>
      </c>
      <c r="V534" t="str">
        <f t="shared" si="78"/>
        <v>QPIAZZ_SG</v>
      </c>
      <c r="W534" t="str">
        <f t="shared" si="79"/>
        <v>GALLERIA SAN GIULIANO</v>
      </c>
      <c r="Z534" t="str">
        <f t="shared" si="80"/>
        <v>10.220.80.16</v>
      </c>
    </row>
    <row r="535" spans="1:26" x14ac:dyDescent="0.25">
      <c r="A535" t="s">
        <v>10</v>
      </c>
      <c r="B535" t="s">
        <v>1063</v>
      </c>
      <c r="C535" t="s">
        <v>1159</v>
      </c>
      <c r="D535" t="s">
        <v>1103</v>
      </c>
      <c r="E535" t="s">
        <v>1067</v>
      </c>
      <c r="F535" t="s">
        <v>14</v>
      </c>
      <c r="G535" t="s">
        <v>21</v>
      </c>
      <c r="H535" t="s">
        <v>22</v>
      </c>
      <c r="I535" t="s">
        <v>1162</v>
      </c>
      <c r="J535" t="s">
        <v>1163</v>
      </c>
      <c r="K535" t="str">
        <f t="shared" si="72"/>
        <v>1033.0</v>
      </c>
      <c r="N535" t="str">
        <f t="shared" si="73"/>
        <v>HOLDING REGISTER</v>
      </c>
      <c r="O535" t="str">
        <f t="shared" si="74"/>
        <v>BOOL</v>
      </c>
      <c r="P535" t="str">
        <f t="shared" si="75"/>
        <v>RELE' PRESENZA TENSIONE 1RPT1</v>
      </c>
      <c r="R535" t="str">
        <f t="shared" si="76"/>
        <v>QPIAZZ_SG -PRESENZA RETE QUADRO</v>
      </c>
      <c r="U535" t="str">
        <f t="shared" si="77"/>
        <v>Stato</v>
      </c>
      <c r="V535" t="str">
        <f t="shared" si="78"/>
        <v>QPIAZZ_SG</v>
      </c>
      <c r="W535" t="str">
        <f t="shared" si="79"/>
        <v>GALLERIA SAN GIULIANO</v>
      </c>
      <c r="Z535" t="str">
        <f t="shared" si="80"/>
        <v>10.220.80.16</v>
      </c>
    </row>
    <row r="536" spans="1:26" x14ac:dyDescent="0.25">
      <c r="A536" t="s">
        <v>10</v>
      </c>
      <c r="B536" t="s">
        <v>1063</v>
      </c>
      <c r="C536" t="s">
        <v>1159</v>
      </c>
      <c r="D536" t="s">
        <v>49</v>
      </c>
      <c r="E536">
        <v>3</v>
      </c>
      <c r="F536" t="s">
        <v>14</v>
      </c>
      <c r="G536" t="s">
        <v>21</v>
      </c>
      <c r="H536" t="s">
        <v>22</v>
      </c>
      <c r="I536" t="s">
        <v>1164</v>
      </c>
      <c r="J536" t="s">
        <v>1165</v>
      </c>
      <c r="K536" t="str">
        <f t="shared" si="72"/>
        <v>1033.1</v>
      </c>
      <c r="N536" t="str">
        <f t="shared" si="73"/>
        <v>HOLDING REGISTER</v>
      </c>
      <c r="O536" t="str">
        <f t="shared" si="74"/>
        <v>BOOL</v>
      </c>
      <c r="P536" t="str">
        <f t="shared" si="75"/>
        <v>INTERRUTTORE 3</v>
      </c>
      <c r="R536" t="str">
        <f t="shared" si="76"/>
        <v>QPIAZZ_SG -INTERRUTTORE VENTILATORE PRESSURIZZAZIONE CHIUSO</v>
      </c>
      <c r="U536" t="str">
        <f t="shared" si="77"/>
        <v>Stato</v>
      </c>
      <c r="V536" t="str">
        <f t="shared" si="78"/>
        <v>QPIAZZ_SG</v>
      </c>
      <c r="W536" t="str">
        <f t="shared" si="79"/>
        <v>GALLERIA SAN GIULIANO</v>
      </c>
      <c r="Z536" t="str">
        <f t="shared" si="80"/>
        <v>10.220.80.16</v>
      </c>
    </row>
    <row r="537" spans="1:26" x14ac:dyDescent="0.25">
      <c r="A537" t="s">
        <v>10</v>
      </c>
      <c r="B537" t="s">
        <v>1063</v>
      </c>
      <c r="C537" t="s">
        <v>1159</v>
      </c>
      <c r="D537" t="s">
        <v>49</v>
      </c>
      <c r="E537">
        <v>3</v>
      </c>
      <c r="F537" t="s">
        <v>14</v>
      </c>
      <c r="G537" t="s">
        <v>28</v>
      </c>
      <c r="H537" t="s">
        <v>22</v>
      </c>
      <c r="I537" t="s">
        <v>1166</v>
      </c>
      <c r="J537" t="s">
        <v>1167</v>
      </c>
      <c r="K537" t="str">
        <f t="shared" si="72"/>
        <v>1033.2</v>
      </c>
      <c r="N537" t="str">
        <f t="shared" si="73"/>
        <v>HOLDING REGISTER</v>
      </c>
      <c r="O537" t="str">
        <f t="shared" si="74"/>
        <v>BOOL</v>
      </c>
      <c r="P537" t="str">
        <f t="shared" si="75"/>
        <v>INTERRUTTORE 3</v>
      </c>
      <c r="R537" t="str">
        <f t="shared" si="76"/>
        <v>QPIAZZ_SG -INTERRUTTORE VENTILATORE PRESSURIZZAZIONE SCATTATO</v>
      </c>
      <c r="U537" t="str">
        <f t="shared" si="77"/>
        <v>Allarme</v>
      </c>
      <c r="V537" t="str">
        <f t="shared" si="78"/>
        <v>QPIAZZ_SG</v>
      </c>
      <c r="W537" t="str">
        <f t="shared" si="79"/>
        <v>GALLERIA SAN GIULIANO</v>
      </c>
      <c r="Z537" t="str">
        <f t="shared" si="80"/>
        <v>10.220.80.16</v>
      </c>
    </row>
    <row r="538" spans="1:26" x14ac:dyDescent="0.25">
      <c r="A538" t="s">
        <v>10</v>
      </c>
      <c r="B538" t="s">
        <v>1063</v>
      </c>
      <c r="C538" t="s">
        <v>1159</v>
      </c>
      <c r="D538" t="s">
        <v>49</v>
      </c>
      <c r="E538">
        <v>6</v>
      </c>
      <c r="F538" t="s">
        <v>14</v>
      </c>
      <c r="G538" t="s">
        <v>21</v>
      </c>
      <c r="H538" t="s">
        <v>22</v>
      </c>
      <c r="I538" t="s">
        <v>1168</v>
      </c>
      <c r="J538" t="s">
        <v>1169</v>
      </c>
      <c r="K538" t="str">
        <f t="shared" si="72"/>
        <v>1033.3</v>
      </c>
      <c r="N538" t="str">
        <f t="shared" si="73"/>
        <v>HOLDING REGISTER</v>
      </c>
      <c r="O538" t="str">
        <f t="shared" si="74"/>
        <v>BOOL</v>
      </c>
      <c r="P538" t="str">
        <f t="shared" si="75"/>
        <v>INTERRUTTORE 6</v>
      </c>
      <c r="R538" t="str">
        <f t="shared" si="76"/>
        <v>QPIAZZ_SG -INTERRUTTORE TR1 400Vac/230Vac CHIUSO</v>
      </c>
      <c r="U538" t="str">
        <f t="shared" si="77"/>
        <v>Stato</v>
      </c>
      <c r="V538" t="str">
        <f t="shared" si="78"/>
        <v>QPIAZZ_SG</v>
      </c>
      <c r="W538" t="str">
        <f t="shared" si="79"/>
        <v>GALLERIA SAN GIULIANO</v>
      </c>
      <c r="Z538" t="str">
        <f t="shared" si="80"/>
        <v>10.220.80.16</v>
      </c>
    </row>
    <row r="539" spans="1:26" x14ac:dyDescent="0.25">
      <c r="A539" t="s">
        <v>10</v>
      </c>
      <c r="B539" t="s">
        <v>1063</v>
      </c>
      <c r="C539" t="s">
        <v>1159</v>
      </c>
      <c r="D539" t="s">
        <v>49</v>
      </c>
      <c r="E539">
        <v>6</v>
      </c>
      <c r="F539" t="s">
        <v>14</v>
      </c>
      <c r="G539" t="s">
        <v>28</v>
      </c>
      <c r="H539" t="s">
        <v>22</v>
      </c>
      <c r="I539" t="s">
        <v>1170</v>
      </c>
      <c r="J539" t="s">
        <v>1171</v>
      </c>
      <c r="K539" t="str">
        <f t="shared" si="72"/>
        <v>1033.4</v>
      </c>
      <c r="N539" t="str">
        <f t="shared" si="73"/>
        <v>HOLDING REGISTER</v>
      </c>
      <c r="O539" t="str">
        <f t="shared" si="74"/>
        <v>BOOL</v>
      </c>
      <c r="P539" t="str">
        <f t="shared" si="75"/>
        <v>INTERRUTTORE 6</v>
      </c>
      <c r="R539" t="str">
        <f t="shared" si="76"/>
        <v>QPIAZZ_SG -INTERRUTTORE TR1 400Vac/230Vac SCATTATO</v>
      </c>
      <c r="U539" t="str">
        <f t="shared" si="77"/>
        <v>Allarme</v>
      </c>
      <c r="V539" t="str">
        <f t="shared" si="78"/>
        <v>QPIAZZ_SG</v>
      </c>
      <c r="W539" t="str">
        <f t="shared" si="79"/>
        <v>GALLERIA SAN GIULIANO</v>
      </c>
      <c r="Z539" t="str">
        <f t="shared" si="80"/>
        <v>10.220.80.16</v>
      </c>
    </row>
    <row r="540" spans="1:26" x14ac:dyDescent="0.25">
      <c r="A540" t="s">
        <v>10</v>
      </c>
      <c r="B540" t="s">
        <v>1063</v>
      </c>
      <c r="C540" t="s">
        <v>1159</v>
      </c>
      <c r="D540" t="s">
        <v>49</v>
      </c>
      <c r="E540">
        <v>12</v>
      </c>
      <c r="F540" t="s">
        <v>14</v>
      </c>
      <c r="G540" t="s">
        <v>21</v>
      </c>
      <c r="H540" t="s">
        <v>22</v>
      </c>
      <c r="I540" t="s">
        <v>1172</v>
      </c>
      <c r="J540" t="s">
        <v>1173</v>
      </c>
      <c r="K540" t="str">
        <f t="shared" si="72"/>
        <v>1033.5</v>
      </c>
      <c r="N540" t="str">
        <f t="shared" si="73"/>
        <v>HOLDING REGISTER</v>
      </c>
      <c r="O540" t="str">
        <f t="shared" si="74"/>
        <v>BOOL</v>
      </c>
      <c r="P540" t="str">
        <f t="shared" si="75"/>
        <v>INTERRUTTORE 12</v>
      </c>
      <c r="R540" t="str">
        <f t="shared" si="76"/>
        <v>QPIAZZ_SG -INTERRUTTORE QUADRO ELEVATORE CHIUSO</v>
      </c>
      <c r="U540" t="str">
        <f t="shared" si="77"/>
        <v>Stato</v>
      </c>
      <c r="V540" t="str">
        <f t="shared" si="78"/>
        <v>QPIAZZ_SG</v>
      </c>
      <c r="W540" t="str">
        <f t="shared" si="79"/>
        <v>GALLERIA SAN GIULIANO</v>
      </c>
      <c r="Z540" t="str">
        <f t="shared" si="80"/>
        <v>10.220.80.16</v>
      </c>
    </row>
    <row r="541" spans="1:26" x14ac:dyDescent="0.25">
      <c r="A541" t="s">
        <v>10</v>
      </c>
      <c r="B541" t="s">
        <v>1063</v>
      </c>
      <c r="C541" t="s">
        <v>1159</v>
      </c>
      <c r="D541" t="s">
        <v>49</v>
      </c>
      <c r="E541">
        <v>12</v>
      </c>
      <c r="F541" t="s">
        <v>14</v>
      </c>
      <c r="G541" t="s">
        <v>28</v>
      </c>
      <c r="H541" t="s">
        <v>22</v>
      </c>
      <c r="I541" t="s">
        <v>1174</v>
      </c>
      <c r="J541" t="s">
        <v>1175</v>
      </c>
      <c r="K541" t="str">
        <f t="shared" si="72"/>
        <v>1033.6</v>
      </c>
      <c r="N541" t="str">
        <f t="shared" si="73"/>
        <v>HOLDING REGISTER</v>
      </c>
      <c r="O541" t="str">
        <f t="shared" si="74"/>
        <v>BOOL</v>
      </c>
      <c r="P541" t="str">
        <f t="shared" si="75"/>
        <v>INTERRUTTORE 12</v>
      </c>
      <c r="R541" t="str">
        <f t="shared" si="76"/>
        <v>QPIAZZ_SG -INTERRUTTORE QUADRO ELEVATORE SCATTATO</v>
      </c>
      <c r="U541" t="str">
        <f t="shared" si="77"/>
        <v>Allarme</v>
      </c>
      <c r="V541" t="str">
        <f t="shared" si="78"/>
        <v>QPIAZZ_SG</v>
      </c>
      <c r="W541" t="str">
        <f t="shared" si="79"/>
        <v>GALLERIA SAN GIULIANO</v>
      </c>
      <c r="Z541" t="str">
        <f t="shared" si="80"/>
        <v>10.220.80.16</v>
      </c>
    </row>
    <row r="542" spans="1:26" x14ac:dyDescent="0.25">
      <c r="A542" t="s">
        <v>10</v>
      </c>
      <c r="B542" t="s">
        <v>1063</v>
      </c>
      <c r="C542" t="s">
        <v>1159</v>
      </c>
      <c r="D542" t="s">
        <v>49</v>
      </c>
      <c r="E542">
        <v>13</v>
      </c>
      <c r="F542" t="s">
        <v>14</v>
      </c>
      <c r="G542" t="s">
        <v>21</v>
      </c>
      <c r="H542" t="s">
        <v>22</v>
      </c>
      <c r="I542" t="s">
        <v>1176</v>
      </c>
      <c r="J542" t="s">
        <v>1177</v>
      </c>
      <c r="K542" t="str">
        <f t="shared" si="72"/>
        <v>1033.7</v>
      </c>
      <c r="N542" t="str">
        <f t="shared" si="73"/>
        <v>HOLDING REGISTER</v>
      </c>
      <c r="O542" t="str">
        <f t="shared" si="74"/>
        <v>BOOL</v>
      </c>
      <c r="P542" t="str">
        <f t="shared" si="75"/>
        <v>INTERRUTTORE 13</v>
      </c>
      <c r="R542" t="str">
        <f t="shared" si="76"/>
        <v>QPIAZZ_SG -INTERRUTTORE QUADRO SERVOSCALA P2 CHIUSO</v>
      </c>
      <c r="U542" t="str">
        <f t="shared" si="77"/>
        <v>Stato</v>
      </c>
      <c r="V542" t="str">
        <f t="shared" si="78"/>
        <v>QPIAZZ_SG</v>
      </c>
      <c r="W542" t="str">
        <f t="shared" si="79"/>
        <v>GALLERIA SAN GIULIANO</v>
      </c>
      <c r="Z542" t="str">
        <f t="shared" si="80"/>
        <v>10.220.80.16</v>
      </c>
    </row>
    <row r="543" spans="1:26" x14ac:dyDescent="0.25">
      <c r="A543" t="s">
        <v>10</v>
      </c>
      <c r="B543" t="s">
        <v>1063</v>
      </c>
      <c r="C543" t="s">
        <v>1159</v>
      </c>
      <c r="D543" t="s">
        <v>49</v>
      </c>
      <c r="E543">
        <v>13</v>
      </c>
      <c r="F543" t="s">
        <v>14</v>
      </c>
      <c r="G543" t="s">
        <v>28</v>
      </c>
      <c r="H543" t="s">
        <v>22</v>
      </c>
      <c r="I543" t="s">
        <v>1178</v>
      </c>
      <c r="J543" t="s">
        <v>1179</v>
      </c>
      <c r="K543" t="str">
        <f t="shared" si="72"/>
        <v>1033.8</v>
      </c>
      <c r="N543" t="str">
        <f t="shared" si="73"/>
        <v>HOLDING REGISTER</v>
      </c>
      <c r="O543" t="str">
        <f t="shared" si="74"/>
        <v>BOOL</v>
      </c>
      <c r="P543" t="str">
        <f t="shared" si="75"/>
        <v>INTERRUTTORE 13</v>
      </c>
      <c r="R543" t="str">
        <f t="shared" si="76"/>
        <v>QPIAZZ_SG -INTERRUTTORE QUADRO SERVOSCALA P2 SCATTATO</v>
      </c>
      <c r="U543" t="str">
        <f t="shared" si="77"/>
        <v>Allarme</v>
      </c>
      <c r="V543" t="str">
        <f t="shared" si="78"/>
        <v>QPIAZZ_SG</v>
      </c>
      <c r="W543" t="str">
        <f t="shared" si="79"/>
        <v>GALLERIA SAN GIULIANO</v>
      </c>
      <c r="Z543" t="str">
        <f t="shared" si="80"/>
        <v>10.220.80.16</v>
      </c>
    </row>
    <row r="544" spans="1:26" x14ac:dyDescent="0.25">
      <c r="A544" t="s">
        <v>10</v>
      </c>
      <c r="B544" t="s">
        <v>1063</v>
      </c>
      <c r="C544" t="s">
        <v>1159</v>
      </c>
      <c r="D544" t="s">
        <v>49</v>
      </c>
      <c r="E544">
        <v>15</v>
      </c>
      <c r="F544" t="s">
        <v>14</v>
      </c>
      <c r="G544" t="s">
        <v>21</v>
      </c>
      <c r="H544" t="s">
        <v>22</v>
      </c>
      <c r="I544" t="s">
        <v>1180</v>
      </c>
      <c r="J544" t="s">
        <v>1181</v>
      </c>
      <c r="K544" t="str">
        <f t="shared" si="72"/>
        <v>1033.9</v>
      </c>
      <c r="N544" t="str">
        <f t="shared" si="73"/>
        <v>HOLDING REGISTER</v>
      </c>
      <c r="O544" t="str">
        <f t="shared" si="74"/>
        <v>BOOL</v>
      </c>
      <c r="P544" t="str">
        <f t="shared" si="75"/>
        <v>INTERRUTTORE 15</v>
      </c>
      <c r="R544" t="str">
        <f t="shared" si="76"/>
        <v>QPIAZZ_SG -INTERRUTTORE CO-OP VIA ESODO SOSPESA CHIUSO</v>
      </c>
      <c r="U544" t="str">
        <f t="shared" si="77"/>
        <v>Stato</v>
      </c>
      <c r="V544" t="str">
        <f t="shared" si="78"/>
        <v>QPIAZZ_SG</v>
      </c>
      <c r="W544" t="str">
        <f t="shared" si="79"/>
        <v>GALLERIA SAN GIULIANO</v>
      </c>
      <c r="Z544" t="str">
        <f t="shared" si="80"/>
        <v>10.220.80.16</v>
      </c>
    </row>
    <row r="545" spans="1:26" x14ac:dyDescent="0.25">
      <c r="A545" t="s">
        <v>10</v>
      </c>
      <c r="B545" t="s">
        <v>1063</v>
      </c>
      <c r="C545" t="s">
        <v>1159</v>
      </c>
      <c r="D545" t="s">
        <v>49</v>
      </c>
      <c r="E545">
        <v>15</v>
      </c>
      <c r="F545" t="s">
        <v>14</v>
      </c>
      <c r="G545" t="s">
        <v>28</v>
      </c>
      <c r="H545" t="s">
        <v>22</v>
      </c>
      <c r="I545" t="s">
        <v>1182</v>
      </c>
      <c r="J545" t="s">
        <v>1183</v>
      </c>
      <c r="K545" t="str">
        <f t="shared" si="72"/>
        <v>1033.10</v>
      </c>
      <c r="N545" t="str">
        <f t="shared" si="73"/>
        <v>HOLDING REGISTER</v>
      </c>
      <c r="O545" t="str">
        <f t="shared" si="74"/>
        <v>BOOL</v>
      </c>
      <c r="P545" t="str">
        <f t="shared" si="75"/>
        <v>INTERRUTTORE 15</v>
      </c>
      <c r="R545" t="str">
        <f t="shared" si="76"/>
        <v>QPIAZZ_SG -INTERRUTTORE CO-OP VIA ESODO SOSPESA SCATTATO</v>
      </c>
      <c r="U545" t="str">
        <f t="shared" si="77"/>
        <v>Allarme</v>
      </c>
      <c r="V545" t="str">
        <f t="shared" si="78"/>
        <v>QPIAZZ_SG</v>
      </c>
      <c r="W545" t="str">
        <f t="shared" si="79"/>
        <v>GALLERIA SAN GIULIANO</v>
      </c>
      <c r="Z545" t="str">
        <f t="shared" si="80"/>
        <v>10.220.80.16</v>
      </c>
    </row>
    <row r="546" spans="1:26" x14ac:dyDescent="0.25">
      <c r="A546" t="s">
        <v>10</v>
      </c>
      <c r="B546" t="s">
        <v>1063</v>
      </c>
      <c r="C546" t="s">
        <v>1159</v>
      </c>
      <c r="D546" t="s">
        <v>49</v>
      </c>
      <c r="E546">
        <v>16</v>
      </c>
      <c r="F546" t="s">
        <v>14</v>
      </c>
      <c r="G546" t="s">
        <v>21</v>
      </c>
      <c r="H546" t="s">
        <v>22</v>
      </c>
      <c r="I546" t="s">
        <v>1184</v>
      </c>
      <c r="J546" t="s">
        <v>1185</v>
      </c>
      <c r="K546" t="str">
        <f t="shared" si="72"/>
        <v>1033.11</v>
      </c>
      <c r="N546" t="str">
        <f t="shared" si="73"/>
        <v>HOLDING REGISTER</v>
      </c>
      <c r="O546" t="str">
        <f t="shared" si="74"/>
        <v>BOOL</v>
      </c>
      <c r="P546" t="str">
        <f t="shared" si="75"/>
        <v>INTERRUTTORE 16</v>
      </c>
      <c r="R546" t="str">
        <f t="shared" si="76"/>
        <v>QPIAZZ_SG -INTERRUTTORE ANEMOMETRO VIA ESODO SOSPESA CHIUSO</v>
      </c>
      <c r="U546" t="str">
        <f t="shared" si="77"/>
        <v>Stato</v>
      </c>
      <c r="V546" t="str">
        <f t="shared" si="78"/>
        <v>QPIAZZ_SG</v>
      </c>
      <c r="W546" t="str">
        <f t="shared" si="79"/>
        <v>GALLERIA SAN GIULIANO</v>
      </c>
      <c r="Z546" t="str">
        <f t="shared" si="80"/>
        <v>10.220.80.16</v>
      </c>
    </row>
    <row r="547" spans="1:26" x14ac:dyDescent="0.25">
      <c r="A547" t="s">
        <v>10</v>
      </c>
      <c r="B547" t="s">
        <v>1063</v>
      </c>
      <c r="C547" t="s">
        <v>1159</v>
      </c>
      <c r="D547" t="s">
        <v>49</v>
      </c>
      <c r="E547">
        <v>16</v>
      </c>
      <c r="F547" t="s">
        <v>14</v>
      </c>
      <c r="G547" t="s">
        <v>28</v>
      </c>
      <c r="H547" t="s">
        <v>22</v>
      </c>
      <c r="I547" t="s">
        <v>1186</v>
      </c>
      <c r="J547" t="s">
        <v>1187</v>
      </c>
      <c r="K547" t="str">
        <f t="shared" si="72"/>
        <v>1033.12</v>
      </c>
      <c r="N547" t="str">
        <f t="shared" si="73"/>
        <v>HOLDING REGISTER</v>
      </c>
      <c r="O547" t="str">
        <f t="shared" si="74"/>
        <v>BOOL</v>
      </c>
      <c r="P547" t="str">
        <f t="shared" si="75"/>
        <v>INTERRUTTORE 16</v>
      </c>
      <c r="R547" t="str">
        <f t="shared" si="76"/>
        <v>QPIAZZ_SG -INTERRUTTORE ANEMOMETRO VIA ESODO SOSPESA SCATTATO</v>
      </c>
      <c r="U547" t="str">
        <f t="shared" si="77"/>
        <v>Allarme</v>
      </c>
      <c r="V547" t="str">
        <f t="shared" si="78"/>
        <v>QPIAZZ_SG</v>
      </c>
      <c r="W547" t="str">
        <f t="shared" si="79"/>
        <v>GALLERIA SAN GIULIANO</v>
      </c>
      <c r="Z547" t="str">
        <f t="shared" si="80"/>
        <v>10.220.80.16</v>
      </c>
    </row>
    <row r="548" spans="1:26" x14ac:dyDescent="0.25">
      <c r="A548" t="s">
        <v>10</v>
      </c>
      <c r="B548" t="s">
        <v>1063</v>
      </c>
      <c r="C548" t="s">
        <v>1159</v>
      </c>
      <c r="D548" t="s">
        <v>49</v>
      </c>
      <c r="E548">
        <v>17</v>
      </c>
      <c r="F548" t="s">
        <v>14</v>
      </c>
      <c r="G548" t="s">
        <v>21</v>
      </c>
      <c r="H548" t="s">
        <v>22</v>
      </c>
      <c r="I548" t="s">
        <v>1188</v>
      </c>
      <c r="J548" t="s">
        <v>1189</v>
      </c>
      <c r="K548" t="str">
        <f t="shared" si="72"/>
        <v>1033.13</v>
      </c>
      <c r="N548" t="str">
        <f t="shared" si="73"/>
        <v>HOLDING REGISTER</v>
      </c>
      <c r="O548" t="str">
        <f t="shared" si="74"/>
        <v>BOOL</v>
      </c>
      <c r="P548" t="str">
        <f t="shared" si="75"/>
        <v>INTERRUTTORE 17</v>
      </c>
      <c r="R548" t="str">
        <f t="shared" si="76"/>
        <v>QPIAZZ_SG -INTERRUTTORE SOS PIAZZOLA CHIUSO</v>
      </c>
      <c r="U548" t="str">
        <f t="shared" si="77"/>
        <v>Stato</v>
      </c>
      <c r="V548" t="str">
        <f t="shared" si="78"/>
        <v>QPIAZZ_SG</v>
      </c>
      <c r="W548" t="str">
        <f t="shared" si="79"/>
        <v>GALLERIA SAN GIULIANO</v>
      </c>
      <c r="Z548" t="str">
        <f t="shared" si="80"/>
        <v>10.220.80.16</v>
      </c>
    </row>
    <row r="549" spans="1:26" x14ac:dyDescent="0.25">
      <c r="A549" t="s">
        <v>10</v>
      </c>
      <c r="B549" t="s">
        <v>1063</v>
      </c>
      <c r="C549" t="s">
        <v>1159</v>
      </c>
      <c r="D549" t="s">
        <v>49</v>
      </c>
      <c r="E549">
        <v>17</v>
      </c>
      <c r="F549" t="s">
        <v>14</v>
      </c>
      <c r="G549" t="s">
        <v>28</v>
      </c>
      <c r="H549" t="s">
        <v>22</v>
      </c>
      <c r="I549" t="s">
        <v>1190</v>
      </c>
      <c r="J549" t="s">
        <v>1191</v>
      </c>
      <c r="K549" t="str">
        <f t="shared" si="72"/>
        <v>1033.14</v>
      </c>
      <c r="N549" t="str">
        <f t="shared" si="73"/>
        <v>HOLDING REGISTER</v>
      </c>
      <c r="O549" t="str">
        <f t="shared" si="74"/>
        <v>BOOL</v>
      </c>
      <c r="P549" t="str">
        <f t="shared" si="75"/>
        <v>INTERRUTTORE 17</v>
      </c>
      <c r="R549" t="str">
        <f t="shared" si="76"/>
        <v>QPIAZZ_SG -INTERRUTTORE SOS PIAZZOLA SCATTATO</v>
      </c>
      <c r="U549" t="str">
        <f t="shared" si="77"/>
        <v>Allarme</v>
      </c>
      <c r="V549" t="str">
        <f t="shared" si="78"/>
        <v>QPIAZZ_SG</v>
      </c>
      <c r="W549" t="str">
        <f t="shared" si="79"/>
        <v>GALLERIA SAN GIULIANO</v>
      </c>
      <c r="Z549" t="str">
        <f t="shared" si="80"/>
        <v>10.220.80.16</v>
      </c>
    </row>
    <row r="550" spans="1:26" x14ac:dyDescent="0.25">
      <c r="A550" t="s">
        <v>10</v>
      </c>
      <c r="B550" t="s">
        <v>1063</v>
      </c>
      <c r="C550" t="s">
        <v>1159</v>
      </c>
      <c r="D550" t="s">
        <v>49</v>
      </c>
      <c r="E550">
        <v>19</v>
      </c>
      <c r="F550" t="s">
        <v>14</v>
      </c>
      <c r="G550" t="s">
        <v>21</v>
      </c>
      <c r="H550" t="s">
        <v>22</v>
      </c>
      <c r="I550" t="s">
        <v>1192</v>
      </c>
      <c r="J550" t="s">
        <v>1193</v>
      </c>
      <c r="K550" t="str">
        <f t="shared" si="72"/>
        <v>1033.15</v>
      </c>
      <c r="N550" t="str">
        <f t="shared" si="73"/>
        <v>HOLDING REGISTER</v>
      </c>
      <c r="O550" t="str">
        <f t="shared" si="74"/>
        <v>BOOL</v>
      </c>
      <c r="P550" t="str">
        <f t="shared" si="75"/>
        <v>INTERRUTTORE 19</v>
      </c>
      <c r="R550" t="str">
        <f t="shared" si="76"/>
        <v>QPIAZZ_SG -INTERRUTTORE SERRANDA TAGLIAFUOCO CHIUSO</v>
      </c>
      <c r="U550" t="str">
        <f t="shared" si="77"/>
        <v>Stato</v>
      </c>
      <c r="V550" t="str">
        <f t="shared" si="78"/>
        <v>QPIAZZ_SG</v>
      </c>
      <c r="W550" t="str">
        <f t="shared" si="79"/>
        <v>GALLERIA SAN GIULIANO</v>
      </c>
      <c r="Z550" t="str">
        <f t="shared" si="80"/>
        <v>10.220.80.16</v>
      </c>
    </row>
    <row r="551" spans="1:26" x14ac:dyDescent="0.25">
      <c r="A551" t="s">
        <v>10</v>
      </c>
      <c r="B551" t="s">
        <v>1063</v>
      </c>
      <c r="C551" t="s">
        <v>1159</v>
      </c>
      <c r="D551" t="s">
        <v>49</v>
      </c>
      <c r="E551">
        <v>19</v>
      </c>
      <c r="F551" t="s">
        <v>14</v>
      </c>
      <c r="G551" t="s">
        <v>28</v>
      </c>
      <c r="H551" t="s">
        <v>22</v>
      </c>
      <c r="I551" t="s">
        <v>1194</v>
      </c>
      <c r="J551" t="s">
        <v>1195</v>
      </c>
      <c r="K551" t="str">
        <f t="shared" si="72"/>
        <v>1034.0</v>
      </c>
      <c r="N551" t="str">
        <f t="shared" si="73"/>
        <v>HOLDING REGISTER</v>
      </c>
      <c r="O551" t="str">
        <f t="shared" si="74"/>
        <v>BOOL</v>
      </c>
      <c r="P551" t="str">
        <f t="shared" si="75"/>
        <v>INTERRUTTORE 19</v>
      </c>
      <c r="R551" t="str">
        <f t="shared" si="76"/>
        <v>QPIAZZ_SG -INTERRUTTORE SERRANDA TAGLIAFUOCO SCATTATO</v>
      </c>
      <c r="U551" t="str">
        <f t="shared" si="77"/>
        <v>Allarme</v>
      </c>
      <c r="V551" t="str">
        <f t="shared" si="78"/>
        <v>QPIAZZ_SG</v>
      </c>
      <c r="W551" t="str">
        <f t="shared" si="79"/>
        <v>GALLERIA SAN GIULIANO</v>
      </c>
      <c r="Z551" t="str">
        <f t="shared" si="80"/>
        <v>10.220.80.16</v>
      </c>
    </row>
    <row r="552" spans="1:26" x14ac:dyDescent="0.25">
      <c r="A552" t="s">
        <v>10</v>
      </c>
      <c r="B552" t="s">
        <v>1063</v>
      </c>
      <c r="C552" t="s">
        <v>1159</v>
      </c>
      <c r="D552" t="s">
        <v>49</v>
      </c>
      <c r="E552">
        <v>21</v>
      </c>
      <c r="F552" t="s">
        <v>14</v>
      </c>
      <c r="G552" t="s">
        <v>21</v>
      </c>
      <c r="H552" t="s">
        <v>22</v>
      </c>
      <c r="I552" t="s">
        <v>1196</v>
      </c>
      <c r="J552" t="s">
        <v>1197</v>
      </c>
      <c r="K552" t="str">
        <f t="shared" si="72"/>
        <v>1034.1</v>
      </c>
      <c r="N552" t="str">
        <f t="shared" si="73"/>
        <v>HOLDING REGISTER</v>
      </c>
      <c r="O552" t="str">
        <f t="shared" si="74"/>
        <v>BOOL</v>
      </c>
      <c r="P552" t="str">
        <f t="shared" si="75"/>
        <v>INTERRUTTORE 21</v>
      </c>
      <c r="R552" t="str">
        <f t="shared" si="76"/>
        <v>QPIAZZ_SG -INTERRUTTORE LUCE E LUCE EMG CHIUSO</v>
      </c>
      <c r="U552" t="str">
        <f t="shared" si="77"/>
        <v>Stato</v>
      </c>
      <c r="V552" t="str">
        <f t="shared" si="78"/>
        <v>QPIAZZ_SG</v>
      </c>
      <c r="W552" t="str">
        <f t="shared" si="79"/>
        <v>GALLERIA SAN GIULIANO</v>
      </c>
      <c r="Z552" t="str">
        <f t="shared" si="80"/>
        <v>10.220.80.16</v>
      </c>
    </row>
    <row r="553" spans="1:26" x14ac:dyDescent="0.25">
      <c r="A553" t="s">
        <v>10</v>
      </c>
      <c r="B553" t="s">
        <v>1063</v>
      </c>
      <c r="C553" t="s">
        <v>1159</v>
      </c>
      <c r="D553" t="s">
        <v>49</v>
      </c>
      <c r="E553">
        <v>21</v>
      </c>
      <c r="F553" t="s">
        <v>14</v>
      </c>
      <c r="G553" t="s">
        <v>28</v>
      </c>
      <c r="H553" t="s">
        <v>22</v>
      </c>
      <c r="I553" t="s">
        <v>1198</v>
      </c>
      <c r="J553" t="s">
        <v>1199</v>
      </c>
      <c r="K553" t="str">
        <f t="shared" si="72"/>
        <v>1034.2</v>
      </c>
      <c r="N553" t="str">
        <f t="shared" si="73"/>
        <v>HOLDING REGISTER</v>
      </c>
      <c r="O553" t="str">
        <f t="shared" si="74"/>
        <v>BOOL</v>
      </c>
      <c r="P553" t="str">
        <f t="shared" si="75"/>
        <v>INTERRUTTORE 21</v>
      </c>
      <c r="R553" t="str">
        <f t="shared" si="76"/>
        <v>QPIAZZ_SG -INTERRUTTORE LUCE E LUCE EMG SCATTATO</v>
      </c>
      <c r="U553" t="str">
        <f t="shared" si="77"/>
        <v>Allarme</v>
      </c>
      <c r="V553" t="str">
        <f t="shared" si="78"/>
        <v>QPIAZZ_SG</v>
      </c>
      <c r="W553" t="str">
        <f t="shared" si="79"/>
        <v>GALLERIA SAN GIULIANO</v>
      </c>
      <c r="Z553" t="str">
        <f t="shared" si="80"/>
        <v>10.220.80.16</v>
      </c>
    </row>
    <row r="554" spans="1:26" x14ac:dyDescent="0.25">
      <c r="A554" t="s">
        <v>10</v>
      </c>
      <c r="B554" t="s">
        <v>1063</v>
      </c>
      <c r="C554" t="s">
        <v>1159</v>
      </c>
      <c r="D554" t="s">
        <v>49</v>
      </c>
      <c r="E554">
        <v>22</v>
      </c>
      <c r="F554" t="s">
        <v>14</v>
      </c>
      <c r="G554" t="s">
        <v>21</v>
      </c>
      <c r="H554" t="s">
        <v>22</v>
      </c>
      <c r="I554" t="s">
        <v>1200</v>
      </c>
      <c r="J554" t="s">
        <v>1201</v>
      </c>
      <c r="K554" t="str">
        <f t="shared" si="72"/>
        <v>1034.3</v>
      </c>
      <c r="N554" t="str">
        <f t="shared" si="73"/>
        <v>HOLDING REGISTER</v>
      </c>
      <c r="O554" t="str">
        <f t="shared" si="74"/>
        <v>BOOL</v>
      </c>
      <c r="P554" t="str">
        <f t="shared" si="75"/>
        <v>INTERRUTTORE 22</v>
      </c>
      <c r="R554" t="str">
        <f t="shared" si="76"/>
        <v>QPIAZZ_SG -INTERRUTTORE SEGNALE LUMINOSO CHIUSO</v>
      </c>
      <c r="U554" t="str">
        <f t="shared" si="77"/>
        <v>Stato</v>
      </c>
      <c r="V554" t="str">
        <f t="shared" si="78"/>
        <v>QPIAZZ_SG</v>
      </c>
      <c r="W554" t="str">
        <f t="shared" si="79"/>
        <v>GALLERIA SAN GIULIANO</v>
      </c>
      <c r="Z554" t="str">
        <f t="shared" si="80"/>
        <v>10.220.80.16</v>
      </c>
    </row>
    <row r="555" spans="1:26" x14ac:dyDescent="0.25">
      <c r="A555" t="s">
        <v>10</v>
      </c>
      <c r="B555" t="s">
        <v>1063</v>
      </c>
      <c r="C555" t="s">
        <v>1159</v>
      </c>
      <c r="D555" t="s">
        <v>49</v>
      </c>
      <c r="E555">
        <v>22</v>
      </c>
      <c r="F555" t="s">
        <v>14</v>
      </c>
      <c r="G555" t="s">
        <v>28</v>
      </c>
      <c r="H555" t="s">
        <v>22</v>
      </c>
      <c r="I555" t="s">
        <v>1202</v>
      </c>
      <c r="J555" t="s">
        <v>1203</v>
      </c>
      <c r="K555" t="str">
        <f t="shared" si="72"/>
        <v>1034.4</v>
      </c>
      <c r="N555" t="str">
        <f t="shared" si="73"/>
        <v>HOLDING REGISTER</v>
      </c>
      <c r="O555" t="str">
        <f t="shared" si="74"/>
        <v>BOOL</v>
      </c>
      <c r="P555" t="str">
        <f t="shared" si="75"/>
        <v>INTERRUTTORE 22</v>
      </c>
      <c r="R555" t="str">
        <f t="shared" si="76"/>
        <v>QPIAZZ_SG -INTERRUTTORE SEGNALE LUMINOSO SCATTATO</v>
      </c>
      <c r="U555" t="str">
        <f t="shared" si="77"/>
        <v>Allarme</v>
      </c>
      <c r="V555" t="str">
        <f t="shared" si="78"/>
        <v>QPIAZZ_SG</v>
      </c>
      <c r="W555" t="str">
        <f t="shared" si="79"/>
        <v>GALLERIA SAN GIULIANO</v>
      </c>
      <c r="Z555" t="str">
        <f t="shared" si="80"/>
        <v>10.220.80.16</v>
      </c>
    </row>
    <row r="556" spans="1:26" x14ac:dyDescent="0.25">
      <c r="A556" t="s">
        <v>10</v>
      </c>
      <c r="B556" t="s">
        <v>1063</v>
      </c>
      <c r="C556" t="s">
        <v>1159</v>
      </c>
      <c r="D556" t="s">
        <v>205</v>
      </c>
      <c r="E556" t="s">
        <v>206</v>
      </c>
      <c r="F556" t="s">
        <v>14</v>
      </c>
      <c r="G556" t="s">
        <v>28</v>
      </c>
      <c r="H556" t="s">
        <v>22</v>
      </c>
      <c r="I556" t="s">
        <v>1204</v>
      </c>
      <c r="J556" t="s">
        <v>1205</v>
      </c>
      <c r="K556" t="str">
        <f t="shared" si="72"/>
        <v>1034.5</v>
      </c>
      <c r="N556" t="str">
        <f t="shared" si="73"/>
        <v>HOLDING REGISTER</v>
      </c>
      <c r="O556" t="str">
        <f t="shared" si="74"/>
        <v>BOOL</v>
      </c>
      <c r="P556" t="str">
        <f t="shared" si="75"/>
        <v>REMOTE I/O RIO</v>
      </c>
      <c r="R556" t="str">
        <f t="shared" si="76"/>
        <v>QPIAZZ_SG -ERRORE DI COMUNICAZIONE CON RIO</v>
      </c>
      <c r="U556" t="str">
        <f t="shared" si="77"/>
        <v>Allarme</v>
      </c>
      <c r="V556" t="str">
        <f t="shared" si="78"/>
        <v>QPIAZZ_SG</v>
      </c>
      <c r="W556" t="str">
        <f t="shared" si="79"/>
        <v>GALLERIA SAN GIULIANO</v>
      </c>
      <c r="Z556" t="str">
        <f t="shared" si="80"/>
        <v>10.220.80.16</v>
      </c>
    </row>
    <row r="557" spans="1:26" x14ac:dyDescent="0.25">
      <c r="A557" t="s">
        <v>10</v>
      </c>
      <c r="B557" t="s">
        <v>1206</v>
      </c>
      <c r="C557" t="s">
        <v>1207</v>
      </c>
      <c r="D557" t="s">
        <v>361</v>
      </c>
      <c r="E557">
        <v>1</v>
      </c>
      <c r="F557" t="s">
        <v>14</v>
      </c>
      <c r="G557" t="s">
        <v>21</v>
      </c>
      <c r="H557" t="s">
        <v>22</v>
      </c>
      <c r="I557" t="s">
        <v>1208</v>
      </c>
      <c r="J557" t="s">
        <v>1209</v>
      </c>
      <c r="K557" t="str">
        <f t="shared" si="72"/>
        <v>1034.6</v>
      </c>
      <c r="N557" t="str">
        <f t="shared" si="73"/>
        <v>HOLDING REGISTER</v>
      </c>
      <c r="O557" t="str">
        <f t="shared" si="74"/>
        <v>BOOL</v>
      </c>
      <c r="P557" t="str">
        <f t="shared" si="75"/>
        <v>SEZIONATORE 1</v>
      </c>
      <c r="R557" t="str">
        <f t="shared" si="76"/>
        <v>QACC1_CA -SEZIONATORE GENERALE QUADRO CHIUSO</v>
      </c>
      <c r="U557" t="str">
        <f t="shared" si="77"/>
        <v>Stato</v>
      </c>
      <c r="V557" t="str">
        <f t="shared" si="78"/>
        <v>QACC1_CA</v>
      </c>
      <c r="W557" t="str">
        <f t="shared" si="79"/>
        <v>GALLERIA CASOLA</v>
      </c>
      <c r="Z557" t="str">
        <f t="shared" si="80"/>
        <v>10.220.80.16</v>
      </c>
    </row>
    <row r="558" spans="1:26" x14ac:dyDescent="0.25">
      <c r="A558" t="s">
        <v>10</v>
      </c>
      <c r="B558" t="s">
        <v>1206</v>
      </c>
      <c r="C558" t="s">
        <v>1207</v>
      </c>
      <c r="D558" t="s">
        <v>1103</v>
      </c>
      <c r="E558" t="s">
        <v>1067</v>
      </c>
      <c r="F558" t="s">
        <v>14</v>
      </c>
      <c r="G558" t="s">
        <v>21</v>
      </c>
      <c r="H558" t="s">
        <v>22</v>
      </c>
      <c r="I558" t="s">
        <v>1210</v>
      </c>
      <c r="J558" t="s">
        <v>1211</v>
      </c>
      <c r="K558" t="str">
        <f t="shared" si="72"/>
        <v>1034.7</v>
      </c>
      <c r="N558" t="str">
        <f t="shared" si="73"/>
        <v>HOLDING REGISTER</v>
      </c>
      <c r="O558" t="str">
        <f t="shared" si="74"/>
        <v>BOOL</v>
      </c>
      <c r="P558" t="str">
        <f t="shared" si="75"/>
        <v>RELE' PRESENZA TENSIONE 1RPT1</v>
      </c>
      <c r="R558" t="str">
        <f t="shared" si="76"/>
        <v>QACC1_CA -PRESENZA RETE QUADRO</v>
      </c>
      <c r="U558" t="str">
        <f t="shared" si="77"/>
        <v>Stato</v>
      </c>
      <c r="V558" t="str">
        <f t="shared" si="78"/>
        <v>QACC1_CA</v>
      </c>
      <c r="W558" t="str">
        <f t="shared" si="79"/>
        <v>GALLERIA CASOLA</v>
      </c>
      <c r="Z558" t="str">
        <f t="shared" si="80"/>
        <v>10.220.80.16</v>
      </c>
    </row>
    <row r="559" spans="1:26" x14ac:dyDescent="0.25">
      <c r="A559" t="s">
        <v>10</v>
      </c>
      <c r="B559" t="s">
        <v>1206</v>
      </c>
      <c r="C559" t="s">
        <v>1207</v>
      </c>
      <c r="D559" t="s">
        <v>49</v>
      </c>
      <c r="E559">
        <v>3</v>
      </c>
      <c r="F559" t="s">
        <v>14</v>
      </c>
      <c r="G559" t="s">
        <v>21</v>
      </c>
      <c r="H559" t="s">
        <v>22</v>
      </c>
      <c r="I559" t="s">
        <v>1212</v>
      </c>
      <c r="J559" t="s">
        <v>1213</v>
      </c>
      <c r="K559" t="str">
        <f t="shared" si="72"/>
        <v>1034.8</v>
      </c>
      <c r="N559" t="str">
        <f t="shared" si="73"/>
        <v>HOLDING REGISTER</v>
      </c>
      <c r="O559" t="str">
        <f t="shared" si="74"/>
        <v>BOOL</v>
      </c>
      <c r="P559" t="str">
        <f t="shared" si="75"/>
        <v>INTERRUTTORE 3</v>
      </c>
      <c r="R559" t="str">
        <f t="shared" si="76"/>
        <v>QACC1_CA -INTERRUTTORE VENTILATORE PRESSURIZZAZIONE CHIUSO</v>
      </c>
      <c r="U559" t="str">
        <f t="shared" si="77"/>
        <v>Stato</v>
      </c>
      <c r="V559" t="str">
        <f t="shared" si="78"/>
        <v>QACC1_CA</v>
      </c>
      <c r="W559" t="str">
        <f t="shared" si="79"/>
        <v>GALLERIA CASOLA</v>
      </c>
      <c r="Z559" t="str">
        <f t="shared" si="80"/>
        <v>10.220.80.16</v>
      </c>
    </row>
    <row r="560" spans="1:26" x14ac:dyDescent="0.25">
      <c r="A560" t="s">
        <v>10</v>
      </c>
      <c r="B560" t="s">
        <v>1206</v>
      </c>
      <c r="C560" t="s">
        <v>1207</v>
      </c>
      <c r="D560" t="s">
        <v>49</v>
      </c>
      <c r="E560">
        <v>3</v>
      </c>
      <c r="F560" t="s">
        <v>14</v>
      </c>
      <c r="G560" t="s">
        <v>28</v>
      </c>
      <c r="H560" t="s">
        <v>22</v>
      </c>
      <c r="I560" t="s">
        <v>1214</v>
      </c>
      <c r="J560" t="s">
        <v>1215</v>
      </c>
      <c r="K560" t="str">
        <f t="shared" si="72"/>
        <v>1034.9</v>
      </c>
      <c r="N560" t="str">
        <f t="shared" si="73"/>
        <v>HOLDING REGISTER</v>
      </c>
      <c r="O560" t="str">
        <f t="shared" si="74"/>
        <v>BOOL</v>
      </c>
      <c r="P560" t="str">
        <f t="shared" si="75"/>
        <v>INTERRUTTORE 3</v>
      </c>
      <c r="R560" t="str">
        <f t="shared" si="76"/>
        <v>QACC1_CA -INTERRUTTORE VENTILATORE PRESSURIZZAZIONE SCATTATO</v>
      </c>
      <c r="U560" t="str">
        <f t="shared" si="77"/>
        <v>Allarme</v>
      </c>
      <c r="V560" t="str">
        <f t="shared" si="78"/>
        <v>QACC1_CA</v>
      </c>
      <c r="W560" t="str">
        <f t="shared" si="79"/>
        <v>GALLERIA CASOLA</v>
      </c>
      <c r="Z560" t="str">
        <f t="shared" si="80"/>
        <v>10.220.80.16</v>
      </c>
    </row>
    <row r="561" spans="1:26" x14ac:dyDescent="0.25">
      <c r="A561" t="s">
        <v>10</v>
      </c>
      <c r="B561" t="s">
        <v>1206</v>
      </c>
      <c r="C561" t="s">
        <v>1207</v>
      </c>
      <c r="D561" t="s">
        <v>49</v>
      </c>
      <c r="E561">
        <v>6</v>
      </c>
      <c r="F561" t="s">
        <v>14</v>
      </c>
      <c r="G561" t="s">
        <v>21</v>
      </c>
      <c r="H561" t="s">
        <v>22</v>
      </c>
      <c r="I561" t="s">
        <v>1216</v>
      </c>
      <c r="J561" t="s">
        <v>1217</v>
      </c>
      <c r="K561" t="str">
        <f t="shared" si="72"/>
        <v>1034.10</v>
      </c>
      <c r="N561" t="str">
        <f t="shared" si="73"/>
        <v>HOLDING REGISTER</v>
      </c>
      <c r="O561" t="str">
        <f t="shared" si="74"/>
        <v>BOOL</v>
      </c>
      <c r="P561" t="str">
        <f t="shared" si="75"/>
        <v>INTERRUTTORE 6</v>
      </c>
      <c r="R561" t="str">
        <f t="shared" si="76"/>
        <v>QACC1_CA -INTERRUTTORE TR1 400Vac/230Vac CHIUSO</v>
      </c>
      <c r="U561" t="str">
        <f t="shared" si="77"/>
        <v>Stato</v>
      </c>
      <c r="V561" t="str">
        <f t="shared" si="78"/>
        <v>QACC1_CA</v>
      </c>
      <c r="W561" t="str">
        <f t="shared" si="79"/>
        <v>GALLERIA CASOLA</v>
      </c>
      <c r="Z561" t="str">
        <f t="shared" si="80"/>
        <v>10.220.80.16</v>
      </c>
    </row>
    <row r="562" spans="1:26" x14ac:dyDescent="0.25">
      <c r="A562" t="s">
        <v>10</v>
      </c>
      <c r="B562" t="s">
        <v>1206</v>
      </c>
      <c r="C562" t="s">
        <v>1207</v>
      </c>
      <c r="D562" t="s">
        <v>49</v>
      </c>
      <c r="E562">
        <v>6</v>
      </c>
      <c r="F562" t="s">
        <v>14</v>
      </c>
      <c r="G562" t="s">
        <v>28</v>
      </c>
      <c r="H562" t="s">
        <v>22</v>
      </c>
      <c r="I562" t="s">
        <v>1218</v>
      </c>
      <c r="J562" t="s">
        <v>1219</v>
      </c>
      <c r="K562" t="str">
        <f t="shared" si="72"/>
        <v>1034.11</v>
      </c>
      <c r="N562" t="str">
        <f t="shared" si="73"/>
        <v>HOLDING REGISTER</v>
      </c>
      <c r="O562" t="str">
        <f t="shared" si="74"/>
        <v>BOOL</v>
      </c>
      <c r="P562" t="str">
        <f t="shared" si="75"/>
        <v>INTERRUTTORE 6</v>
      </c>
      <c r="R562" t="str">
        <f t="shared" si="76"/>
        <v>QACC1_CA -INTERRUTTORE TR1 400Vac/230Vac SCATTATO</v>
      </c>
      <c r="U562" t="str">
        <f t="shared" si="77"/>
        <v>Allarme</v>
      </c>
      <c r="V562" t="str">
        <f t="shared" si="78"/>
        <v>QACC1_CA</v>
      </c>
      <c r="W562" t="str">
        <f t="shared" si="79"/>
        <v>GALLERIA CASOLA</v>
      </c>
      <c r="Z562" t="str">
        <f t="shared" si="80"/>
        <v>10.220.80.16</v>
      </c>
    </row>
    <row r="563" spans="1:26" x14ac:dyDescent="0.25">
      <c r="A563" t="s">
        <v>10</v>
      </c>
      <c r="B563" t="s">
        <v>1206</v>
      </c>
      <c r="C563" t="s">
        <v>1207</v>
      </c>
      <c r="D563" t="s">
        <v>49</v>
      </c>
      <c r="E563">
        <v>12</v>
      </c>
      <c r="F563" t="s">
        <v>14</v>
      </c>
      <c r="G563" t="s">
        <v>21</v>
      </c>
      <c r="H563" t="s">
        <v>22</v>
      </c>
      <c r="I563" t="s">
        <v>1220</v>
      </c>
      <c r="J563" t="s">
        <v>1221</v>
      </c>
      <c r="K563" t="str">
        <f t="shared" si="72"/>
        <v>1034.12</v>
      </c>
      <c r="N563" t="str">
        <f t="shared" si="73"/>
        <v>HOLDING REGISTER</v>
      </c>
      <c r="O563" t="str">
        <f t="shared" si="74"/>
        <v>BOOL</v>
      </c>
      <c r="P563" t="str">
        <f t="shared" si="75"/>
        <v>INTERRUTTORE 12</v>
      </c>
      <c r="R563" t="str">
        <f t="shared" si="76"/>
        <v>QACC1_CA -INTERRUTTORE QUADRO ELEVATORE CHIUSO</v>
      </c>
      <c r="U563" t="str">
        <f t="shared" si="77"/>
        <v>Stato</v>
      </c>
      <c r="V563" t="str">
        <f t="shared" si="78"/>
        <v>QACC1_CA</v>
      </c>
      <c r="W563" t="str">
        <f t="shared" si="79"/>
        <v>GALLERIA CASOLA</v>
      </c>
      <c r="Z563" t="str">
        <f t="shared" si="80"/>
        <v>10.220.80.16</v>
      </c>
    </row>
    <row r="564" spans="1:26" x14ac:dyDescent="0.25">
      <c r="A564" t="s">
        <v>10</v>
      </c>
      <c r="B564" t="s">
        <v>1206</v>
      </c>
      <c r="C564" t="s">
        <v>1207</v>
      </c>
      <c r="D564" t="s">
        <v>49</v>
      </c>
      <c r="E564">
        <v>12</v>
      </c>
      <c r="F564" t="s">
        <v>14</v>
      </c>
      <c r="G564" t="s">
        <v>28</v>
      </c>
      <c r="H564" t="s">
        <v>22</v>
      </c>
      <c r="I564" t="s">
        <v>1222</v>
      </c>
      <c r="J564" t="s">
        <v>1223</v>
      </c>
      <c r="K564" t="str">
        <f t="shared" si="72"/>
        <v>1034.13</v>
      </c>
      <c r="N564" t="str">
        <f t="shared" si="73"/>
        <v>HOLDING REGISTER</v>
      </c>
      <c r="O564" t="str">
        <f t="shared" si="74"/>
        <v>BOOL</v>
      </c>
      <c r="P564" t="str">
        <f t="shared" si="75"/>
        <v>INTERRUTTORE 12</v>
      </c>
      <c r="R564" t="str">
        <f t="shared" si="76"/>
        <v>QACC1_CA -INTERRUTTORE QUADRO ELEVATORE SCATTATO</v>
      </c>
      <c r="U564" t="str">
        <f t="shared" si="77"/>
        <v>Allarme</v>
      </c>
      <c r="V564" t="str">
        <f t="shared" si="78"/>
        <v>QACC1_CA</v>
      </c>
      <c r="W564" t="str">
        <f t="shared" si="79"/>
        <v>GALLERIA CASOLA</v>
      </c>
      <c r="Z564" t="str">
        <f t="shared" si="80"/>
        <v>10.220.80.16</v>
      </c>
    </row>
    <row r="565" spans="1:26" x14ac:dyDescent="0.25">
      <c r="A565" t="s">
        <v>10</v>
      </c>
      <c r="B565" t="s">
        <v>1206</v>
      </c>
      <c r="C565" t="s">
        <v>1207</v>
      </c>
      <c r="D565" t="s">
        <v>49</v>
      </c>
      <c r="E565">
        <v>13</v>
      </c>
      <c r="F565" t="s">
        <v>14</v>
      </c>
      <c r="G565" t="s">
        <v>21</v>
      </c>
      <c r="H565" t="s">
        <v>22</v>
      </c>
      <c r="I565" t="s">
        <v>1224</v>
      </c>
      <c r="J565" t="s">
        <v>1225</v>
      </c>
      <c r="K565" t="str">
        <f t="shared" si="72"/>
        <v>1034.14</v>
      </c>
      <c r="N565" t="str">
        <f t="shared" si="73"/>
        <v>HOLDING REGISTER</v>
      </c>
      <c r="O565" t="str">
        <f t="shared" si="74"/>
        <v>BOOL</v>
      </c>
      <c r="P565" t="str">
        <f t="shared" si="75"/>
        <v>INTERRUTTORE 13</v>
      </c>
      <c r="R565" t="str">
        <f t="shared" si="76"/>
        <v>QACC1_CA -INTERRUTTORE QUADRO SERVOSCALA CHIUSO</v>
      </c>
      <c r="U565" t="str">
        <f t="shared" si="77"/>
        <v>Stato</v>
      </c>
      <c r="V565" t="str">
        <f t="shared" si="78"/>
        <v>QACC1_CA</v>
      </c>
      <c r="W565" t="str">
        <f t="shared" si="79"/>
        <v>GALLERIA CASOLA</v>
      </c>
      <c r="Z565" t="str">
        <f t="shared" si="80"/>
        <v>10.220.80.16</v>
      </c>
    </row>
    <row r="566" spans="1:26" x14ac:dyDescent="0.25">
      <c r="A566" t="s">
        <v>10</v>
      </c>
      <c r="B566" t="s">
        <v>1206</v>
      </c>
      <c r="C566" t="s">
        <v>1207</v>
      </c>
      <c r="D566" t="s">
        <v>49</v>
      </c>
      <c r="E566">
        <v>13</v>
      </c>
      <c r="F566" t="s">
        <v>14</v>
      </c>
      <c r="G566" t="s">
        <v>28</v>
      </c>
      <c r="H566" t="s">
        <v>22</v>
      </c>
      <c r="I566" t="s">
        <v>1226</v>
      </c>
      <c r="J566" t="s">
        <v>1227</v>
      </c>
      <c r="K566" t="str">
        <f t="shared" si="72"/>
        <v>1034.15</v>
      </c>
      <c r="N566" t="str">
        <f t="shared" si="73"/>
        <v>HOLDING REGISTER</v>
      </c>
      <c r="O566" t="str">
        <f t="shared" si="74"/>
        <v>BOOL</v>
      </c>
      <c r="P566" t="str">
        <f t="shared" si="75"/>
        <v>INTERRUTTORE 13</v>
      </c>
      <c r="R566" t="str">
        <f t="shared" si="76"/>
        <v>QACC1_CA -INTERRUTTORE QUADRO SERVOSCALA SCATTATO</v>
      </c>
      <c r="U566" t="str">
        <f t="shared" si="77"/>
        <v>Allarme</v>
      </c>
      <c r="V566" t="str">
        <f t="shared" si="78"/>
        <v>QACC1_CA</v>
      </c>
      <c r="W566" t="str">
        <f t="shared" si="79"/>
        <v>GALLERIA CASOLA</v>
      </c>
      <c r="Z566" t="str">
        <f t="shared" si="80"/>
        <v>10.220.80.16</v>
      </c>
    </row>
    <row r="567" spans="1:26" x14ac:dyDescent="0.25">
      <c r="A567" t="s">
        <v>10</v>
      </c>
      <c r="B567" t="s">
        <v>1206</v>
      </c>
      <c r="C567" t="s">
        <v>1207</v>
      </c>
      <c r="D567" t="s">
        <v>49</v>
      </c>
      <c r="E567">
        <v>17</v>
      </c>
      <c r="F567" t="s">
        <v>14</v>
      </c>
      <c r="G567" t="s">
        <v>21</v>
      </c>
      <c r="H567" t="s">
        <v>22</v>
      </c>
      <c r="I567" t="s">
        <v>1228</v>
      </c>
      <c r="J567" t="s">
        <v>1229</v>
      </c>
      <c r="K567" t="str">
        <f t="shared" si="72"/>
        <v>1035.0</v>
      </c>
      <c r="N567" t="str">
        <f t="shared" si="73"/>
        <v>HOLDING REGISTER</v>
      </c>
      <c r="O567" t="str">
        <f t="shared" si="74"/>
        <v>BOOL</v>
      </c>
      <c r="P567" t="str">
        <f t="shared" si="75"/>
        <v>INTERRUTTORE 17</v>
      </c>
      <c r="R567" t="str">
        <f t="shared" si="76"/>
        <v>QACC1_CA -INTERRUTTORE SOS ACCESSO 1 CHIUSO</v>
      </c>
      <c r="U567" t="str">
        <f t="shared" si="77"/>
        <v>Stato</v>
      </c>
      <c r="V567" t="str">
        <f t="shared" si="78"/>
        <v>QACC1_CA</v>
      </c>
      <c r="W567" t="str">
        <f t="shared" si="79"/>
        <v>GALLERIA CASOLA</v>
      </c>
      <c r="Z567" t="str">
        <f t="shared" si="80"/>
        <v>10.220.80.16</v>
      </c>
    </row>
    <row r="568" spans="1:26" x14ac:dyDescent="0.25">
      <c r="A568" t="s">
        <v>10</v>
      </c>
      <c r="B568" t="s">
        <v>1206</v>
      </c>
      <c r="C568" t="s">
        <v>1207</v>
      </c>
      <c r="D568" t="s">
        <v>49</v>
      </c>
      <c r="E568">
        <v>17</v>
      </c>
      <c r="F568" t="s">
        <v>14</v>
      </c>
      <c r="G568" t="s">
        <v>28</v>
      </c>
      <c r="H568" t="s">
        <v>22</v>
      </c>
      <c r="I568" t="s">
        <v>1230</v>
      </c>
      <c r="J568" t="s">
        <v>1231</v>
      </c>
      <c r="K568" t="str">
        <f t="shared" si="72"/>
        <v>1035.1</v>
      </c>
      <c r="N568" t="str">
        <f t="shared" si="73"/>
        <v>HOLDING REGISTER</v>
      </c>
      <c r="O568" t="str">
        <f t="shared" si="74"/>
        <v>BOOL</v>
      </c>
      <c r="P568" t="str">
        <f t="shared" si="75"/>
        <v>INTERRUTTORE 17</v>
      </c>
      <c r="R568" t="str">
        <f t="shared" si="76"/>
        <v>QACC1_CA -INTERRUTTORE SOS ACCESSO 1 SCATTATO</v>
      </c>
      <c r="U568" t="str">
        <f t="shared" si="77"/>
        <v>Allarme</v>
      </c>
      <c r="V568" t="str">
        <f t="shared" si="78"/>
        <v>QACC1_CA</v>
      </c>
      <c r="W568" t="str">
        <f t="shared" si="79"/>
        <v>GALLERIA CASOLA</v>
      </c>
      <c r="Z568" t="str">
        <f t="shared" si="80"/>
        <v>10.220.80.16</v>
      </c>
    </row>
    <row r="569" spans="1:26" x14ac:dyDescent="0.25">
      <c r="A569" t="s">
        <v>10</v>
      </c>
      <c r="B569" t="s">
        <v>1206</v>
      </c>
      <c r="C569" t="s">
        <v>1207</v>
      </c>
      <c r="D569" t="s">
        <v>49</v>
      </c>
      <c r="E569">
        <v>19</v>
      </c>
      <c r="F569" t="s">
        <v>14</v>
      </c>
      <c r="G569" t="s">
        <v>21</v>
      </c>
      <c r="H569" t="s">
        <v>22</v>
      </c>
      <c r="I569" t="s">
        <v>1232</v>
      </c>
      <c r="J569" t="s">
        <v>1233</v>
      </c>
      <c r="K569" t="str">
        <f t="shared" si="72"/>
        <v>1035.2</v>
      </c>
      <c r="N569" t="str">
        <f t="shared" si="73"/>
        <v>HOLDING REGISTER</v>
      </c>
      <c r="O569" t="str">
        <f t="shared" si="74"/>
        <v>BOOL</v>
      </c>
      <c r="P569" t="str">
        <f t="shared" si="75"/>
        <v>INTERRUTTORE 19</v>
      </c>
      <c r="R569" t="str">
        <f t="shared" si="76"/>
        <v>QACC1_CA -INTERRUTTORE SERRANDA TAGLIAFUOCO CHIUSO</v>
      </c>
      <c r="U569" t="str">
        <f t="shared" si="77"/>
        <v>Stato</v>
      </c>
      <c r="V569" t="str">
        <f t="shared" si="78"/>
        <v>QACC1_CA</v>
      </c>
      <c r="W569" t="str">
        <f t="shared" si="79"/>
        <v>GALLERIA CASOLA</v>
      </c>
      <c r="Z569" t="str">
        <f t="shared" si="80"/>
        <v>10.220.80.16</v>
      </c>
    </row>
    <row r="570" spans="1:26" x14ac:dyDescent="0.25">
      <c r="A570" t="s">
        <v>10</v>
      </c>
      <c r="B570" t="s">
        <v>1206</v>
      </c>
      <c r="C570" t="s">
        <v>1207</v>
      </c>
      <c r="D570" t="s">
        <v>49</v>
      </c>
      <c r="E570">
        <v>19</v>
      </c>
      <c r="F570" t="s">
        <v>14</v>
      </c>
      <c r="G570" t="s">
        <v>28</v>
      </c>
      <c r="H570" t="s">
        <v>22</v>
      </c>
      <c r="I570" t="s">
        <v>1234</v>
      </c>
      <c r="J570" t="s">
        <v>1235</v>
      </c>
      <c r="K570" t="str">
        <f t="shared" si="72"/>
        <v>1035.3</v>
      </c>
      <c r="N570" t="str">
        <f t="shared" si="73"/>
        <v>HOLDING REGISTER</v>
      </c>
      <c r="O570" t="str">
        <f t="shared" si="74"/>
        <v>BOOL</v>
      </c>
      <c r="P570" t="str">
        <f t="shared" si="75"/>
        <v>INTERRUTTORE 19</v>
      </c>
      <c r="R570" t="str">
        <f t="shared" si="76"/>
        <v>QACC1_CA -INTERRUTTORE SERRANDA TAGLIAFUOCO SCATTATO</v>
      </c>
      <c r="U570" t="str">
        <f t="shared" si="77"/>
        <v>Allarme</v>
      </c>
      <c r="V570" t="str">
        <f t="shared" si="78"/>
        <v>QACC1_CA</v>
      </c>
      <c r="W570" t="str">
        <f t="shared" si="79"/>
        <v>GALLERIA CASOLA</v>
      </c>
      <c r="Z570" t="str">
        <f t="shared" si="80"/>
        <v>10.220.80.16</v>
      </c>
    </row>
    <row r="571" spans="1:26" x14ac:dyDescent="0.25">
      <c r="A571" t="s">
        <v>10</v>
      </c>
      <c r="B571" t="s">
        <v>1206</v>
      </c>
      <c r="C571" t="s">
        <v>1207</v>
      </c>
      <c r="D571" t="s">
        <v>49</v>
      </c>
      <c r="E571">
        <v>21</v>
      </c>
      <c r="F571" t="s">
        <v>14</v>
      </c>
      <c r="G571" t="s">
        <v>21</v>
      </c>
      <c r="H571" t="s">
        <v>22</v>
      </c>
      <c r="I571" t="s">
        <v>1236</v>
      </c>
      <c r="J571" t="s">
        <v>1237</v>
      </c>
      <c r="K571" t="str">
        <f t="shared" si="72"/>
        <v>1035.4</v>
      </c>
      <c r="N571" t="str">
        <f t="shared" si="73"/>
        <v>HOLDING REGISTER</v>
      </c>
      <c r="O571" t="str">
        <f t="shared" si="74"/>
        <v>BOOL</v>
      </c>
      <c r="P571" t="str">
        <f t="shared" si="75"/>
        <v>INTERRUTTORE 21</v>
      </c>
      <c r="R571" t="str">
        <f t="shared" si="76"/>
        <v>QACC1_CA -INTERRUTTORE LUCE E LUCE EMG CHIUSO</v>
      </c>
      <c r="U571" t="str">
        <f t="shared" si="77"/>
        <v>Stato</v>
      </c>
      <c r="V571" t="str">
        <f t="shared" si="78"/>
        <v>QACC1_CA</v>
      </c>
      <c r="W571" t="str">
        <f t="shared" si="79"/>
        <v>GALLERIA CASOLA</v>
      </c>
      <c r="Z571" t="str">
        <f t="shared" si="80"/>
        <v>10.220.80.16</v>
      </c>
    </row>
    <row r="572" spans="1:26" x14ac:dyDescent="0.25">
      <c r="A572" t="s">
        <v>10</v>
      </c>
      <c r="B572" t="s">
        <v>1206</v>
      </c>
      <c r="C572" t="s">
        <v>1207</v>
      </c>
      <c r="D572" t="s">
        <v>49</v>
      </c>
      <c r="E572">
        <v>21</v>
      </c>
      <c r="F572" t="s">
        <v>14</v>
      </c>
      <c r="G572" t="s">
        <v>28</v>
      </c>
      <c r="H572" t="s">
        <v>22</v>
      </c>
      <c r="I572" t="s">
        <v>1238</v>
      </c>
      <c r="J572" t="s">
        <v>1239</v>
      </c>
      <c r="K572" t="str">
        <f t="shared" si="72"/>
        <v>1035.5</v>
      </c>
      <c r="N572" t="str">
        <f t="shared" si="73"/>
        <v>HOLDING REGISTER</v>
      </c>
      <c r="O572" t="str">
        <f t="shared" si="74"/>
        <v>BOOL</v>
      </c>
      <c r="P572" t="str">
        <f t="shared" si="75"/>
        <v>INTERRUTTORE 21</v>
      </c>
      <c r="R572" t="str">
        <f t="shared" si="76"/>
        <v>QACC1_CA -INTERRUTTORE LUCE E LUCE EMG SCATTATO</v>
      </c>
      <c r="U572" t="str">
        <f t="shared" si="77"/>
        <v>Allarme</v>
      </c>
      <c r="V572" t="str">
        <f t="shared" si="78"/>
        <v>QACC1_CA</v>
      </c>
      <c r="W572" t="str">
        <f t="shared" si="79"/>
        <v>GALLERIA CASOLA</v>
      </c>
      <c r="Z572" t="str">
        <f t="shared" si="80"/>
        <v>10.220.80.16</v>
      </c>
    </row>
    <row r="573" spans="1:26" x14ac:dyDescent="0.25">
      <c r="A573" t="s">
        <v>10</v>
      </c>
      <c r="B573" t="s">
        <v>1206</v>
      </c>
      <c r="C573" t="s">
        <v>1207</v>
      </c>
      <c r="D573" t="s">
        <v>49</v>
      </c>
      <c r="E573">
        <v>22</v>
      </c>
      <c r="F573" t="s">
        <v>14</v>
      </c>
      <c r="G573" t="s">
        <v>21</v>
      </c>
      <c r="H573" t="s">
        <v>22</v>
      </c>
      <c r="I573" t="s">
        <v>1240</v>
      </c>
      <c r="J573" t="s">
        <v>1241</v>
      </c>
      <c r="K573" t="str">
        <f t="shared" si="72"/>
        <v>1035.6</v>
      </c>
      <c r="N573" t="str">
        <f t="shared" si="73"/>
        <v>HOLDING REGISTER</v>
      </c>
      <c r="O573" t="str">
        <f t="shared" si="74"/>
        <v>BOOL</v>
      </c>
      <c r="P573" t="str">
        <f t="shared" si="75"/>
        <v>INTERRUTTORE 22</v>
      </c>
      <c r="R573" t="str">
        <f t="shared" si="76"/>
        <v>QACC1_CA -INTERRUTTORE SEGN. LUMINOSO CHIUSO</v>
      </c>
      <c r="U573" t="str">
        <f t="shared" si="77"/>
        <v>Stato</v>
      </c>
      <c r="V573" t="str">
        <f t="shared" si="78"/>
        <v>QACC1_CA</v>
      </c>
      <c r="W573" t="str">
        <f t="shared" si="79"/>
        <v>GALLERIA CASOLA</v>
      </c>
      <c r="Z573" t="str">
        <f t="shared" si="80"/>
        <v>10.220.80.16</v>
      </c>
    </row>
    <row r="574" spans="1:26" x14ac:dyDescent="0.25">
      <c r="A574" t="s">
        <v>10</v>
      </c>
      <c r="B574" t="s">
        <v>1206</v>
      </c>
      <c r="C574" t="s">
        <v>1207</v>
      </c>
      <c r="D574" t="s">
        <v>49</v>
      </c>
      <c r="E574">
        <v>22</v>
      </c>
      <c r="F574" t="s">
        <v>14</v>
      </c>
      <c r="G574" t="s">
        <v>28</v>
      </c>
      <c r="H574" t="s">
        <v>22</v>
      </c>
      <c r="I574" t="s">
        <v>1242</v>
      </c>
      <c r="J574" t="s">
        <v>1243</v>
      </c>
      <c r="K574" t="str">
        <f t="shared" si="72"/>
        <v>1035.7</v>
      </c>
      <c r="N574" t="str">
        <f t="shared" si="73"/>
        <v>HOLDING REGISTER</v>
      </c>
      <c r="O574" t="str">
        <f t="shared" si="74"/>
        <v>BOOL</v>
      </c>
      <c r="P574" t="str">
        <f t="shared" si="75"/>
        <v>INTERRUTTORE 22</v>
      </c>
      <c r="R574" t="str">
        <f t="shared" si="76"/>
        <v>QACC1_CA -INTERRUTTORE SEGN. LUMINOSO SCATTATO</v>
      </c>
      <c r="U574" t="str">
        <f t="shared" si="77"/>
        <v>Allarme</v>
      </c>
      <c r="V574" t="str">
        <f t="shared" si="78"/>
        <v>QACC1_CA</v>
      </c>
      <c r="W574" t="str">
        <f t="shared" si="79"/>
        <v>GALLERIA CASOLA</v>
      </c>
      <c r="Z574" t="str">
        <f t="shared" si="80"/>
        <v>10.220.80.16</v>
      </c>
    </row>
    <row r="575" spans="1:26" x14ac:dyDescent="0.25">
      <c r="A575" t="s">
        <v>10</v>
      </c>
      <c r="B575" t="s">
        <v>1206</v>
      </c>
      <c r="C575" t="s">
        <v>1207</v>
      </c>
      <c r="D575" t="s">
        <v>205</v>
      </c>
      <c r="E575" t="s">
        <v>206</v>
      </c>
      <c r="F575" t="s">
        <v>14</v>
      </c>
      <c r="G575" t="s">
        <v>28</v>
      </c>
      <c r="H575" t="s">
        <v>22</v>
      </c>
      <c r="I575" t="s">
        <v>1244</v>
      </c>
      <c r="J575" t="s">
        <v>1245</v>
      </c>
      <c r="K575" t="str">
        <f t="shared" si="72"/>
        <v>1035.8</v>
      </c>
      <c r="N575" t="str">
        <f t="shared" si="73"/>
        <v>HOLDING REGISTER</v>
      </c>
      <c r="O575" t="str">
        <f t="shared" si="74"/>
        <v>BOOL</v>
      </c>
      <c r="P575" t="str">
        <f t="shared" si="75"/>
        <v>REMOTE I/O RIO</v>
      </c>
      <c r="R575" t="str">
        <f t="shared" si="76"/>
        <v>QACC1_CA -ERRORE DI COMUNICAZIONE CON RIO</v>
      </c>
      <c r="U575" t="str">
        <f t="shared" si="77"/>
        <v>Allarme</v>
      </c>
      <c r="V575" t="str">
        <f t="shared" si="78"/>
        <v>QACC1_CA</v>
      </c>
      <c r="W575" t="str">
        <f t="shared" si="79"/>
        <v>GALLERIA CASOLA</v>
      </c>
      <c r="Z575" t="str">
        <f t="shared" si="80"/>
        <v>10.220.80.16</v>
      </c>
    </row>
    <row r="576" spans="1:26" x14ac:dyDescent="0.25">
      <c r="A576" t="s">
        <v>10</v>
      </c>
      <c r="B576" t="s">
        <v>1206</v>
      </c>
      <c r="C576" t="s">
        <v>1246</v>
      </c>
      <c r="D576" t="s">
        <v>361</v>
      </c>
      <c r="E576">
        <v>1</v>
      </c>
      <c r="F576" t="s">
        <v>14</v>
      </c>
      <c r="G576" t="s">
        <v>21</v>
      </c>
      <c r="H576" t="s">
        <v>22</v>
      </c>
      <c r="I576" t="s">
        <v>1247</v>
      </c>
      <c r="J576" t="s">
        <v>1248</v>
      </c>
      <c r="K576" t="str">
        <f t="shared" si="72"/>
        <v>1035.9</v>
      </c>
      <c r="N576" t="str">
        <f t="shared" si="73"/>
        <v>HOLDING REGISTER</v>
      </c>
      <c r="O576" t="str">
        <f t="shared" si="74"/>
        <v>BOOL</v>
      </c>
      <c r="P576" t="str">
        <f t="shared" si="75"/>
        <v>SEZIONATORE 1</v>
      </c>
      <c r="R576" t="str">
        <f t="shared" si="76"/>
        <v>QPIAZZ_CA -SEZIONATORE GENERALE QUADRO CHIUSO</v>
      </c>
      <c r="U576" t="str">
        <f t="shared" si="77"/>
        <v>Stato</v>
      </c>
      <c r="V576" t="str">
        <f t="shared" si="78"/>
        <v>QPIAZZ_CA</v>
      </c>
      <c r="W576" t="str">
        <f t="shared" si="79"/>
        <v>GALLERIA CASOLA</v>
      </c>
      <c r="Z576" t="str">
        <f t="shared" si="80"/>
        <v>10.220.80.16</v>
      </c>
    </row>
    <row r="577" spans="1:26" x14ac:dyDescent="0.25">
      <c r="A577" t="s">
        <v>10</v>
      </c>
      <c r="B577" t="s">
        <v>1206</v>
      </c>
      <c r="C577" t="s">
        <v>1246</v>
      </c>
      <c r="D577" t="s">
        <v>1103</v>
      </c>
      <c r="E577" t="s">
        <v>1067</v>
      </c>
      <c r="F577" t="s">
        <v>14</v>
      </c>
      <c r="G577" t="s">
        <v>21</v>
      </c>
      <c r="H577" t="s">
        <v>22</v>
      </c>
      <c r="I577" t="s">
        <v>1249</v>
      </c>
      <c r="J577" t="s">
        <v>1250</v>
      </c>
      <c r="K577" t="str">
        <f t="shared" si="72"/>
        <v>1035.10</v>
      </c>
      <c r="N577" t="str">
        <f t="shared" si="73"/>
        <v>HOLDING REGISTER</v>
      </c>
      <c r="O577" t="str">
        <f t="shared" si="74"/>
        <v>BOOL</v>
      </c>
      <c r="P577" t="str">
        <f t="shared" si="75"/>
        <v>RELE' PRESENZA TENSIONE 1RPT1</v>
      </c>
      <c r="R577" t="str">
        <f t="shared" si="76"/>
        <v>QPIAZZ_CA -PRESENZA RETE QUADRO</v>
      </c>
      <c r="U577" t="str">
        <f t="shared" si="77"/>
        <v>Stato</v>
      </c>
      <c r="V577" t="str">
        <f t="shared" si="78"/>
        <v>QPIAZZ_CA</v>
      </c>
      <c r="W577" t="str">
        <f t="shared" si="79"/>
        <v>GALLERIA CASOLA</v>
      </c>
      <c r="Z577" t="str">
        <f t="shared" si="80"/>
        <v>10.220.80.16</v>
      </c>
    </row>
    <row r="578" spans="1:26" x14ac:dyDescent="0.25">
      <c r="A578" t="s">
        <v>10</v>
      </c>
      <c r="B578" t="s">
        <v>1206</v>
      </c>
      <c r="C578" t="s">
        <v>1246</v>
      </c>
      <c r="D578" t="s">
        <v>49</v>
      </c>
      <c r="E578">
        <v>3</v>
      </c>
      <c r="F578" t="s">
        <v>14</v>
      </c>
      <c r="G578" t="s">
        <v>21</v>
      </c>
      <c r="H578" t="s">
        <v>22</v>
      </c>
      <c r="I578" t="s">
        <v>1251</v>
      </c>
      <c r="J578" t="s">
        <v>1252</v>
      </c>
      <c r="K578" t="str">
        <f t="shared" si="72"/>
        <v>1035.11</v>
      </c>
      <c r="N578" t="str">
        <f t="shared" si="73"/>
        <v>HOLDING REGISTER</v>
      </c>
      <c r="O578" t="str">
        <f t="shared" si="74"/>
        <v>BOOL</v>
      </c>
      <c r="P578" t="str">
        <f t="shared" si="75"/>
        <v>INTERRUTTORE 3</v>
      </c>
      <c r="R578" t="str">
        <f t="shared" si="76"/>
        <v>QPIAZZ_CA -INTERRUTTORE VENTILATORE PRESSURIZZAZIONE CHIUSO</v>
      </c>
      <c r="U578" t="str">
        <f t="shared" si="77"/>
        <v>Stato</v>
      </c>
      <c r="V578" t="str">
        <f t="shared" si="78"/>
        <v>QPIAZZ_CA</v>
      </c>
      <c r="W578" t="str">
        <f t="shared" si="79"/>
        <v>GALLERIA CASOLA</v>
      </c>
      <c r="Z578" t="str">
        <f t="shared" si="80"/>
        <v>10.220.80.16</v>
      </c>
    </row>
    <row r="579" spans="1:26" x14ac:dyDescent="0.25">
      <c r="A579" t="s">
        <v>10</v>
      </c>
      <c r="B579" t="s">
        <v>1206</v>
      </c>
      <c r="C579" t="s">
        <v>1246</v>
      </c>
      <c r="D579" t="s">
        <v>49</v>
      </c>
      <c r="E579">
        <v>3</v>
      </c>
      <c r="F579" t="s">
        <v>14</v>
      </c>
      <c r="G579" t="s">
        <v>28</v>
      </c>
      <c r="H579" t="s">
        <v>22</v>
      </c>
      <c r="I579" t="s">
        <v>1253</v>
      </c>
      <c r="J579" t="s">
        <v>1254</v>
      </c>
      <c r="K579" t="str">
        <f t="shared" ref="K579:K642" si="81">IF(I579="","",I579)</f>
        <v>1035.12</v>
      </c>
      <c r="N579" t="str">
        <f t="shared" ref="N579:N642" si="82">IF(F579="","",F579)</f>
        <v>HOLDING REGISTER</v>
      </c>
      <c r="O579" t="str">
        <f t="shared" ref="O579:O642" si="83">IF(H579="","",H579)</f>
        <v>BOOL</v>
      </c>
      <c r="P579" t="str">
        <f t="shared" ref="P579:P642" si="84">_xlfn.CONCAT(D579," ",E579)</f>
        <v>INTERRUTTORE 3</v>
      </c>
      <c r="R579" t="str">
        <f t="shared" ref="R579:R642" si="85">IF(J579="","",J579)</f>
        <v>QPIAZZ_CA -INTERRUTTORE VENTILATORE PRESSURIZZAZIONE SCATTATO</v>
      </c>
      <c r="U579" t="str">
        <f t="shared" ref="U579:U642" si="86">IF(G579="","",G579)</f>
        <v>Allarme</v>
      </c>
      <c r="V579" t="str">
        <f t="shared" ref="V579:V642" si="87">IF(C579="","",C579)</f>
        <v>QPIAZZ_CA</v>
      </c>
      <c r="W579" t="str">
        <f t="shared" ref="W579:W642" si="88">IF(B579="","",B579)</f>
        <v>GALLERIA CASOLA</v>
      </c>
      <c r="Z579" t="str">
        <f t="shared" ref="Z579:Z642" si="89">IF(A579="","",A579)</f>
        <v>10.220.80.16</v>
      </c>
    </row>
    <row r="580" spans="1:26" x14ac:dyDescent="0.25">
      <c r="A580" t="s">
        <v>10</v>
      </c>
      <c r="B580" t="s">
        <v>1206</v>
      </c>
      <c r="C580" t="s">
        <v>1246</v>
      </c>
      <c r="D580" t="s">
        <v>49</v>
      </c>
      <c r="E580">
        <v>6</v>
      </c>
      <c r="F580" t="s">
        <v>14</v>
      </c>
      <c r="G580" t="s">
        <v>21</v>
      </c>
      <c r="H580" t="s">
        <v>22</v>
      </c>
      <c r="I580" t="s">
        <v>1255</v>
      </c>
      <c r="J580" t="s">
        <v>1256</v>
      </c>
      <c r="K580" t="str">
        <f t="shared" si="81"/>
        <v>1035.13</v>
      </c>
      <c r="N580" t="str">
        <f t="shared" si="82"/>
        <v>HOLDING REGISTER</v>
      </c>
      <c r="O580" t="str">
        <f t="shared" si="83"/>
        <v>BOOL</v>
      </c>
      <c r="P580" t="str">
        <f t="shared" si="84"/>
        <v>INTERRUTTORE 6</v>
      </c>
      <c r="R580" t="str">
        <f t="shared" si="85"/>
        <v>QPIAZZ_CA -INTERRUTTORE TR1 400Vac/230Vac CHIUSO</v>
      </c>
      <c r="U580" t="str">
        <f t="shared" si="86"/>
        <v>Stato</v>
      </c>
      <c r="V580" t="str">
        <f t="shared" si="87"/>
        <v>QPIAZZ_CA</v>
      </c>
      <c r="W580" t="str">
        <f t="shared" si="88"/>
        <v>GALLERIA CASOLA</v>
      </c>
      <c r="Z580" t="str">
        <f t="shared" si="89"/>
        <v>10.220.80.16</v>
      </c>
    </row>
    <row r="581" spans="1:26" x14ac:dyDescent="0.25">
      <c r="A581" t="s">
        <v>10</v>
      </c>
      <c r="B581" t="s">
        <v>1206</v>
      </c>
      <c r="C581" t="s">
        <v>1246</v>
      </c>
      <c r="D581" t="s">
        <v>49</v>
      </c>
      <c r="E581">
        <v>6</v>
      </c>
      <c r="F581" t="s">
        <v>14</v>
      </c>
      <c r="G581" t="s">
        <v>28</v>
      </c>
      <c r="H581" t="s">
        <v>22</v>
      </c>
      <c r="I581" t="s">
        <v>1257</v>
      </c>
      <c r="J581" t="s">
        <v>1258</v>
      </c>
      <c r="K581" t="str">
        <f t="shared" si="81"/>
        <v>1035.14</v>
      </c>
      <c r="N581" t="str">
        <f t="shared" si="82"/>
        <v>HOLDING REGISTER</v>
      </c>
      <c r="O581" t="str">
        <f t="shared" si="83"/>
        <v>BOOL</v>
      </c>
      <c r="P581" t="str">
        <f t="shared" si="84"/>
        <v>INTERRUTTORE 6</v>
      </c>
      <c r="R581" t="str">
        <f t="shared" si="85"/>
        <v>QPIAZZ_CA -INTERRUTTORE TR1 400Vac/230Vac SCATTATO</v>
      </c>
      <c r="U581" t="str">
        <f t="shared" si="86"/>
        <v>Allarme</v>
      </c>
      <c r="V581" t="str">
        <f t="shared" si="87"/>
        <v>QPIAZZ_CA</v>
      </c>
      <c r="W581" t="str">
        <f t="shared" si="88"/>
        <v>GALLERIA CASOLA</v>
      </c>
      <c r="Z581" t="str">
        <f t="shared" si="89"/>
        <v>10.220.80.16</v>
      </c>
    </row>
    <row r="582" spans="1:26" x14ac:dyDescent="0.25">
      <c r="A582" t="s">
        <v>10</v>
      </c>
      <c r="B582" t="s">
        <v>1206</v>
      </c>
      <c r="C582" t="s">
        <v>1246</v>
      </c>
      <c r="D582" t="s">
        <v>49</v>
      </c>
      <c r="E582">
        <v>12</v>
      </c>
      <c r="F582" t="s">
        <v>14</v>
      </c>
      <c r="G582" t="s">
        <v>21</v>
      </c>
      <c r="H582" t="s">
        <v>22</v>
      </c>
      <c r="I582" t="s">
        <v>1259</v>
      </c>
      <c r="J582" t="s">
        <v>1260</v>
      </c>
      <c r="K582" t="str">
        <f t="shared" si="81"/>
        <v>1035.15</v>
      </c>
      <c r="N582" t="str">
        <f t="shared" si="82"/>
        <v>HOLDING REGISTER</v>
      </c>
      <c r="O582" t="str">
        <f t="shared" si="83"/>
        <v>BOOL</v>
      </c>
      <c r="P582" t="str">
        <f t="shared" si="84"/>
        <v>INTERRUTTORE 12</v>
      </c>
      <c r="R582" t="str">
        <f t="shared" si="85"/>
        <v>QPIAZZ_CA -INTERRUTTORE QUADRO ELEVATORE CHIUSO</v>
      </c>
      <c r="U582" t="str">
        <f t="shared" si="86"/>
        <v>Stato</v>
      </c>
      <c r="V582" t="str">
        <f t="shared" si="87"/>
        <v>QPIAZZ_CA</v>
      </c>
      <c r="W582" t="str">
        <f t="shared" si="88"/>
        <v>GALLERIA CASOLA</v>
      </c>
      <c r="Z582" t="str">
        <f t="shared" si="89"/>
        <v>10.220.80.16</v>
      </c>
    </row>
    <row r="583" spans="1:26" x14ac:dyDescent="0.25">
      <c r="A583" t="s">
        <v>10</v>
      </c>
      <c r="B583" t="s">
        <v>1206</v>
      </c>
      <c r="C583" t="s">
        <v>1246</v>
      </c>
      <c r="D583" t="s">
        <v>49</v>
      </c>
      <c r="E583">
        <v>12</v>
      </c>
      <c r="F583" t="s">
        <v>14</v>
      </c>
      <c r="G583" t="s">
        <v>28</v>
      </c>
      <c r="H583" t="s">
        <v>22</v>
      </c>
      <c r="I583" t="s">
        <v>1261</v>
      </c>
      <c r="J583" t="s">
        <v>1262</v>
      </c>
      <c r="K583" t="str">
        <f t="shared" si="81"/>
        <v>1036.0</v>
      </c>
      <c r="N583" t="str">
        <f t="shared" si="82"/>
        <v>HOLDING REGISTER</v>
      </c>
      <c r="O583" t="str">
        <f t="shared" si="83"/>
        <v>BOOL</v>
      </c>
      <c r="P583" t="str">
        <f t="shared" si="84"/>
        <v>INTERRUTTORE 12</v>
      </c>
      <c r="R583" t="str">
        <f t="shared" si="85"/>
        <v>QPIAZZ_CA -INTERRUTTORE QUADRO ELEVATORE SCATTATO</v>
      </c>
      <c r="U583" t="str">
        <f t="shared" si="86"/>
        <v>Allarme</v>
      </c>
      <c r="V583" t="str">
        <f t="shared" si="87"/>
        <v>QPIAZZ_CA</v>
      </c>
      <c r="W583" t="str">
        <f t="shared" si="88"/>
        <v>GALLERIA CASOLA</v>
      </c>
      <c r="Z583" t="str">
        <f t="shared" si="89"/>
        <v>10.220.80.16</v>
      </c>
    </row>
    <row r="584" spans="1:26" x14ac:dyDescent="0.25">
      <c r="A584" t="s">
        <v>10</v>
      </c>
      <c r="B584" t="s">
        <v>1206</v>
      </c>
      <c r="C584" t="s">
        <v>1246</v>
      </c>
      <c r="D584" t="s">
        <v>49</v>
      </c>
      <c r="E584">
        <v>13</v>
      </c>
      <c r="F584" t="s">
        <v>14</v>
      </c>
      <c r="G584" t="s">
        <v>21</v>
      </c>
      <c r="H584" t="s">
        <v>22</v>
      </c>
      <c r="I584" t="s">
        <v>1263</v>
      </c>
      <c r="J584" t="s">
        <v>1264</v>
      </c>
      <c r="K584" t="str">
        <f t="shared" si="81"/>
        <v>1036.1</v>
      </c>
      <c r="N584" t="str">
        <f t="shared" si="82"/>
        <v>HOLDING REGISTER</v>
      </c>
      <c r="O584" t="str">
        <f t="shared" si="83"/>
        <v>BOOL</v>
      </c>
      <c r="P584" t="str">
        <f t="shared" si="84"/>
        <v>INTERRUTTORE 13</v>
      </c>
      <c r="R584" t="str">
        <f t="shared" si="85"/>
        <v>QPIAZZ_CA -INTERRUTTORE QUADRO SERVOSCALA P2 CHIUSO</v>
      </c>
      <c r="U584" t="str">
        <f t="shared" si="86"/>
        <v>Stato</v>
      </c>
      <c r="V584" t="str">
        <f t="shared" si="87"/>
        <v>QPIAZZ_CA</v>
      </c>
      <c r="W584" t="str">
        <f t="shared" si="88"/>
        <v>GALLERIA CASOLA</v>
      </c>
      <c r="Z584" t="str">
        <f t="shared" si="89"/>
        <v>10.220.80.16</v>
      </c>
    </row>
    <row r="585" spans="1:26" x14ac:dyDescent="0.25">
      <c r="A585" t="s">
        <v>10</v>
      </c>
      <c r="B585" t="s">
        <v>1206</v>
      </c>
      <c r="C585" t="s">
        <v>1246</v>
      </c>
      <c r="D585" t="s">
        <v>49</v>
      </c>
      <c r="E585">
        <v>13</v>
      </c>
      <c r="F585" t="s">
        <v>14</v>
      </c>
      <c r="G585" t="s">
        <v>28</v>
      </c>
      <c r="H585" t="s">
        <v>22</v>
      </c>
      <c r="I585" t="s">
        <v>1265</v>
      </c>
      <c r="J585" t="s">
        <v>1266</v>
      </c>
      <c r="K585" t="str">
        <f t="shared" si="81"/>
        <v>1036.2</v>
      </c>
      <c r="N585" t="str">
        <f t="shared" si="82"/>
        <v>HOLDING REGISTER</v>
      </c>
      <c r="O585" t="str">
        <f t="shared" si="83"/>
        <v>BOOL</v>
      </c>
      <c r="P585" t="str">
        <f t="shared" si="84"/>
        <v>INTERRUTTORE 13</v>
      </c>
      <c r="R585" t="str">
        <f t="shared" si="85"/>
        <v>QPIAZZ_CA -INTERRUTTORE QUADRO SERVOSCALA P2 SCATTATO</v>
      </c>
      <c r="U585" t="str">
        <f t="shared" si="86"/>
        <v>Allarme</v>
      </c>
      <c r="V585" t="str">
        <f t="shared" si="87"/>
        <v>QPIAZZ_CA</v>
      </c>
      <c r="W585" t="str">
        <f t="shared" si="88"/>
        <v>GALLERIA CASOLA</v>
      </c>
      <c r="Z585" t="str">
        <f t="shared" si="89"/>
        <v>10.220.80.16</v>
      </c>
    </row>
    <row r="586" spans="1:26" x14ac:dyDescent="0.25">
      <c r="A586" t="s">
        <v>10</v>
      </c>
      <c r="B586" t="s">
        <v>1206</v>
      </c>
      <c r="C586" t="s">
        <v>1246</v>
      </c>
      <c r="D586" t="s">
        <v>49</v>
      </c>
      <c r="E586">
        <v>15</v>
      </c>
      <c r="F586" t="s">
        <v>14</v>
      </c>
      <c r="G586" t="s">
        <v>21</v>
      </c>
      <c r="H586" t="s">
        <v>22</v>
      </c>
      <c r="I586" t="s">
        <v>1267</v>
      </c>
      <c r="J586" t="s">
        <v>1268</v>
      </c>
      <c r="K586" t="str">
        <f t="shared" si="81"/>
        <v>1036.3</v>
      </c>
      <c r="N586" t="str">
        <f t="shared" si="82"/>
        <v>HOLDING REGISTER</v>
      </c>
      <c r="O586" t="str">
        <f t="shared" si="83"/>
        <v>BOOL</v>
      </c>
      <c r="P586" t="str">
        <f t="shared" si="84"/>
        <v>INTERRUTTORE 15</v>
      </c>
      <c r="R586" t="str">
        <f t="shared" si="85"/>
        <v>QPIAZZ_CA -INTERRUTTORE CO-OP VIA ESODO SOSPESA CHIUSO</v>
      </c>
      <c r="U586" t="str">
        <f t="shared" si="86"/>
        <v>Stato</v>
      </c>
      <c r="V586" t="str">
        <f t="shared" si="87"/>
        <v>QPIAZZ_CA</v>
      </c>
      <c r="W586" t="str">
        <f t="shared" si="88"/>
        <v>GALLERIA CASOLA</v>
      </c>
      <c r="Z586" t="str">
        <f t="shared" si="89"/>
        <v>10.220.80.16</v>
      </c>
    </row>
    <row r="587" spans="1:26" x14ac:dyDescent="0.25">
      <c r="A587" t="s">
        <v>10</v>
      </c>
      <c r="B587" t="s">
        <v>1206</v>
      </c>
      <c r="C587" t="s">
        <v>1246</v>
      </c>
      <c r="D587" t="s">
        <v>49</v>
      </c>
      <c r="E587">
        <v>15</v>
      </c>
      <c r="F587" t="s">
        <v>14</v>
      </c>
      <c r="G587" t="s">
        <v>28</v>
      </c>
      <c r="H587" t="s">
        <v>22</v>
      </c>
      <c r="I587" t="s">
        <v>1269</v>
      </c>
      <c r="J587" t="s">
        <v>1270</v>
      </c>
      <c r="K587" t="str">
        <f t="shared" si="81"/>
        <v>1036.4</v>
      </c>
      <c r="N587" t="str">
        <f t="shared" si="82"/>
        <v>HOLDING REGISTER</v>
      </c>
      <c r="O587" t="str">
        <f t="shared" si="83"/>
        <v>BOOL</v>
      </c>
      <c r="P587" t="str">
        <f t="shared" si="84"/>
        <v>INTERRUTTORE 15</v>
      </c>
      <c r="R587" t="str">
        <f t="shared" si="85"/>
        <v>QPIAZZ_CA -INTERRUTTORE CO-OP VIA ESODO SOSPESA SCATTATO</v>
      </c>
      <c r="U587" t="str">
        <f t="shared" si="86"/>
        <v>Allarme</v>
      </c>
      <c r="V587" t="str">
        <f t="shared" si="87"/>
        <v>QPIAZZ_CA</v>
      </c>
      <c r="W587" t="str">
        <f t="shared" si="88"/>
        <v>GALLERIA CASOLA</v>
      </c>
      <c r="Z587" t="str">
        <f t="shared" si="89"/>
        <v>10.220.80.16</v>
      </c>
    </row>
    <row r="588" spans="1:26" x14ac:dyDescent="0.25">
      <c r="A588" t="s">
        <v>10</v>
      </c>
      <c r="B588" t="s">
        <v>1206</v>
      </c>
      <c r="C588" t="s">
        <v>1246</v>
      </c>
      <c r="D588" t="s">
        <v>49</v>
      </c>
      <c r="E588">
        <v>16</v>
      </c>
      <c r="F588" t="s">
        <v>14</v>
      </c>
      <c r="G588" t="s">
        <v>21</v>
      </c>
      <c r="H588" t="s">
        <v>22</v>
      </c>
      <c r="I588" t="s">
        <v>1271</v>
      </c>
      <c r="J588" t="s">
        <v>1272</v>
      </c>
      <c r="K588" t="str">
        <f t="shared" si="81"/>
        <v>1036.5</v>
      </c>
      <c r="N588" t="str">
        <f t="shared" si="82"/>
        <v>HOLDING REGISTER</v>
      </c>
      <c r="O588" t="str">
        <f t="shared" si="83"/>
        <v>BOOL</v>
      </c>
      <c r="P588" t="str">
        <f t="shared" si="84"/>
        <v>INTERRUTTORE 16</v>
      </c>
      <c r="R588" t="str">
        <f t="shared" si="85"/>
        <v>QPIAZZ_CA -INTERRUTTORE ANEMOMETRO VIA ESODO SOSPESA CHIUSO</v>
      </c>
      <c r="U588" t="str">
        <f t="shared" si="86"/>
        <v>Stato</v>
      </c>
      <c r="V588" t="str">
        <f t="shared" si="87"/>
        <v>QPIAZZ_CA</v>
      </c>
      <c r="W588" t="str">
        <f t="shared" si="88"/>
        <v>GALLERIA CASOLA</v>
      </c>
      <c r="Z588" t="str">
        <f t="shared" si="89"/>
        <v>10.220.80.16</v>
      </c>
    </row>
    <row r="589" spans="1:26" x14ac:dyDescent="0.25">
      <c r="A589" t="s">
        <v>10</v>
      </c>
      <c r="B589" t="s">
        <v>1206</v>
      </c>
      <c r="C589" t="s">
        <v>1246</v>
      </c>
      <c r="D589" t="s">
        <v>49</v>
      </c>
      <c r="E589">
        <v>16</v>
      </c>
      <c r="F589" t="s">
        <v>14</v>
      </c>
      <c r="G589" t="s">
        <v>28</v>
      </c>
      <c r="H589" t="s">
        <v>22</v>
      </c>
      <c r="I589" t="s">
        <v>1273</v>
      </c>
      <c r="J589" t="s">
        <v>1274</v>
      </c>
      <c r="K589" t="str">
        <f t="shared" si="81"/>
        <v>1036.6</v>
      </c>
      <c r="N589" t="str">
        <f t="shared" si="82"/>
        <v>HOLDING REGISTER</v>
      </c>
      <c r="O589" t="str">
        <f t="shared" si="83"/>
        <v>BOOL</v>
      </c>
      <c r="P589" t="str">
        <f t="shared" si="84"/>
        <v>INTERRUTTORE 16</v>
      </c>
      <c r="R589" t="str">
        <f t="shared" si="85"/>
        <v>QPIAZZ_CA -INTERRUTTORE ANEMOMETRO VIA ESODO SOSPESA SCATTATO</v>
      </c>
      <c r="U589" t="str">
        <f t="shared" si="86"/>
        <v>Allarme</v>
      </c>
      <c r="V589" t="str">
        <f t="shared" si="87"/>
        <v>QPIAZZ_CA</v>
      </c>
      <c r="W589" t="str">
        <f t="shared" si="88"/>
        <v>GALLERIA CASOLA</v>
      </c>
      <c r="Z589" t="str">
        <f t="shared" si="89"/>
        <v>10.220.80.16</v>
      </c>
    </row>
    <row r="590" spans="1:26" x14ac:dyDescent="0.25">
      <c r="A590" t="s">
        <v>10</v>
      </c>
      <c r="B590" t="s">
        <v>1206</v>
      </c>
      <c r="C590" t="s">
        <v>1246</v>
      </c>
      <c r="D590" t="s">
        <v>49</v>
      </c>
      <c r="E590">
        <v>17</v>
      </c>
      <c r="F590" t="s">
        <v>14</v>
      </c>
      <c r="G590" t="s">
        <v>21</v>
      </c>
      <c r="H590" t="s">
        <v>22</v>
      </c>
      <c r="I590" t="s">
        <v>1275</v>
      </c>
      <c r="J590" t="s">
        <v>1276</v>
      </c>
      <c r="K590" t="str">
        <f t="shared" si="81"/>
        <v>1036.7</v>
      </c>
      <c r="N590" t="str">
        <f t="shared" si="82"/>
        <v>HOLDING REGISTER</v>
      </c>
      <c r="O590" t="str">
        <f t="shared" si="83"/>
        <v>BOOL</v>
      </c>
      <c r="P590" t="str">
        <f t="shared" si="84"/>
        <v>INTERRUTTORE 17</v>
      </c>
      <c r="R590" t="str">
        <f t="shared" si="85"/>
        <v>QPIAZZ_CA -INTERRUTTORE SOS PIAZZOLA CHIUSO</v>
      </c>
      <c r="U590" t="str">
        <f t="shared" si="86"/>
        <v>Stato</v>
      </c>
      <c r="V590" t="str">
        <f t="shared" si="87"/>
        <v>QPIAZZ_CA</v>
      </c>
      <c r="W590" t="str">
        <f t="shared" si="88"/>
        <v>GALLERIA CASOLA</v>
      </c>
      <c r="Z590" t="str">
        <f t="shared" si="89"/>
        <v>10.220.80.16</v>
      </c>
    </row>
    <row r="591" spans="1:26" x14ac:dyDescent="0.25">
      <c r="A591" t="s">
        <v>10</v>
      </c>
      <c r="B591" t="s">
        <v>1206</v>
      </c>
      <c r="C591" t="s">
        <v>1246</v>
      </c>
      <c r="D591" t="s">
        <v>49</v>
      </c>
      <c r="E591">
        <v>17</v>
      </c>
      <c r="F591" t="s">
        <v>14</v>
      </c>
      <c r="G591" t="s">
        <v>28</v>
      </c>
      <c r="H591" t="s">
        <v>22</v>
      </c>
      <c r="I591" t="s">
        <v>1277</v>
      </c>
      <c r="J591" t="s">
        <v>1278</v>
      </c>
      <c r="K591" t="str">
        <f t="shared" si="81"/>
        <v>1036.8</v>
      </c>
      <c r="N591" t="str">
        <f t="shared" si="82"/>
        <v>HOLDING REGISTER</v>
      </c>
      <c r="O591" t="str">
        <f t="shared" si="83"/>
        <v>BOOL</v>
      </c>
      <c r="P591" t="str">
        <f t="shared" si="84"/>
        <v>INTERRUTTORE 17</v>
      </c>
      <c r="R591" t="str">
        <f t="shared" si="85"/>
        <v>QPIAZZ_CA -INTERRUTTORE SOS PIAZZOLA SCATTATO</v>
      </c>
      <c r="U591" t="str">
        <f t="shared" si="86"/>
        <v>Allarme</v>
      </c>
      <c r="V591" t="str">
        <f t="shared" si="87"/>
        <v>QPIAZZ_CA</v>
      </c>
      <c r="W591" t="str">
        <f t="shared" si="88"/>
        <v>GALLERIA CASOLA</v>
      </c>
      <c r="Z591" t="str">
        <f t="shared" si="89"/>
        <v>10.220.80.16</v>
      </c>
    </row>
    <row r="592" spans="1:26" x14ac:dyDescent="0.25">
      <c r="A592" t="s">
        <v>10</v>
      </c>
      <c r="B592" t="s">
        <v>1206</v>
      </c>
      <c r="C592" t="s">
        <v>1246</v>
      </c>
      <c r="D592" t="s">
        <v>49</v>
      </c>
      <c r="E592">
        <v>19</v>
      </c>
      <c r="F592" t="s">
        <v>14</v>
      </c>
      <c r="G592" t="s">
        <v>21</v>
      </c>
      <c r="H592" t="s">
        <v>22</v>
      </c>
      <c r="I592" t="s">
        <v>1279</v>
      </c>
      <c r="J592" t="s">
        <v>1280</v>
      </c>
      <c r="K592" t="str">
        <f t="shared" si="81"/>
        <v>1036.9</v>
      </c>
      <c r="N592" t="str">
        <f t="shared" si="82"/>
        <v>HOLDING REGISTER</v>
      </c>
      <c r="O592" t="str">
        <f t="shared" si="83"/>
        <v>BOOL</v>
      </c>
      <c r="P592" t="str">
        <f t="shared" si="84"/>
        <v>INTERRUTTORE 19</v>
      </c>
      <c r="R592" t="str">
        <f t="shared" si="85"/>
        <v>QPIAZZ_CA -INTERRUTTORE SERRANDA TAGLIAFUOCO CHIUSO</v>
      </c>
      <c r="U592" t="str">
        <f t="shared" si="86"/>
        <v>Stato</v>
      </c>
      <c r="V592" t="str">
        <f t="shared" si="87"/>
        <v>QPIAZZ_CA</v>
      </c>
      <c r="W592" t="str">
        <f t="shared" si="88"/>
        <v>GALLERIA CASOLA</v>
      </c>
      <c r="Z592" t="str">
        <f t="shared" si="89"/>
        <v>10.220.80.16</v>
      </c>
    </row>
    <row r="593" spans="1:26" x14ac:dyDescent="0.25">
      <c r="A593" t="s">
        <v>10</v>
      </c>
      <c r="B593" t="s">
        <v>1206</v>
      </c>
      <c r="C593" t="s">
        <v>1246</v>
      </c>
      <c r="D593" t="s">
        <v>49</v>
      </c>
      <c r="E593">
        <v>19</v>
      </c>
      <c r="F593" t="s">
        <v>14</v>
      </c>
      <c r="G593" t="s">
        <v>28</v>
      </c>
      <c r="H593" t="s">
        <v>22</v>
      </c>
      <c r="I593" t="s">
        <v>1281</v>
      </c>
      <c r="J593" t="s">
        <v>1282</v>
      </c>
      <c r="K593" t="str">
        <f t="shared" si="81"/>
        <v>1036.10</v>
      </c>
      <c r="N593" t="str">
        <f t="shared" si="82"/>
        <v>HOLDING REGISTER</v>
      </c>
      <c r="O593" t="str">
        <f t="shared" si="83"/>
        <v>BOOL</v>
      </c>
      <c r="P593" t="str">
        <f t="shared" si="84"/>
        <v>INTERRUTTORE 19</v>
      </c>
      <c r="R593" t="str">
        <f t="shared" si="85"/>
        <v>QPIAZZ_CA -INTERRUTTORE SERRANDA TAGLIAFUOCO SCATTATO</v>
      </c>
      <c r="U593" t="str">
        <f t="shared" si="86"/>
        <v>Allarme</v>
      </c>
      <c r="V593" t="str">
        <f t="shared" si="87"/>
        <v>QPIAZZ_CA</v>
      </c>
      <c r="W593" t="str">
        <f t="shared" si="88"/>
        <v>GALLERIA CASOLA</v>
      </c>
      <c r="Z593" t="str">
        <f t="shared" si="89"/>
        <v>10.220.80.16</v>
      </c>
    </row>
    <row r="594" spans="1:26" x14ac:dyDescent="0.25">
      <c r="A594" t="s">
        <v>10</v>
      </c>
      <c r="B594" t="s">
        <v>1206</v>
      </c>
      <c r="C594" t="s">
        <v>1246</v>
      </c>
      <c r="D594" t="s">
        <v>49</v>
      </c>
      <c r="E594">
        <v>21</v>
      </c>
      <c r="F594" t="s">
        <v>14</v>
      </c>
      <c r="G594" t="s">
        <v>21</v>
      </c>
      <c r="H594" t="s">
        <v>22</v>
      </c>
      <c r="I594" t="s">
        <v>1283</v>
      </c>
      <c r="J594" t="s">
        <v>1284</v>
      </c>
      <c r="K594" t="str">
        <f t="shared" si="81"/>
        <v>1036.11</v>
      </c>
      <c r="N594" t="str">
        <f t="shared" si="82"/>
        <v>HOLDING REGISTER</v>
      </c>
      <c r="O594" t="str">
        <f t="shared" si="83"/>
        <v>BOOL</v>
      </c>
      <c r="P594" t="str">
        <f t="shared" si="84"/>
        <v>INTERRUTTORE 21</v>
      </c>
      <c r="R594" t="str">
        <f t="shared" si="85"/>
        <v>QPIAZZ_CA -INTERRUTTORE LUCE E LUCE EMG CHIUSO</v>
      </c>
      <c r="U594" t="str">
        <f t="shared" si="86"/>
        <v>Stato</v>
      </c>
      <c r="V594" t="str">
        <f t="shared" si="87"/>
        <v>QPIAZZ_CA</v>
      </c>
      <c r="W594" t="str">
        <f t="shared" si="88"/>
        <v>GALLERIA CASOLA</v>
      </c>
      <c r="Z594" t="str">
        <f t="shared" si="89"/>
        <v>10.220.80.16</v>
      </c>
    </row>
    <row r="595" spans="1:26" x14ac:dyDescent="0.25">
      <c r="A595" t="s">
        <v>10</v>
      </c>
      <c r="B595" t="s">
        <v>1206</v>
      </c>
      <c r="C595" t="s">
        <v>1246</v>
      </c>
      <c r="D595" t="s">
        <v>49</v>
      </c>
      <c r="E595">
        <v>21</v>
      </c>
      <c r="F595" t="s">
        <v>14</v>
      </c>
      <c r="G595" t="s">
        <v>28</v>
      </c>
      <c r="H595" t="s">
        <v>22</v>
      </c>
      <c r="I595" t="s">
        <v>1285</v>
      </c>
      <c r="J595" t="s">
        <v>1286</v>
      </c>
      <c r="K595" t="str">
        <f t="shared" si="81"/>
        <v>1036.12</v>
      </c>
      <c r="N595" t="str">
        <f t="shared" si="82"/>
        <v>HOLDING REGISTER</v>
      </c>
      <c r="O595" t="str">
        <f t="shared" si="83"/>
        <v>BOOL</v>
      </c>
      <c r="P595" t="str">
        <f t="shared" si="84"/>
        <v>INTERRUTTORE 21</v>
      </c>
      <c r="R595" t="str">
        <f t="shared" si="85"/>
        <v>QPIAZZ_CA -INTERRUTTORE LUCE E LUCE EMG SCATTATO</v>
      </c>
      <c r="U595" t="str">
        <f t="shared" si="86"/>
        <v>Allarme</v>
      </c>
      <c r="V595" t="str">
        <f t="shared" si="87"/>
        <v>QPIAZZ_CA</v>
      </c>
      <c r="W595" t="str">
        <f t="shared" si="88"/>
        <v>GALLERIA CASOLA</v>
      </c>
      <c r="Z595" t="str">
        <f t="shared" si="89"/>
        <v>10.220.80.16</v>
      </c>
    </row>
    <row r="596" spans="1:26" x14ac:dyDescent="0.25">
      <c r="A596" t="s">
        <v>10</v>
      </c>
      <c r="B596" t="s">
        <v>1206</v>
      </c>
      <c r="C596" t="s">
        <v>1246</v>
      </c>
      <c r="D596" t="s">
        <v>49</v>
      </c>
      <c r="E596">
        <v>22</v>
      </c>
      <c r="F596" t="s">
        <v>14</v>
      </c>
      <c r="G596" t="s">
        <v>21</v>
      </c>
      <c r="H596" t="s">
        <v>22</v>
      </c>
      <c r="I596" t="s">
        <v>1287</v>
      </c>
      <c r="J596" t="s">
        <v>1288</v>
      </c>
      <c r="K596" t="str">
        <f t="shared" si="81"/>
        <v>1036.13</v>
      </c>
      <c r="N596" t="str">
        <f t="shared" si="82"/>
        <v>HOLDING REGISTER</v>
      </c>
      <c r="O596" t="str">
        <f t="shared" si="83"/>
        <v>BOOL</v>
      </c>
      <c r="P596" t="str">
        <f t="shared" si="84"/>
        <v>INTERRUTTORE 22</v>
      </c>
      <c r="R596" t="str">
        <f t="shared" si="85"/>
        <v>QPIAZZ_CA -INTERRUTTORE SEGNALE LUMINOSO CHIUSO</v>
      </c>
      <c r="U596" t="str">
        <f t="shared" si="86"/>
        <v>Stato</v>
      </c>
      <c r="V596" t="str">
        <f t="shared" si="87"/>
        <v>QPIAZZ_CA</v>
      </c>
      <c r="W596" t="str">
        <f t="shared" si="88"/>
        <v>GALLERIA CASOLA</v>
      </c>
      <c r="Z596" t="str">
        <f t="shared" si="89"/>
        <v>10.220.80.16</v>
      </c>
    </row>
    <row r="597" spans="1:26" x14ac:dyDescent="0.25">
      <c r="A597" t="s">
        <v>10</v>
      </c>
      <c r="B597" t="s">
        <v>1206</v>
      </c>
      <c r="C597" t="s">
        <v>1246</v>
      </c>
      <c r="D597" t="s">
        <v>49</v>
      </c>
      <c r="E597">
        <v>22</v>
      </c>
      <c r="F597" t="s">
        <v>14</v>
      </c>
      <c r="G597" t="s">
        <v>28</v>
      </c>
      <c r="H597" t="s">
        <v>22</v>
      </c>
      <c r="I597" t="s">
        <v>1289</v>
      </c>
      <c r="J597" t="s">
        <v>1290</v>
      </c>
      <c r="K597" t="str">
        <f t="shared" si="81"/>
        <v>1036.14</v>
      </c>
      <c r="N597" t="str">
        <f t="shared" si="82"/>
        <v>HOLDING REGISTER</v>
      </c>
      <c r="O597" t="str">
        <f t="shared" si="83"/>
        <v>BOOL</v>
      </c>
      <c r="P597" t="str">
        <f t="shared" si="84"/>
        <v>INTERRUTTORE 22</v>
      </c>
      <c r="R597" t="str">
        <f t="shared" si="85"/>
        <v>QPIAZZ_CA -INTERRUTTORE SEGNALE LUMINOSO SCATTATO</v>
      </c>
      <c r="U597" t="str">
        <f t="shared" si="86"/>
        <v>Allarme</v>
      </c>
      <c r="V597" t="str">
        <f t="shared" si="87"/>
        <v>QPIAZZ_CA</v>
      </c>
      <c r="W597" t="str">
        <f t="shared" si="88"/>
        <v>GALLERIA CASOLA</v>
      </c>
      <c r="Z597" t="str">
        <f t="shared" si="89"/>
        <v>10.220.80.16</v>
      </c>
    </row>
    <row r="598" spans="1:26" x14ac:dyDescent="0.25">
      <c r="A598" t="s">
        <v>10</v>
      </c>
      <c r="B598" t="s">
        <v>1206</v>
      </c>
      <c r="C598" t="s">
        <v>1246</v>
      </c>
      <c r="D598" t="s">
        <v>205</v>
      </c>
      <c r="E598" t="s">
        <v>206</v>
      </c>
      <c r="F598" t="s">
        <v>14</v>
      </c>
      <c r="G598" t="s">
        <v>28</v>
      </c>
      <c r="H598" t="s">
        <v>22</v>
      </c>
      <c r="I598" t="s">
        <v>1291</v>
      </c>
      <c r="J598" t="s">
        <v>1292</v>
      </c>
      <c r="K598" t="str">
        <f t="shared" si="81"/>
        <v>1036.15</v>
      </c>
      <c r="N598" t="str">
        <f t="shared" si="82"/>
        <v>HOLDING REGISTER</v>
      </c>
      <c r="O598" t="str">
        <f t="shared" si="83"/>
        <v>BOOL</v>
      </c>
      <c r="P598" t="str">
        <f t="shared" si="84"/>
        <v>REMOTE I/O RIO</v>
      </c>
      <c r="R598" t="str">
        <f t="shared" si="85"/>
        <v>QPIAZZ_CA -ERRORE DI COMUNICAZIONE CON RIO</v>
      </c>
      <c r="U598" t="str">
        <f t="shared" si="86"/>
        <v>Allarme</v>
      </c>
      <c r="V598" t="str">
        <f t="shared" si="87"/>
        <v>QPIAZZ_CA</v>
      </c>
      <c r="W598" t="str">
        <f t="shared" si="88"/>
        <v>GALLERIA CASOLA</v>
      </c>
      <c r="Z598" t="str">
        <f t="shared" si="89"/>
        <v>10.220.80.16</v>
      </c>
    </row>
    <row r="599" spans="1:26" x14ac:dyDescent="0.25">
      <c r="A599" t="s">
        <v>10</v>
      </c>
      <c r="B599" t="s">
        <v>11</v>
      </c>
      <c r="C599" t="s">
        <v>89</v>
      </c>
      <c r="D599" t="s">
        <v>1293</v>
      </c>
      <c r="E599" t="s">
        <v>1294</v>
      </c>
      <c r="F599" t="s">
        <v>14</v>
      </c>
      <c r="G599" t="s">
        <v>15</v>
      </c>
      <c r="H599" t="s">
        <v>1295</v>
      </c>
      <c r="I599">
        <v>1100</v>
      </c>
      <c r="J599" t="s">
        <v>1296</v>
      </c>
      <c r="K599">
        <f t="shared" si="81"/>
        <v>1100</v>
      </c>
      <c r="N599" t="str">
        <f t="shared" si="82"/>
        <v>HOLDING REGISTER</v>
      </c>
      <c r="O599" t="str">
        <f t="shared" si="83"/>
        <v>REAL</v>
      </c>
      <c r="P599" t="str">
        <f t="shared" si="84"/>
        <v>POWER METER 1AN1</v>
      </c>
      <c r="R599" t="str">
        <f t="shared" si="85"/>
        <v>QGBT1 -CORRENTE I1</v>
      </c>
      <c r="U599" t="str">
        <f t="shared" si="86"/>
        <v>Misura</v>
      </c>
      <c r="V599" t="str">
        <f t="shared" si="87"/>
        <v>QGBT1</v>
      </c>
      <c r="W599" t="str">
        <f t="shared" si="88"/>
        <v>CABINA PRINCIPALE</v>
      </c>
      <c r="Z599" t="str">
        <f t="shared" si="89"/>
        <v>10.220.80.16</v>
      </c>
    </row>
    <row r="600" spans="1:26" x14ac:dyDescent="0.25">
      <c r="A600" t="s">
        <v>10</v>
      </c>
      <c r="B600" t="s">
        <v>11</v>
      </c>
      <c r="C600" t="s">
        <v>89</v>
      </c>
      <c r="D600" t="s">
        <v>1293</v>
      </c>
      <c r="E600" t="s">
        <v>1294</v>
      </c>
      <c r="F600" t="s">
        <v>14</v>
      </c>
      <c r="G600" t="s">
        <v>15</v>
      </c>
      <c r="H600" t="s">
        <v>1295</v>
      </c>
      <c r="I600">
        <v>1102</v>
      </c>
      <c r="J600" t="s">
        <v>1297</v>
      </c>
      <c r="K600">
        <f t="shared" si="81"/>
        <v>1102</v>
      </c>
      <c r="N600" t="str">
        <f t="shared" si="82"/>
        <v>HOLDING REGISTER</v>
      </c>
      <c r="O600" t="str">
        <f t="shared" si="83"/>
        <v>REAL</v>
      </c>
      <c r="P600" t="str">
        <f t="shared" si="84"/>
        <v>POWER METER 1AN1</v>
      </c>
      <c r="R600" t="str">
        <f t="shared" si="85"/>
        <v>QGBT1 -CORRENTE I2</v>
      </c>
      <c r="U600" t="str">
        <f t="shared" si="86"/>
        <v>Misura</v>
      </c>
      <c r="V600" t="str">
        <f t="shared" si="87"/>
        <v>QGBT1</v>
      </c>
      <c r="W600" t="str">
        <f t="shared" si="88"/>
        <v>CABINA PRINCIPALE</v>
      </c>
      <c r="Z600" t="str">
        <f t="shared" si="89"/>
        <v>10.220.80.16</v>
      </c>
    </row>
    <row r="601" spans="1:26" x14ac:dyDescent="0.25">
      <c r="A601" t="s">
        <v>10</v>
      </c>
      <c r="B601" t="s">
        <v>11</v>
      </c>
      <c r="C601" t="s">
        <v>89</v>
      </c>
      <c r="D601" t="s">
        <v>1293</v>
      </c>
      <c r="E601" t="s">
        <v>1294</v>
      </c>
      <c r="F601" t="s">
        <v>14</v>
      </c>
      <c r="G601" t="s">
        <v>15</v>
      </c>
      <c r="H601" t="s">
        <v>1295</v>
      </c>
      <c r="I601">
        <v>1104</v>
      </c>
      <c r="J601" t="s">
        <v>1298</v>
      </c>
      <c r="K601">
        <f t="shared" si="81"/>
        <v>1104</v>
      </c>
      <c r="N601" t="str">
        <f t="shared" si="82"/>
        <v>HOLDING REGISTER</v>
      </c>
      <c r="O601" t="str">
        <f t="shared" si="83"/>
        <v>REAL</v>
      </c>
      <c r="P601" t="str">
        <f t="shared" si="84"/>
        <v>POWER METER 1AN1</v>
      </c>
      <c r="R601" t="str">
        <f t="shared" si="85"/>
        <v>QGBT1 -CORRENTE I3</v>
      </c>
      <c r="U601" t="str">
        <f t="shared" si="86"/>
        <v>Misura</v>
      </c>
      <c r="V601" t="str">
        <f t="shared" si="87"/>
        <v>QGBT1</v>
      </c>
      <c r="W601" t="str">
        <f t="shared" si="88"/>
        <v>CABINA PRINCIPALE</v>
      </c>
      <c r="Z601" t="str">
        <f t="shared" si="89"/>
        <v>10.220.80.16</v>
      </c>
    </row>
    <row r="602" spans="1:26" x14ac:dyDescent="0.25">
      <c r="A602" t="s">
        <v>10</v>
      </c>
      <c r="B602" t="s">
        <v>11</v>
      </c>
      <c r="C602" t="s">
        <v>89</v>
      </c>
      <c r="D602" t="s">
        <v>1293</v>
      </c>
      <c r="E602" t="s">
        <v>1294</v>
      </c>
      <c r="F602" t="s">
        <v>14</v>
      </c>
      <c r="G602" t="s">
        <v>15</v>
      </c>
      <c r="H602" t="s">
        <v>1295</v>
      </c>
      <c r="I602">
        <v>1106</v>
      </c>
      <c r="J602" t="s">
        <v>1299</v>
      </c>
      <c r="K602">
        <f t="shared" si="81"/>
        <v>1106</v>
      </c>
      <c r="N602" t="str">
        <f t="shared" si="82"/>
        <v>HOLDING REGISTER</v>
      </c>
      <c r="O602" t="str">
        <f t="shared" si="83"/>
        <v>REAL</v>
      </c>
      <c r="P602" t="str">
        <f t="shared" si="84"/>
        <v>POWER METER 1AN1</v>
      </c>
      <c r="R602" t="str">
        <f t="shared" si="85"/>
        <v>QGBT1 -CORRENTE IN</v>
      </c>
      <c r="U602" t="str">
        <f t="shared" si="86"/>
        <v>Misura</v>
      </c>
      <c r="V602" t="str">
        <f t="shared" si="87"/>
        <v>QGBT1</v>
      </c>
      <c r="W602" t="str">
        <f t="shared" si="88"/>
        <v>CABINA PRINCIPALE</v>
      </c>
      <c r="Z602" t="str">
        <f t="shared" si="89"/>
        <v>10.220.80.16</v>
      </c>
    </row>
    <row r="603" spans="1:26" x14ac:dyDescent="0.25">
      <c r="A603" t="s">
        <v>10</v>
      </c>
      <c r="B603" t="s">
        <v>11</v>
      </c>
      <c r="C603" t="s">
        <v>89</v>
      </c>
      <c r="D603" t="s">
        <v>1293</v>
      </c>
      <c r="E603" t="s">
        <v>1294</v>
      </c>
      <c r="F603" t="s">
        <v>14</v>
      </c>
      <c r="G603" t="s">
        <v>15</v>
      </c>
      <c r="H603" t="s">
        <v>1295</v>
      </c>
      <c r="I603">
        <v>1108</v>
      </c>
      <c r="J603" t="s">
        <v>1300</v>
      </c>
      <c r="K603">
        <f t="shared" si="81"/>
        <v>1108</v>
      </c>
      <c r="N603" t="str">
        <f t="shared" si="82"/>
        <v>HOLDING REGISTER</v>
      </c>
      <c r="O603" t="str">
        <f t="shared" si="83"/>
        <v>REAL</v>
      </c>
      <c r="P603" t="str">
        <f t="shared" si="84"/>
        <v>POWER METER 1AN1</v>
      </c>
      <c r="R603" t="str">
        <f t="shared" si="85"/>
        <v>QGBT1 -TENSIONE U12</v>
      </c>
      <c r="U603" t="str">
        <f t="shared" si="86"/>
        <v>Misura</v>
      </c>
      <c r="V603" t="str">
        <f t="shared" si="87"/>
        <v>QGBT1</v>
      </c>
      <c r="W603" t="str">
        <f t="shared" si="88"/>
        <v>CABINA PRINCIPALE</v>
      </c>
      <c r="Z603" t="str">
        <f t="shared" si="89"/>
        <v>10.220.80.16</v>
      </c>
    </row>
    <row r="604" spans="1:26" x14ac:dyDescent="0.25">
      <c r="A604" t="s">
        <v>10</v>
      </c>
      <c r="B604" t="s">
        <v>11</v>
      </c>
      <c r="C604" t="s">
        <v>89</v>
      </c>
      <c r="D604" t="s">
        <v>1293</v>
      </c>
      <c r="E604" t="s">
        <v>1294</v>
      </c>
      <c r="F604" t="s">
        <v>14</v>
      </c>
      <c r="G604" t="s">
        <v>15</v>
      </c>
      <c r="H604" t="s">
        <v>1295</v>
      </c>
      <c r="I604">
        <v>1110</v>
      </c>
      <c r="J604" t="s">
        <v>1301</v>
      </c>
      <c r="K604">
        <f t="shared" si="81"/>
        <v>1110</v>
      </c>
      <c r="N604" t="str">
        <f t="shared" si="82"/>
        <v>HOLDING REGISTER</v>
      </c>
      <c r="O604" t="str">
        <f t="shared" si="83"/>
        <v>REAL</v>
      </c>
      <c r="P604" t="str">
        <f t="shared" si="84"/>
        <v>POWER METER 1AN1</v>
      </c>
      <c r="R604" t="str">
        <f t="shared" si="85"/>
        <v>QGBT1 -TENSIONE U23</v>
      </c>
      <c r="U604" t="str">
        <f t="shared" si="86"/>
        <v>Misura</v>
      </c>
      <c r="V604" t="str">
        <f t="shared" si="87"/>
        <v>QGBT1</v>
      </c>
      <c r="W604" t="str">
        <f t="shared" si="88"/>
        <v>CABINA PRINCIPALE</v>
      </c>
      <c r="Z604" t="str">
        <f t="shared" si="89"/>
        <v>10.220.80.16</v>
      </c>
    </row>
    <row r="605" spans="1:26" x14ac:dyDescent="0.25">
      <c r="A605" t="s">
        <v>10</v>
      </c>
      <c r="B605" t="s">
        <v>11</v>
      </c>
      <c r="C605" t="s">
        <v>89</v>
      </c>
      <c r="D605" t="s">
        <v>1293</v>
      </c>
      <c r="E605" t="s">
        <v>1294</v>
      </c>
      <c r="F605" t="s">
        <v>14</v>
      </c>
      <c r="G605" t="s">
        <v>15</v>
      </c>
      <c r="H605" t="s">
        <v>1295</v>
      </c>
      <c r="I605">
        <v>1112</v>
      </c>
      <c r="J605" t="s">
        <v>1302</v>
      </c>
      <c r="K605">
        <f t="shared" si="81"/>
        <v>1112</v>
      </c>
      <c r="N605" t="str">
        <f t="shared" si="82"/>
        <v>HOLDING REGISTER</v>
      </c>
      <c r="O605" t="str">
        <f t="shared" si="83"/>
        <v>REAL</v>
      </c>
      <c r="P605" t="str">
        <f t="shared" si="84"/>
        <v>POWER METER 1AN1</v>
      </c>
      <c r="R605" t="str">
        <f t="shared" si="85"/>
        <v>QGBT1 -TENSIONE U31</v>
      </c>
      <c r="U605" t="str">
        <f t="shared" si="86"/>
        <v>Misura</v>
      </c>
      <c r="V605" t="str">
        <f t="shared" si="87"/>
        <v>QGBT1</v>
      </c>
      <c r="W605" t="str">
        <f t="shared" si="88"/>
        <v>CABINA PRINCIPALE</v>
      </c>
      <c r="Z605" t="str">
        <f t="shared" si="89"/>
        <v>10.220.80.16</v>
      </c>
    </row>
    <row r="606" spans="1:26" x14ac:dyDescent="0.25">
      <c r="A606" t="s">
        <v>10</v>
      </c>
      <c r="B606" t="s">
        <v>11</v>
      </c>
      <c r="C606" t="s">
        <v>89</v>
      </c>
      <c r="D606" t="s">
        <v>1293</v>
      </c>
      <c r="E606" t="s">
        <v>1294</v>
      </c>
      <c r="F606" t="s">
        <v>14</v>
      </c>
      <c r="G606" t="s">
        <v>15</v>
      </c>
      <c r="H606" t="s">
        <v>1295</v>
      </c>
      <c r="I606">
        <v>1114</v>
      </c>
      <c r="J606" t="s">
        <v>1303</v>
      </c>
      <c r="K606">
        <f t="shared" si="81"/>
        <v>1114</v>
      </c>
      <c r="N606" t="str">
        <f t="shared" si="82"/>
        <v>HOLDING REGISTER</v>
      </c>
      <c r="O606" t="str">
        <f t="shared" si="83"/>
        <v>REAL</v>
      </c>
      <c r="P606" t="str">
        <f t="shared" si="84"/>
        <v>POWER METER 1AN1</v>
      </c>
      <c r="R606" t="str">
        <f t="shared" si="85"/>
        <v>QGBT1 -CORRENTE I_AVG</v>
      </c>
      <c r="U606" t="str">
        <f t="shared" si="86"/>
        <v>Misura</v>
      </c>
      <c r="V606" t="str">
        <f t="shared" si="87"/>
        <v>QGBT1</v>
      </c>
      <c r="W606" t="str">
        <f t="shared" si="88"/>
        <v>CABINA PRINCIPALE</v>
      </c>
      <c r="Z606" t="str">
        <f t="shared" si="89"/>
        <v>10.220.80.16</v>
      </c>
    </row>
    <row r="607" spans="1:26" x14ac:dyDescent="0.25">
      <c r="A607" t="s">
        <v>10</v>
      </c>
      <c r="B607" t="s">
        <v>11</v>
      </c>
      <c r="C607" t="s">
        <v>89</v>
      </c>
      <c r="D607" t="s">
        <v>1293</v>
      </c>
      <c r="E607" t="s">
        <v>1294</v>
      </c>
      <c r="F607" t="s">
        <v>14</v>
      </c>
      <c r="G607" t="s">
        <v>15</v>
      </c>
      <c r="H607" t="s">
        <v>1295</v>
      </c>
      <c r="I607">
        <v>1116</v>
      </c>
      <c r="J607" t="s">
        <v>1304</v>
      </c>
      <c r="K607">
        <f t="shared" si="81"/>
        <v>1116</v>
      </c>
      <c r="N607" t="str">
        <f t="shared" si="82"/>
        <v>HOLDING REGISTER</v>
      </c>
      <c r="O607" t="str">
        <f t="shared" si="83"/>
        <v>REAL</v>
      </c>
      <c r="P607" t="str">
        <f t="shared" si="84"/>
        <v>POWER METER 1AN1</v>
      </c>
      <c r="R607" t="str">
        <f t="shared" si="85"/>
        <v>QGBT1 -TENSIONE LL_AVG</v>
      </c>
      <c r="U607" t="str">
        <f t="shared" si="86"/>
        <v>Misura</v>
      </c>
      <c r="V607" t="str">
        <f t="shared" si="87"/>
        <v>QGBT1</v>
      </c>
      <c r="W607" t="str">
        <f t="shared" si="88"/>
        <v>CABINA PRINCIPALE</v>
      </c>
      <c r="Z607" t="str">
        <f t="shared" si="89"/>
        <v>10.220.80.16</v>
      </c>
    </row>
    <row r="608" spans="1:26" x14ac:dyDescent="0.25">
      <c r="A608" t="s">
        <v>10</v>
      </c>
      <c r="B608" t="s">
        <v>11</v>
      </c>
      <c r="C608" t="s">
        <v>89</v>
      </c>
      <c r="D608" t="s">
        <v>1293</v>
      </c>
      <c r="E608" t="s">
        <v>1294</v>
      </c>
      <c r="F608" t="s">
        <v>14</v>
      </c>
      <c r="G608" t="s">
        <v>15</v>
      </c>
      <c r="H608" t="s">
        <v>1295</v>
      </c>
      <c r="I608">
        <v>1118</v>
      </c>
      <c r="J608" t="s">
        <v>1305</v>
      </c>
      <c r="K608">
        <f t="shared" si="81"/>
        <v>1118</v>
      </c>
      <c r="N608" t="str">
        <f t="shared" si="82"/>
        <v>HOLDING REGISTER</v>
      </c>
      <c r="O608" t="str">
        <f t="shared" si="83"/>
        <v>REAL</v>
      </c>
      <c r="P608" t="str">
        <f t="shared" si="84"/>
        <v>POWER METER 1AN1</v>
      </c>
      <c r="R608" t="str">
        <f t="shared" si="85"/>
        <v>QGBT1 -TENSIONE LN_AVG</v>
      </c>
      <c r="U608" t="str">
        <f t="shared" si="86"/>
        <v>Misura</v>
      </c>
      <c r="V608" t="str">
        <f t="shared" si="87"/>
        <v>QGBT1</v>
      </c>
      <c r="W608" t="str">
        <f t="shared" si="88"/>
        <v>CABINA PRINCIPALE</v>
      </c>
      <c r="Z608" t="str">
        <f t="shared" si="89"/>
        <v>10.220.80.16</v>
      </c>
    </row>
    <row r="609" spans="1:26" x14ac:dyDescent="0.25">
      <c r="A609" t="s">
        <v>10</v>
      </c>
      <c r="B609" t="s">
        <v>11</v>
      </c>
      <c r="C609" t="s">
        <v>89</v>
      </c>
      <c r="D609" t="s">
        <v>1293</v>
      </c>
      <c r="E609" t="s">
        <v>1294</v>
      </c>
      <c r="F609" t="s">
        <v>14</v>
      </c>
      <c r="G609" t="s">
        <v>15</v>
      </c>
      <c r="H609" t="s">
        <v>1295</v>
      </c>
      <c r="I609">
        <v>1120</v>
      </c>
      <c r="J609" t="s">
        <v>1306</v>
      </c>
      <c r="K609">
        <f t="shared" si="81"/>
        <v>1120</v>
      </c>
      <c r="N609" t="str">
        <f t="shared" si="82"/>
        <v>HOLDING REGISTER</v>
      </c>
      <c r="O609" t="str">
        <f t="shared" si="83"/>
        <v>REAL</v>
      </c>
      <c r="P609" t="str">
        <f t="shared" si="84"/>
        <v>POWER METER 1AN1</v>
      </c>
      <c r="R609" t="str">
        <f t="shared" si="85"/>
        <v>QGBT1 -POTENZA ATTIVA P</v>
      </c>
      <c r="U609" t="str">
        <f t="shared" si="86"/>
        <v>Misura</v>
      </c>
      <c r="V609" t="str">
        <f t="shared" si="87"/>
        <v>QGBT1</v>
      </c>
      <c r="W609" t="str">
        <f t="shared" si="88"/>
        <v>CABINA PRINCIPALE</v>
      </c>
      <c r="Z609" t="str">
        <f t="shared" si="89"/>
        <v>10.220.80.16</v>
      </c>
    </row>
    <row r="610" spans="1:26" x14ac:dyDescent="0.25">
      <c r="A610" t="s">
        <v>10</v>
      </c>
      <c r="B610" t="s">
        <v>11</v>
      </c>
      <c r="C610" t="s">
        <v>89</v>
      </c>
      <c r="D610" t="s">
        <v>1293</v>
      </c>
      <c r="E610" t="s">
        <v>1294</v>
      </c>
      <c r="F610" t="s">
        <v>14</v>
      </c>
      <c r="G610" t="s">
        <v>15</v>
      </c>
      <c r="H610" t="s">
        <v>1295</v>
      </c>
      <c r="I610">
        <v>1122</v>
      </c>
      <c r="J610" t="s">
        <v>1307</v>
      </c>
      <c r="K610">
        <f t="shared" si="81"/>
        <v>1122</v>
      </c>
      <c r="N610" t="str">
        <f t="shared" si="82"/>
        <v>HOLDING REGISTER</v>
      </c>
      <c r="O610" t="str">
        <f t="shared" si="83"/>
        <v>REAL</v>
      </c>
      <c r="P610" t="str">
        <f t="shared" si="84"/>
        <v>POWER METER 1AN1</v>
      </c>
      <c r="R610" t="str">
        <f t="shared" si="85"/>
        <v>QGBT1 -POTENZA REATTIVA Q</v>
      </c>
      <c r="U610" t="str">
        <f t="shared" si="86"/>
        <v>Misura</v>
      </c>
      <c r="V610" t="str">
        <f t="shared" si="87"/>
        <v>QGBT1</v>
      </c>
      <c r="W610" t="str">
        <f t="shared" si="88"/>
        <v>CABINA PRINCIPALE</v>
      </c>
      <c r="Z610" t="str">
        <f t="shared" si="89"/>
        <v>10.220.80.16</v>
      </c>
    </row>
    <row r="611" spans="1:26" x14ac:dyDescent="0.25">
      <c r="A611" t="s">
        <v>10</v>
      </c>
      <c r="B611" t="s">
        <v>11</v>
      </c>
      <c r="C611" t="s">
        <v>89</v>
      </c>
      <c r="D611" t="s">
        <v>1293</v>
      </c>
      <c r="E611" t="s">
        <v>1294</v>
      </c>
      <c r="F611" t="s">
        <v>14</v>
      </c>
      <c r="G611" t="s">
        <v>15</v>
      </c>
      <c r="H611" t="s">
        <v>1295</v>
      </c>
      <c r="I611">
        <v>1124</v>
      </c>
      <c r="J611" t="s">
        <v>1308</v>
      </c>
      <c r="K611">
        <f t="shared" si="81"/>
        <v>1124</v>
      </c>
      <c r="N611" t="str">
        <f t="shared" si="82"/>
        <v>HOLDING REGISTER</v>
      </c>
      <c r="O611" t="str">
        <f t="shared" si="83"/>
        <v>REAL</v>
      </c>
      <c r="P611" t="str">
        <f t="shared" si="84"/>
        <v>POWER METER 1AN1</v>
      </c>
      <c r="R611" t="str">
        <f t="shared" si="85"/>
        <v>QGBT1 -POTENZA APPARENTE S</v>
      </c>
      <c r="U611" t="str">
        <f t="shared" si="86"/>
        <v>Misura</v>
      </c>
      <c r="V611" t="str">
        <f t="shared" si="87"/>
        <v>QGBT1</v>
      </c>
      <c r="W611" t="str">
        <f t="shared" si="88"/>
        <v>CABINA PRINCIPALE</v>
      </c>
      <c r="Z611" t="str">
        <f t="shared" si="89"/>
        <v>10.220.80.16</v>
      </c>
    </row>
    <row r="612" spans="1:26" x14ac:dyDescent="0.25">
      <c r="A612" t="s">
        <v>10</v>
      </c>
      <c r="B612" t="s">
        <v>11</v>
      </c>
      <c r="C612" t="s">
        <v>89</v>
      </c>
      <c r="D612" t="s">
        <v>1293</v>
      </c>
      <c r="E612" t="s">
        <v>1294</v>
      </c>
      <c r="F612" t="s">
        <v>14</v>
      </c>
      <c r="G612" t="s">
        <v>15</v>
      </c>
      <c r="H612" t="s">
        <v>1295</v>
      </c>
      <c r="I612">
        <v>1126</v>
      </c>
      <c r="J612" t="s">
        <v>1309</v>
      </c>
      <c r="K612">
        <f t="shared" si="81"/>
        <v>1126</v>
      </c>
      <c r="N612" t="str">
        <f t="shared" si="82"/>
        <v>HOLDING REGISTER</v>
      </c>
      <c r="O612" t="str">
        <f t="shared" si="83"/>
        <v>REAL</v>
      </c>
      <c r="P612" t="str">
        <f t="shared" si="84"/>
        <v>POWER METER 1AN1</v>
      </c>
      <c r="R612" t="str">
        <f t="shared" si="85"/>
        <v>QGBT1 -FATTORE POTENZA Cosfì</v>
      </c>
      <c r="U612" t="str">
        <f t="shared" si="86"/>
        <v>Misura</v>
      </c>
      <c r="V612" t="str">
        <f t="shared" si="87"/>
        <v>QGBT1</v>
      </c>
      <c r="W612" t="str">
        <f t="shared" si="88"/>
        <v>CABINA PRINCIPALE</v>
      </c>
      <c r="Z612" t="str">
        <f t="shared" si="89"/>
        <v>10.220.80.16</v>
      </c>
    </row>
    <row r="613" spans="1:26" x14ac:dyDescent="0.25">
      <c r="A613" t="s">
        <v>10</v>
      </c>
      <c r="B613" t="s">
        <v>11</v>
      </c>
      <c r="C613" t="s">
        <v>89</v>
      </c>
      <c r="D613" t="s">
        <v>1293</v>
      </c>
      <c r="E613" t="s">
        <v>1294</v>
      </c>
      <c r="F613" t="s">
        <v>14</v>
      </c>
      <c r="G613" t="s">
        <v>15</v>
      </c>
      <c r="H613" t="s">
        <v>1295</v>
      </c>
      <c r="I613">
        <v>1128</v>
      </c>
      <c r="J613" t="s">
        <v>1310</v>
      </c>
      <c r="K613">
        <f t="shared" si="81"/>
        <v>1128</v>
      </c>
      <c r="N613" t="str">
        <f t="shared" si="82"/>
        <v>HOLDING REGISTER</v>
      </c>
      <c r="O613" t="str">
        <f t="shared" si="83"/>
        <v>REAL</v>
      </c>
      <c r="P613" t="str">
        <f t="shared" si="84"/>
        <v>POWER METER 1AN1</v>
      </c>
      <c r="R613" t="str">
        <f t="shared" si="85"/>
        <v>QGBT1 -FREQUENZA F</v>
      </c>
      <c r="U613" t="str">
        <f t="shared" si="86"/>
        <v>Misura</v>
      </c>
      <c r="V613" t="str">
        <f t="shared" si="87"/>
        <v>QGBT1</v>
      </c>
      <c r="W613" t="str">
        <f t="shared" si="88"/>
        <v>CABINA PRINCIPALE</v>
      </c>
      <c r="Z613" t="str">
        <f t="shared" si="89"/>
        <v>10.220.80.16</v>
      </c>
    </row>
    <row r="614" spans="1:26" x14ac:dyDescent="0.25">
      <c r="A614" t="s">
        <v>10</v>
      </c>
      <c r="B614" t="s">
        <v>11</v>
      </c>
      <c r="C614" t="s">
        <v>89</v>
      </c>
      <c r="D614" t="s">
        <v>1293</v>
      </c>
      <c r="E614" t="s">
        <v>1294</v>
      </c>
      <c r="F614" t="s">
        <v>14</v>
      </c>
      <c r="G614" t="s">
        <v>28</v>
      </c>
      <c r="H614" t="s">
        <v>22</v>
      </c>
      <c r="I614" t="s">
        <v>1311</v>
      </c>
      <c r="J614" t="s">
        <v>1312</v>
      </c>
      <c r="K614" t="str">
        <f t="shared" si="81"/>
        <v>1037.0</v>
      </c>
      <c r="N614" t="str">
        <f t="shared" si="82"/>
        <v>HOLDING REGISTER</v>
      </c>
      <c r="O614" t="str">
        <f t="shared" si="83"/>
        <v>BOOL</v>
      </c>
      <c r="P614" t="str">
        <f t="shared" si="84"/>
        <v>POWER METER 1AN1</v>
      </c>
      <c r="R614" t="str">
        <f t="shared" si="85"/>
        <v>QGBT1 -ERRORE COMUNICAZIONE PM 1AN1</v>
      </c>
      <c r="U614" t="str">
        <f t="shared" si="86"/>
        <v>Allarme</v>
      </c>
      <c r="V614" t="str">
        <f t="shared" si="87"/>
        <v>QGBT1</v>
      </c>
      <c r="W614" t="str">
        <f t="shared" si="88"/>
        <v>CABINA PRINCIPALE</v>
      </c>
      <c r="Z614" t="str">
        <f t="shared" si="89"/>
        <v>10.220.80.16</v>
      </c>
    </row>
    <row r="615" spans="1:26" x14ac:dyDescent="0.25">
      <c r="A615" t="s">
        <v>10</v>
      </c>
      <c r="B615" t="s">
        <v>11</v>
      </c>
      <c r="C615" t="s">
        <v>89</v>
      </c>
      <c r="D615" t="s">
        <v>1293</v>
      </c>
      <c r="E615" t="s">
        <v>1313</v>
      </c>
      <c r="F615" t="s">
        <v>14</v>
      </c>
      <c r="G615" t="s">
        <v>15</v>
      </c>
      <c r="H615" t="s">
        <v>1295</v>
      </c>
      <c r="I615">
        <v>1130</v>
      </c>
      <c r="J615" t="s">
        <v>1296</v>
      </c>
      <c r="K615">
        <f t="shared" si="81"/>
        <v>1130</v>
      </c>
      <c r="N615" t="str">
        <f t="shared" si="82"/>
        <v>HOLDING REGISTER</v>
      </c>
      <c r="O615" t="str">
        <f t="shared" si="83"/>
        <v>REAL</v>
      </c>
      <c r="P615" t="str">
        <f t="shared" si="84"/>
        <v>POWER METER 2AN1</v>
      </c>
      <c r="R615" t="str">
        <f t="shared" si="85"/>
        <v>QGBT1 -CORRENTE I1</v>
      </c>
      <c r="U615" t="str">
        <f t="shared" si="86"/>
        <v>Misura</v>
      </c>
      <c r="V615" t="str">
        <f t="shared" si="87"/>
        <v>QGBT1</v>
      </c>
      <c r="W615" t="str">
        <f t="shared" si="88"/>
        <v>CABINA PRINCIPALE</v>
      </c>
      <c r="Z615" t="str">
        <f t="shared" si="89"/>
        <v>10.220.80.16</v>
      </c>
    </row>
    <row r="616" spans="1:26" x14ac:dyDescent="0.25">
      <c r="A616" t="s">
        <v>10</v>
      </c>
      <c r="B616" t="s">
        <v>11</v>
      </c>
      <c r="C616" t="s">
        <v>89</v>
      </c>
      <c r="D616" t="s">
        <v>1293</v>
      </c>
      <c r="E616" t="s">
        <v>1313</v>
      </c>
      <c r="F616" t="s">
        <v>14</v>
      </c>
      <c r="G616" t="s">
        <v>15</v>
      </c>
      <c r="H616" t="s">
        <v>1295</v>
      </c>
      <c r="I616">
        <v>1132</v>
      </c>
      <c r="J616" t="s">
        <v>1297</v>
      </c>
      <c r="K616">
        <f t="shared" si="81"/>
        <v>1132</v>
      </c>
      <c r="N616" t="str">
        <f t="shared" si="82"/>
        <v>HOLDING REGISTER</v>
      </c>
      <c r="O616" t="str">
        <f t="shared" si="83"/>
        <v>REAL</v>
      </c>
      <c r="P616" t="str">
        <f t="shared" si="84"/>
        <v>POWER METER 2AN1</v>
      </c>
      <c r="R616" t="str">
        <f t="shared" si="85"/>
        <v>QGBT1 -CORRENTE I2</v>
      </c>
      <c r="U616" t="str">
        <f t="shared" si="86"/>
        <v>Misura</v>
      </c>
      <c r="V616" t="str">
        <f t="shared" si="87"/>
        <v>QGBT1</v>
      </c>
      <c r="W616" t="str">
        <f t="shared" si="88"/>
        <v>CABINA PRINCIPALE</v>
      </c>
      <c r="Z616" t="str">
        <f t="shared" si="89"/>
        <v>10.220.80.16</v>
      </c>
    </row>
    <row r="617" spans="1:26" x14ac:dyDescent="0.25">
      <c r="A617" t="s">
        <v>10</v>
      </c>
      <c r="B617" t="s">
        <v>11</v>
      </c>
      <c r="C617" t="s">
        <v>89</v>
      </c>
      <c r="D617" t="s">
        <v>1293</v>
      </c>
      <c r="E617" t="s">
        <v>1313</v>
      </c>
      <c r="F617" t="s">
        <v>14</v>
      </c>
      <c r="G617" t="s">
        <v>15</v>
      </c>
      <c r="H617" t="s">
        <v>1295</v>
      </c>
      <c r="I617">
        <v>1134</v>
      </c>
      <c r="J617" t="s">
        <v>1298</v>
      </c>
      <c r="K617">
        <f t="shared" si="81"/>
        <v>1134</v>
      </c>
      <c r="N617" t="str">
        <f t="shared" si="82"/>
        <v>HOLDING REGISTER</v>
      </c>
      <c r="O617" t="str">
        <f t="shared" si="83"/>
        <v>REAL</v>
      </c>
      <c r="P617" t="str">
        <f t="shared" si="84"/>
        <v>POWER METER 2AN1</v>
      </c>
      <c r="R617" t="str">
        <f t="shared" si="85"/>
        <v>QGBT1 -CORRENTE I3</v>
      </c>
      <c r="U617" t="str">
        <f t="shared" si="86"/>
        <v>Misura</v>
      </c>
      <c r="V617" t="str">
        <f t="shared" si="87"/>
        <v>QGBT1</v>
      </c>
      <c r="W617" t="str">
        <f t="shared" si="88"/>
        <v>CABINA PRINCIPALE</v>
      </c>
      <c r="Z617" t="str">
        <f t="shared" si="89"/>
        <v>10.220.80.16</v>
      </c>
    </row>
    <row r="618" spans="1:26" x14ac:dyDescent="0.25">
      <c r="A618" t="s">
        <v>10</v>
      </c>
      <c r="B618" t="s">
        <v>11</v>
      </c>
      <c r="C618" t="s">
        <v>89</v>
      </c>
      <c r="D618" t="s">
        <v>1293</v>
      </c>
      <c r="E618" t="s">
        <v>1313</v>
      </c>
      <c r="F618" t="s">
        <v>14</v>
      </c>
      <c r="G618" t="s">
        <v>15</v>
      </c>
      <c r="H618" t="s">
        <v>1295</v>
      </c>
      <c r="I618">
        <v>1136</v>
      </c>
      <c r="J618" t="s">
        <v>1299</v>
      </c>
      <c r="K618">
        <f t="shared" si="81"/>
        <v>1136</v>
      </c>
      <c r="N618" t="str">
        <f t="shared" si="82"/>
        <v>HOLDING REGISTER</v>
      </c>
      <c r="O618" t="str">
        <f t="shared" si="83"/>
        <v>REAL</v>
      </c>
      <c r="P618" t="str">
        <f t="shared" si="84"/>
        <v>POWER METER 2AN1</v>
      </c>
      <c r="R618" t="str">
        <f t="shared" si="85"/>
        <v>QGBT1 -CORRENTE IN</v>
      </c>
      <c r="U618" t="str">
        <f t="shared" si="86"/>
        <v>Misura</v>
      </c>
      <c r="V618" t="str">
        <f t="shared" si="87"/>
        <v>QGBT1</v>
      </c>
      <c r="W618" t="str">
        <f t="shared" si="88"/>
        <v>CABINA PRINCIPALE</v>
      </c>
      <c r="Z618" t="str">
        <f t="shared" si="89"/>
        <v>10.220.80.16</v>
      </c>
    </row>
    <row r="619" spans="1:26" x14ac:dyDescent="0.25">
      <c r="A619" t="s">
        <v>10</v>
      </c>
      <c r="B619" t="s">
        <v>11</v>
      </c>
      <c r="C619" t="s">
        <v>89</v>
      </c>
      <c r="D619" t="s">
        <v>1293</v>
      </c>
      <c r="E619" t="s">
        <v>1313</v>
      </c>
      <c r="F619" t="s">
        <v>14</v>
      </c>
      <c r="G619" t="s">
        <v>15</v>
      </c>
      <c r="H619" t="s">
        <v>1295</v>
      </c>
      <c r="I619">
        <v>1138</v>
      </c>
      <c r="J619" t="s">
        <v>1300</v>
      </c>
      <c r="K619">
        <f t="shared" si="81"/>
        <v>1138</v>
      </c>
      <c r="N619" t="str">
        <f t="shared" si="82"/>
        <v>HOLDING REGISTER</v>
      </c>
      <c r="O619" t="str">
        <f t="shared" si="83"/>
        <v>REAL</v>
      </c>
      <c r="P619" t="str">
        <f t="shared" si="84"/>
        <v>POWER METER 2AN1</v>
      </c>
      <c r="R619" t="str">
        <f t="shared" si="85"/>
        <v>QGBT1 -TENSIONE U12</v>
      </c>
      <c r="U619" t="str">
        <f t="shared" si="86"/>
        <v>Misura</v>
      </c>
      <c r="V619" t="str">
        <f t="shared" si="87"/>
        <v>QGBT1</v>
      </c>
      <c r="W619" t="str">
        <f t="shared" si="88"/>
        <v>CABINA PRINCIPALE</v>
      </c>
      <c r="Z619" t="str">
        <f t="shared" si="89"/>
        <v>10.220.80.16</v>
      </c>
    </row>
    <row r="620" spans="1:26" x14ac:dyDescent="0.25">
      <c r="A620" t="s">
        <v>10</v>
      </c>
      <c r="B620" t="s">
        <v>11</v>
      </c>
      <c r="C620" t="s">
        <v>89</v>
      </c>
      <c r="D620" t="s">
        <v>1293</v>
      </c>
      <c r="E620" t="s">
        <v>1313</v>
      </c>
      <c r="F620" t="s">
        <v>14</v>
      </c>
      <c r="G620" t="s">
        <v>15</v>
      </c>
      <c r="H620" t="s">
        <v>1295</v>
      </c>
      <c r="I620">
        <v>1140</v>
      </c>
      <c r="J620" t="s">
        <v>1301</v>
      </c>
      <c r="K620">
        <f t="shared" si="81"/>
        <v>1140</v>
      </c>
      <c r="N620" t="str">
        <f t="shared" si="82"/>
        <v>HOLDING REGISTER</v>
      </c>
      <c r="O620" t="str">
        <f t="shared" si="83"/>
        <v>REAL</v>
      </c>
      <c r="P620" t="str">
        <f t="shared" si="84"/>
        <v>POWER METER 2AN1</v>
      </c>
      <c r="R620" t="str">
        <f t="shared" si="85"/>
        <v>QGBT1 -TENSIONE U23</v>
      </c>
      <c r="U620" t="str">
        <f t="shared" si="86"/>
        <v>Misura</v>
      </c>
      <c r="V620" t="str">
        <f t="shared" si="87"/>
        <v>QGBT1</v>
      </c>
      <c r="W620" t="str">
        <f t="shared" si="88"/>
        <v>CABINA PRINCIPALE</v>
      </c>
      <c r="Z620" t="str">
        <f t="shared" si="89"/>
        <v>10.220.80.16</v>
      </c>
    </row>
    <row r="621" spans="1:26" x14ac:dyDescent="0.25">
      <c r="A621" t="s">
        <v>10</v>
      </c>
      <c r="B621" t="s">
        <v>11</v>
      </c>
      <c r="C621" t="s">
        <v>89</v>
      </c>
      <c r="D621" t="s">
        <v>1293</v>
      </c>
      <c r="E621" t="s">
        <v>1313</v>
      </c>
      <c r="F621" t="s">
        <v>14</v>
      </c>
      <c r="G621" t="s">
        <v>15</v>
      </c>
      <c r="H621" t="s">
        <v>1295</v>
      </c>
      <c r="I621">
        <v>1142</v>
      </c>
      <c r="J621" t="s">
        <v>1302</v>
      </c>
      <c r="K621">
        <f t="shared" si="81"/>
        <v>1142</v>
      </c>
      <c r="N621" t="str">
        <f t="shared" si="82"/>
        <v>HOLDING REGISTER</v>
      </c>
      <c r="O621" t="str">
        <f t="shared" si="83"/>
        <v>REAL</v>
      </c>
      <c r="P621" t="str">
        <f t="shared" si="84"/>
        <v>POWER METER 2AN1</v>
      </c>
      <c r="R621" t="str">
        <f t="shared" si="85"/>
        <v>QGBT1 -TENSIONE U31</v>
      </c>
      <c r="U621" t="str">
        <f t="shared" si="86"/>
        <v>Misura</v>
      </c>
      <c r="V621" t="str">
        <f t="shared" si="87"/>
        <v>QGBT1</v>
      </c>
      <c r="W621" t="str">
        <f t="shared" si="88"/>
        <v>CABINA PRINCIPALE</v>
      </c>
      <c r="Z621" t="str">
        <f t="shared" si="89"/>
        <v>10.220.80.16</v>
      </c>
    </row>
    <row r="622" spans="1:26" x14ac:dyDescent="0.25">
      <c r="A622" t="s">
        <v>10</v>
      </c>
      <c r="B622" t="s">
        <v>11</v>
      </c>
      <c r="C622" t="s">
        <v>89</v>
      </c>
      <c r="D622" t="s">
        <v>1293</v>
      </c>
      <c r="E622" t="s">
        <v>1313</v>
      </c>
      <c r="F622" t="s">
        <v>14</v>
      </c>
      <c r="G622" t="s">
        <v>15</v>
      </c>
      <c r="H622" t="s">
        <v>1295</v>
      </c>
      <c r="I622">
        <v>1144</v>
      </c>
      <c r="J622" t="s">
        <v>1303</v>
      </c>
      <c r="K622">
        <f t="shared" si="81"/>
        <v>1144</v>
      </c>
      <c r="N622" t="str">
        <f t="shared" si="82"/>
        <v>HOLDING REGISTER</v>
      </c>
      <c r="O622" t="str">
        <f t="shared" si="83"/>
        <v>REAL</v>
      </c>
      <c r="P622" t="str">
        <f t="shared" si="84"/>
        <v>POWER METER 2AN1</v>
      </c>
      <c r="R622" t="str">
        <f t="shared" si="85"/>
        <v>QGBT1 -CORRENTE I_AVG</v>
      </c>
      <c r="U622" t="str">
        <f t="shared" si="86"/>
        <v>Misura</v>
      </c>
      <c r="V622" t="str">
        <f t="shared" si="87"/>
        <v>QGBT1</v>
      </c>
      <c r="W622" t="str">
        <f t="shared" si="88"/>
        <v>CABINA PRINCIPALE</v>
      </c>
      <c r="Z622" t="str">
        <f t="shared" si="89"/>
        <v>10.220.80.16</v>
      </c>
    </row>
    <row r="623" spans="1:26" x14ac:dyDescent="0.25">
      <c r="A623" t="s">
        <v>10</v>
      </c>
      <c r="B623" t="s">
        <v>11</v>
      </c>
      <c r="C623" t="s">
        <v>89</v>
      </c>
      <c r="D623" t="s">
        <v>1293</v>
      </c>
      <c r="E623" t="s">
        <v>1313</v>
      </c>
      <c r="F623" t="s">
        <v>14</v>
      </c>
      <c r="G623" t="s">
        <v>15</v>
      </c>
      <c r="H623" t="s">
        <v>1295</v>
      </c>
      <c r="I623">
        <v>1146</v>
      </c>
      <c r="J623" t="s">
        <v>1304</v>
      </c>
      <c r="K623">
        <f t="shared" si="81"/>
        <v>1146</v>
      </c>
      <c r="N623" t="str">
        <f t="shared" si="82"/>
        <v>HOLDING REGISTER</v>
      </c>
      <c r="O623" t="str">
        <f t="shared" si="83"/>
        <v>REAL</v>
      </c>
      <c r="P623" t="str">
        <f t="shared" si="84"/>
        <v>POWER METER 2AN1</v>
      </c>
      <c r="R623" t="str">
        <f t="shared" si="85"/>
        <v>QGBT1 -TENSIONE LL_AVG</v>
      </c>
      <c r="U623" t="str">
        <f t="shared" si="86"/>
        <v>Misura</v>
      </c>
      <c r="V623" t="str">
        <f t="shared" si="87"/>
        <v>QGBT1</v>
      </c>
      <c r="W623" t="str">
        <f t="shared" si="88"/>
        <v>CABINA PRINCIPALE</v>
      </c>
      <c r="Z623" t="str">
        <f t="shared" si="89"/>
        <v>10.220.80.16</v>
      </c>
    </row>
    <row r="624" spans="1:26" x14ac:dyDescent="0.25">
      <c r="A624" t="s">
        <v>10</v>
      </c>
      <c r="B624" t="s">
        <v>11</v>
      </c>
      <c r="C624" t="s">
        <v>89</v>
      </c>
      <c r="D624" t="s">
        <v>1293</v>
      </c>
      <c r="E624" t="s">
        <v>1313</v>
      </c>
      <c r="F624" t="s">
        <v>14</v>
      </c>
      <c r="G624" t="s">
        <v>15</v>
      </c>
      <c r="H624" t="s">
        <v>1295</v>
      </c>
      <c r="I624">
        <v>1148</v>
      </c>
      <c r="J624" t="s">
        <v>1305</v>
      </c>
      <c r="K624">
        <f t="shared" si="81"/>
        <v>1148</v>
      </c>
      <c r="N624" t="str">
        <f t="shared" si="82"/>
        <v>HOLDING REGISTER</v>
      </c>
      <c r="O624" t="str">
        <f t="shared" si="83"/>
        <v>REAL</v>
      </c>
      <c r="P624" t="str">
        <f t="shared" si="84"/>
        <v>POWER METER 2AN1</v>
      </c>
      <c r="R624" t="str">
        <f t="shared" si="85"/>
        <v>QGBT1 -TENSIONE LN_AVG</v>
      </c>
      <c r="U624" t="str">
        <f t="shared" si="86"/>
        <v>Misura</v>
      </c>
      <c r="V624" t="str">
        <f t="shared" si="87"/>
        <v>QGBT1</v>
      </c>
      <c r="W624" t="str">
        <f t="shared" si="88"/>
        <v>CABINA PRINCIPALE</v>
      </c>
      <c r="Z624" t="str">
        <f t="shared" si="89"/>
        <v>10.220.80.16</v>
      </c>
    </row>
    <row r="625" spans="1:26" x14ac:dyDescent="0.25">
      <c r="A625" t="s">
        <v>10</v>
      </c>
      <c r="B625" t="s">
        <v>11</v>
      </c>
      <c r="C625" t="s">
        <v>89</v>
      </c>
      <c r="D625" t="s">
        <v>1293</v>
      </c>
      <c r="E625" t="s">
        <v>1313</v>
      </c>
      <c r="F625" t="s">
        <v>14</v>
      </c>
      <c r="G625" t="s">
        <v>15</v>
      </c>
      <c r="H625" t="s">
        <v>1295</v>
      </c>
      <c r="I625">
        <v>1150</v>
      </c>
      <c r="J625" t="s">
        <v>1306</v>
      </c>
      <c r="K625">
        <f t="shared" si="81"/>
        <v>1150</v>
      </c>
      <c r="N625" t="str">
        <f t="shared" si="82"/>
        <v>HOLDING REGISTER</v>
      </c>
      <c r="O625" t="str">
        <f t="shared" si="83"/>
        <v>REAL</v>
      </c>
      <c r="P625" t="str">
        <f t="shared" si="84"/>
        <v>POWER METER 2AN1</v>
      </c>
      <c r="R625" t="str">
        <f t="shared" si="85"/>
        <v>QGBT1 -POTENZA ATTIVA P</v>
      </c>
      <c r="U625" t="str">
        <f t="shared" si="86"/>
        <v>Misura</v>
      </c>
      <c r="V625" t="str">
        <f t="shared" si="87"/>
        <v>QGBT1</v>
      </c>
      <c r="W625" t="str">
        <f t="shared" si="88"/>
        <v>CABINA PRINCIPALE</v>
      </c>
      <c r="Z625" t="str">
        <f t="shared" si="89"/>
        <v>10.220.80.16</v>
      </c>
    </row>
    <row r="626" spans="1:26" x14ac:dyDescent="0.25">
      <c r="A626" t="s">
        <v>10</v>
      </c>
      <c r="B626" t="s">
        <v>11</v>
      </c>
      <c r="C626" t="s">
        <v>89</v>
      </c>
      <c r="D626" t="s">
        <v>1293</v>
      </c>
      <c r="E626" t="s">
        <v>1313</v>
      </c>
      <c r="F626" t="s">
        <v>14</v>
      </c>
      <c r="G626" t="s">
        <v>15</v>
      </c>
      <c r="H626" t="s">
        <v>1295</v>
      </c>
      <c r="I626">
        <v>1152</v>
      </c>
      <c r="J626" t="s">
        <v>1307</v>
      </c>
      <c r="K626">
        <f t="shared" si="81"/>
        <v>1152</v>
      </c>
      <c r="N626" t="str">
        <f t="shared" si="82"/>
        <v>HOLDING REGISTER</v>
      </c>
      <c r="O626" t="str">
        <f t="shared" si="83"/>
        <v>REAL</v>
      </c>
      <c r="P626" t="str">
        <f t="shared" si="84"/>
        <v>POWER METER 2AN1</v>
      </c>
      <c r="R626" t="str">
        <f t="shared" si="85"/>
        <v>QGBT1 -POTENZA REATTIVA Q</v>
      </c>
      <c r="U626" t="str">
        <f t="shared" si="86"/>
        <v>Misura</v>
      </c>
      <c r="V626" t="str">
        <f t="shared" si="87"/>
        <v>QGBT1</v>
      </c>
      <c r="W626" t="str">
        <f t="shared" si="88"/>
        <v>CABINA PRINCIPALE</v>
      </c>
      <c r="Z626" t="str">
        <f t="shared" si="89"/>
        <v>10.220.80.16</v>
      </c>
    </row>
    <row r="627" spans="1:26" x14ac:dyDescent="0.25">
      <c r="A627" t="s">
        <v>10</v>
      </c>
      <c r="B627" t="s">
        <v>11</v>
      </c>
      <c r="C627" t="s">
        <v>89</v>
      </c>
      <c r="D627" t="s">
        <v>1293</v>
      </c>
      <c r="E627" t="s">
        <v>1313</v>
      </c>
      <c r="F627" t="s">
        <v>14</v>
      </c>
      <c r="G627" t="s">
        <v>15</v>
      </c>
      <c r="H627" t="s">
        <v>1295</v>
      </c>
      <c r="I627">
        <v>1154</v>
      </c>
      <c r="J627" t="s">
        <v>1308</v>
      </c>
      <c r="K627">
        <f t="shared" si="81"/>
        <v>1154</v>
      </c>
      <c r="N627" t="str">
        <f t="shared" si="82"/>
        <v>HOLDING REGISTER</v>
      </c>
      <c r="O627" t="str">
        <f t="shared" si="83"/>
        <v>REAL</v>
      </c>
      <c r="P627" t="str">
        <f t="shared" si="84"/>
        <v>POWER METER 2AN1</v>
      </c>
      <c r="R627" t="str">
        <f t="shared" si="85"/>
        <v>QGBT1 -POTENZA APPARENTE S</v>
      </c>
      <c r="U627" t="str">
        <f t="shared" si="86"/>
        <v>Misura</v>
      </c>
      <c r="V627" t="str">
        <f t="shared" si="87"/>
        <v>QGBT1</v>
      </c>
      <c r="W627" t="str">
        <f t="shared" si="88"/>
        <v>CABINA PRINCIPALE</v>
      </c>
      <c r="Z627" t="str">
        <f t="shared" si="89"/>
        <v>10.220.80.16</v>
      </c>
    </row>
    <row r="628" spans="1:26" x14ac:dyDescent="0.25">
      <c r="A628" t="s">
        <v>10</v>
      </c>
      <c r="B628" t="s">
        <v>11</v>
      </c>
      <c r="C628" t="s">
        <v>89</v>
      </c>
      <c r="D628" t="s">
        <v>1293</v>
      </c>
      <c r="E628" t="s">
        <v>1313</v>
      </c>
      <c r="F628" t="s">
        <v>14</v>
      </c>
      <c r="G628" t="s">
        <v>15</v>
      </c>
      <c r="H628" t="s">
        <v>1295</v>
      </c>
      <c r="I628">
        <v>1156</v>
      </c>
      <c r="J628" t="s">
        <v>1309</v>
      </c>
      <c r="K628">
        <f t="shared" si="81"/>
        <v>1156</v>
      </c>
      <c r="N628" t="str">
        <f t="shared" si="82"/>
        <v>HOLDING REGISTER</v>
      </c>
      <c r="O628" t="str">
        <f t="shared" si="83"/>
        <v>REAL</v>
      </c>
      <c r="P628" t="str">
        <f t="shared" si="84"/>
        <v>POWER METER 2AN1</v>
      </c>
      <c r="R628" t="str">
        <f t="shared" si="85"/>
        <v>QGBT1 -FATTORE POTENZA Cosfì</v>
      </c>
      <c r="U628" t="str">
        <f t="shared" si="86"/>
        <v>Misura</v>
      </c>
      <c r="V628" t="str">
        <f t="shared" si="87"/>
        <v>QGBT1</v>
      </c>
      <c r="W628" t="str">
        <f t="shared" si="88"/>
        <v>CABINA PRINCIPALE</v>
      </c>
      <c r="Z628" t="str">
        <f t="shared" si="89"/>
        <v>10.220.80.16</v>
      </c>
    </row>
    <row r="629" spans="1:26" x14ac:dyDescent="0.25">
      <c r="A629" t="s">
        <v>10</v>
      </c>
      <c r="B629" t="s">
        <v>11</v>
      </c>
      <c r="C629" t="s">
        <v>89</v>
      </c>
      <c r="D629" t="s">
        <v>1293</v>
      </c>
      <c r="E629" t="s">
        <v>1313</v>
      </c>
      <c r="F629" t="s">
        <v>14</v>
      </c>
      <c r="G629" t="s">
        <v>15</v>
      </c>
      <c r="H629" t="s">
        <v>1295</v>
      </c>
      <c r="I629">
        <v>1158</v>
      </c>
      <c r="J629" t="s">
        <v>1310</v>
      </c>
      <c r="K629">
        <f t="shared" si="81"/>
        <v>1158</v>
      </c>
      <c r="N629" t="str">
        <f t="shared" si="82"/>
        <v>HOLDING REGISTER</v>
      </c>
      <c r="O629" t="str">
        <f t="shared" si="83"/>
        <v>REAL</v>
      </c>
      <c r="P629" t="str">
        <f t="shared" si="84"/>
        <v>POWER METER 2AN1</v>
      </c>
      <c r="R629" t="str">
        <f t="shared" si="85"/>
        <v>QGBT1 -FREQUENZA F</v>
      </c>
      <c r="U629" t="str">
        <f t="shared" si="86"/>
        <v>Misura</v>
      </c>
      <c r="V629" t="str">
        <f t="shared" si="87"/>
        <v>QGBT1</v>
      </c>
      <c r="W629" t="str">
        <f t="shared" si="88"/>
        <v>CABINA PRINCIPALE</v>
      </c>
      <c r="Z629" t="str">
        <f t="shared" si="89"/>
        <v>10.220.80.16</v>
      </c>
    </row>
    <row r="630" spans="1:26" x14ac:dyDescent="0.25">
      <c r="A630" t="s">
        <v>10</v>
      </c>
      <c r="B630" t="s">
        <v>11</v>
      </c>
      <c r="C630" t="s">
        <v>89</v>
      </c>
      <c r="D630" t="s">
        <v>1293</v>
      </c>
      <c r="E630" t="s">
        <v>1313</v>
      </c>
      <c r="F630" t="s">
        <v>14</v>
      </c>
      <c r="G630" t="s">
        <v>28</v>
      </c>
      <c r="H630" t="s">
        <v>22</v>
      </c>
      <c r="I630" t="s">
        <v>1314</v>
      </c>
      <c r="J630" t="s">
        <v>1315</v>
      </c>
      <c r="K630" t="str">
        <f t="shared" si="81"/>
        <v>1037.1</v>
      </c>
      <c r="N630" t="str">
        <f t="shared" si="82"/>
        <v>HOLDING REGISTER</v>
      </c>
      <c r="O630" t="str">
        <f t="shared" si="83"/>
        <v>BOOL</v>
      </c>
      <c r="P630" t="str">
        <f t="shared" si="84"/>
        <v>POWER METER 2AN1</v>
      </c>
      <c r="R630" t="str">
        <f t="shared" si="85"/>
        <v>QGBT1 -ERRORE COMUNICAZIONE PM 2AN1</v>
      </c>
      <c r="U630" t="str">
        <f t="shared" si="86"/>
        <v>Allarme</v>
      </c>
      <c r="V630" t="str">
        <f t="shared" si="87"/>
        <v>QGBT1</v>
      </c>
      <c r="W630" t="str">
        <f t="shared" si="88"/>
        <v>CABINA PRINCIPALE</v>
      </c>
      <c r="Z630" t="str">
        <f t="shared" si="89"/>
        <v>10.220.80.16</v>
      </c>
    </row>
    <row r="631" spans="1:26" x14ac:dyDescent="0.25">
      <c r="A631" t="s">
        <v>10</v>
      </c>
      <c r="B631" t="s">
        <v>11</v>
      </c>
      <c r="C631" t="s">
        <v>209</v>
      </c>
      <c r="D631" t="s">
        <v>1293</v>
      </c>
      <c r="E631" t="s">
        <v>1294</v>
      </c>
      <c r="F631" t="s">
        <v>14</v>
      </c>
      <c r="G631" t="s">
        <v>15</v>
      </c>
      <c r="H631" t="s">
        <v>1295</v>
      </c>
      <c r="I631">
        <v>1160</v>
      </c>
      <c r="J631" t="s">
        <v>1316</v>
      </c>
      <c r="K631">
        <f t="shared" si="81"/>
        <v>1160</v>
      </c>
      <c r="N631" t="str">
        <f t="shared" si="82"/>
        <v>HOLDING REGISTER</v>
      </c>
      <c r="O631" t="str">
        <f t="shared" si="83"/>
        <v>REAL</v>
      </c>
      <c r="P631" t="str">
        <f t="shared" si="84"/>
        <v>POWER METER 1AN1</v>
      </c>
      <c r="R631" t="str">
        <f t="shared" si="85"/>
        <v>QGBT2 -CORRENTE I1</v>
      </c>
      <c r="U631" t="str">
        <f t="shared" si="86"/>
        <v>Misura</v>
      </c>
      <c r="V631" t="str">
        <f t="shared" si="87"/>
        <v>QGBT2</v>
      </c>
      <c r="W631" t="str">
        <f t="shared" si="88"/>
        <v>CABINA PRINCIPALE</v>
      </c>
      <c r="Z631" t="str">
        <f t="shared" si="89"/>
        <v>10.220.80.16</v>
      </c>
    </row>
    <row r="632" spans="1:26" x14ac:dyDescent="0.25">
      <c r="A632" t="s">
        <v>10</v>
      </c>
      <c r="B632" t="s">
        <v>11</v>
      </c>
      <c r="C632" t="s">
        <v>209</v>
      </c>
      <c r="D632" t="s">
        <v>1293</v>
      </c>
      <c r="E632" t="s">
        <v>1294</v>
      </c>
      <c r="F632" t="s">
        <v>14</v>
      </c>
      <c r="G632" t="s">
        <v>15</v>
      </c>
      <c r="H632" t="s">
        <v>1295</v>
      </c>
      <c r="I632">
        <v>1162</v>
      </c>
      <c r="J632" t="s">
        <v>1317</v>
      </c>
      <c r="K632">
        <f t="shared" si="81"/>
        <v>1162</v>
      </c>
      <c r="N632" t="str">
        <f t="shared" si="82"/>
        <v>HOLDING REGISTER</v>
      </c>
      <c r="O632" t="str">
        <f t="shared" si="83"/>
        <v>REAL</v>
      </c>
      <c r="P632" t="str">
        <f t="shared" si="84"/>
        <v>POWER METER 1AN1</v>
      </c>
      <c r="R632" t="str">
        <f t="shared" si="85"/>
        <v>QGBT2 -CORRENTE I2</v>
      </c>
      <c r="U632" t="str">
        <f t="shared" si="86"/>
        <v>Misura</v>
      </c>
      <c r="V632" t="str">
        <f t="shared" si="87"/>
        <v>QGBT2</v>
      </c>
      <c r="W632" t="str">
        <f t="shared" si="88"/>
        <v>CABINA PRINCIPALE</v>
      </c>
      <c r="Z632" t="str">
        <f t="shared" si="89"/>
        <v>10.220.80.16</v>
      </c>
    </row>
    <row r="633" spans="1:26" x14ac:dyDescent="0.25">
      <c r="A633" t="s">
        <v>10</v>
      </c>
      <c r="B633" t="s">
        <v>11</v>
      </c>
      <c r="C633" t="s">
        <v>209</v>
      </c>
      <c r="D633" t="s">
        <v>1293</v>
      </c>
      <c r="E633" t="s">
        <v>1294</v>
      </c>
      <c r="F633" t="s">
        <v>14</v>
      </c>
      <c r="G633" t="s">
        <v>15</v>
      </c>
      <c r="H633" t="s">
        <v>1295</v>
      </c>
      <c r="I633">
        <v>1164</v>
      </c>
      <c r="J633" t="s">
        <v>1318</v>
      </c>
      <c r="K633">
        <f t="shared" si="81"/>
        <v>1164</v>
      </c>
      <c r="N633" t="str">
        <f t="shared" si="82"/>
        <v>HOLDING REGISTER</v>
      </c>
      <c r="O633" t="str">
        <f t="shared" si="83"/>
        <v>REAL</v>
      </c>
      <c r="P633" t="str">
        <f t="shared" si="84"/>
        <v>POWER METER 1AN1</v>
      </c>
      <c r="R633" t="str">
        <f t="shared" si="85"/>
        <v>QGBT2 -CORRENTE I3</v>
      </c>
      <c r="U633" t="str">
        <f t="shared" si="86"/>
        <v>Misura</v>
      </c>
      <c r="V633" t="str">
        <f t="shared" si="87"/>
        <v>QGBT2</v>
      </c>
      <c r="W633" t="str">
        <f t="shared" si="88"/>
        <v>CABINA PRINCIPALE</v>
      </c>
      <c r="Z633" t="str">
        <f t="shared" si="89"/>
        <v>10.220.80.16</v>
      </c>
    </row>
    <row r="634" spans="1:26" x14ac:dyDescent="0.25">
      <c r="A634" t="s">
        <v>10</v>
      </c>
      <c r="B634" t="s">
        <v>11</v>
      </c>
      <c r="C634" t="s">
        <v>209</v>
      </c>
      <c r="D634" t="s">
        <v>1293</v>
      </c>
      <c r="E634" t="s">
        <v>1294</v>
      </c>
      <c r="F634" t="s">
        <v>14</v>
      </c>
      <c r="G634" t="s">
        <v>15</v>
      </c>
      <c r="H634" t="s">
        <v>1295</v>
      </c>
      <c r="I634">
        <v>1166</v>
      </c>
      <c r="J634" t="s">
        <v>1319</v>
      </c>
      <c r="K634">
        <f t="shared" si="81"/>
        <v>1166</v>
      </c>
      <c r="N634" t="str">
        <f t="shared" si="82"/>
        <v>HOLDING REGISTER</v>
      </c>
      <c r="O634" t="str">
        <f t="shared" si="83"/>
        <v>REAL</v>
      </c>
      <c r="P634" t="str">
        <f t="shared" si="84"/>
        <v>POWER METER 1AN1</v>
      </c>
      <c r="R634" t="str">
        <f t="shared" si="85"/>
        <v>QGBT2 -CORRENTE IN</v>
      </c>
      <c r="U634" t="str">
        <f t="shared" si="86"/>
        <v>Misura</v>
      </c>
      <c r="V634" t="str">
        <f t="shared" si="87"/>
        <v>QGBT2</v>
      </c>
      <c r="W634" t="str">
        <f t="shared" si="88"/>
        <v>CABINA PRINCIPALE</v>
      </c>
      <c r="Z634" t="str">
        <f t="shared" si="89"/>
        <v>10.220.80.16</v>
      </c>
    </row>
    <row r="635" spans="1:26" x14ac:dyDescent="0.25">
      <c r="A635" t="s">
        <v>10</v>
      </c>
      <c r="B635" t="s">
        <v>11</v>
      </c>
      <c r="C635" t="s">
        <v>209</v>
      </c>
      <c r="D635" t="s">
        <v>1293</v>
      </c>
      <c r="E635" t="s">
        <v>1294</v>
      </c>
      <c r="F635" t="s">
        <v>14</v>
      </c>
      <c r="G635" t="s">
        <v>15</v>
      </c>
      <c r="H635" t="s">
        <v>1295</v>
      </c>
      <c r="I635">
        <v>1168</v>
      </c>
      <c r="J635" t="s">
        <v>1320</v>
      </c>
      <c r="K635">
        <f t="shared" si="81"/>
        <v>1168</v>
      </c>
      <c r="N635" t="str">
        <f t="shared" si="82"/>
        <v>HOLDING REGISTER</v>
      </c>
      <c r="O635" t="str">
        <f t="shared" si="83"/>
        <v>REAL</v>
      </c>
      <c r="P635" t="str">
        <f t="shared" si="84"/>
        <v>POWER METER 1AN1</v>
      </c>
      <c r="R635" t="str">
        <f t="shared" si="85"/>
        <v>QGBT2 -TENSIONE U12</v>
      </c>
      <c r="U635" t="str">
        <f t="shared" si="86"/>
        <v>Misura</v>
      </c>
      <c r="V635" t="str">
        <f t="shared" si="87"/>
        <v>QGBT2</v>
      </c>
      <c r="W635" t="str">
        <f t="shared" si="88"/>
        <v>CABINA PRINCIPALE</v>
      </c>
      <c r="Z635" t="str">
        <f t="shared" si="89"/>
        <v>10.220.80.16</v>
      </c>
    </row>
    <row r="636" spans="1:26" x14ac:dyDescent="0.25">
      <c r="A636" t="s">
        <v>10</v>
      </c>
      <c r="B636" t="s">
        <v>11</v>
      </c>
      <c r="C636" t="s">
        <v>209</v>
      </c>
      <c r="D636" t="s">
        <v>1293</v>
      </c>
      <c r="E636" t="s">
        <v>1294</v>
      </c>
      <c r="F636" t="s">
        <v>14</v>
      </c>
      <c r="G636" t="s">
        <v>15</v>
      </c>
      <c r="H636" t="s">
        <v>1295</v>
      </c>
      <c r="I636">
        <v>1170</v>
      </c>
      <c r="J636" t="s">
        <v>1321</v>
      </c>
      <c r="K636">
        <f t="shared" si="81"/>
        <v>1170</v>
      </c>
      <c r="N636" t="str">
        <f t="shared" si="82"/>
        <v>HOLDING REGISTER</v>
      </c>
      <c r="O636" t="str">
        <f t="shared" si="83"/>
        <v>REAL</v>
      </c>
      <c r="P636" t="str">
        <f t="shared" si="84"/>
        <v>POWER METER 1AN1</v>
      </c>
      <c r="R636" t="str">
        <f t="shared" si="85"/>
        <v>QGBT2 -TENSIONE U23</v>
      </c>
      <c r="U636" t="str">
        <f t="shared" si="86"/>
        <v>Misura</v>
      </c>
      <c r="V636" t="str">
        <f t="shared" si="87"/>
        <v>QGBT2</v>
      </c>
      <c r="W636" t="str">
        <f t="shared" si="88"/>
        <v>CABINA PRINCIPALE</v>
      </c>
      <c r="Z636" t="str">
        <f t="shared" si="89"/>
        <v>10.220.80.16</v>
      </c>
    </row>
    <row r="637" spans="1:26" x14ac:dyDescent="0.25">
      <c r="A637" t="s">
        <v>10</v>
      </c>
      <c r="B637" t="s">
        <v>11</v>
      </c>
      <c r="C637" t="s">
        <v>209</v>
      </c>
      <c r="D637" t="s">
        <v>1293</v>
      </c>
      <c r="E637" t="s">
        <v>1294</v>
      </c>
      <c r="F637" t="s">
        <v>14</v>
      </c>
      <c r="G637" t="s">
        <v>15</v>
      </c>
      <c r="H637" t="s">
        <v>1295</v>
      </c>
      <c r="I637">
        <v>1172</v>
      </c>
      <c r="J637" t="s">
        <v>1322</v>
      </c>
      <c r="K637">
        <f t="shared" si="81"/>
        <v>1172</v>
      </c>
      <c r="N637" t="str">
        <f t="shared" si="82"/>
        <v>HOLDING REGISTER</v>
      </c>
      <c r="O637" t="str">
        <f t="shared" si="83"/>
        <v>REAL</v>
      </c>
      <c r="P637" t="str">
        <f t="shared" si="84"/>
        <v>POWER METER 1AN1</v>
      </c>
      <c r="R637" t="str">
        <f t="shared" si="85"/>
        <v>QGBT2 -TENSIONE U31</v>
      </c>
      <c r="U637" t="str">
        <f t="shared" si="86"/>
        <v>Misura</v>
      </c>
      <c r="V637" t="str">
        <f t="shared" si="87"/>
        <v>QGBT2</v>
      </c>
      <c r="W637" t="str">
        <f t="shared" si="88"/>
        <v>CABINA PRINCIPALE</v>
      </c>
      <c r="Z637" t="str">
        <f t="shared" si="89"/>
        <v>10.220.80.16</v>
      </c>
    </row>
    <row r="638" spans="1:26" x14ac:dyDescent="0.25">
      <c r="A638" t="s">
        <v>10</v>
      </c>
      <c r="B638" t="s">
        <v>11</v>
      </c>
      <c r="C638" t="s">
        <v>209</v>
      </c>
      <c r="D638" t="s">
        <v>1293</v>
      </c>
      <c r="E638" t="s">
        <v>1294</v>
      </c>
      <c r="F638" t="s">
        <v>14</v>
      </c>
      <c r="G638" t="s">
        <v>15</v>
      </c>
      <c r="H638" t="s">
        <v>1295</v>
      </c>
      <c r="I638">
        <v>1174</v>
      </c>
      <c r="J638" t="s">
        <v>1323</v>
      </c>
      <c r="K638">
        <f t="shared" si="81"/>
        <v>1174</v>
      </c>
      <c r="N638" t="str">
        <f t="shared" si="82"/>
        <v>HOLDING REGISTER</v>
      </c>
      <c r="O638" t="str">
        <f t="shared" si="83"/>
        <v>REAL</v>
      </c>
      <c r="P638" t="str">
        <f t="shared" si="84"/>
        <v>POWER METER 1AN1</v>
      </c>
      <c r="R638" t="str">
        <f t="shared" si="85"/>
        <v>QGBT2 -CORRENTE I_AVG</v>
      </c>
      <c r="U638" t="str">
        <f t="shared" si="86"/>
        <v>Misura</v>
      </c>
      <c r="V638" t="str">
        <f t="shared" si="87"/>
        <v>QGBT2</v>
      </c>
      <c r="W638" t="str">
        <f t="shared" si="88"/>
        <v>CABINA PRINCIPALE</v>
      </c>
      <c r="Z638" t="str">
        <f t="shared" si="89"/>
        <v>10.220.80.16</v>
      </c>
    </row>
    <row r="639" spans="1:26" x14ac:dyDescent="0.25">
      <c r="A639" t="s">
        <v>10</v>
      </c>
      <c r="B639" t="s">
        <v>11</v>
      </c>
      <c r="C639" t="s">
        <v>209</v>
      </c>
      <c r="D639" t="s">
        <v>1293</v>
      </c>
      <c r="E639" t="s">
        <v>1294</v>
      </c>
      <c r="F639" t="s">
        <v>14</v>
      </c>
      <c r="G639" t="s">
        <v>15</v>
      </c>
      <c r="H639" t="s">
        <v>1295</v>
      </c>
      <c r="I639">
        <v>1176</v>
      </c>
      <c r="J639" t="s">
        <v>1324</v>
      </c>
      <c r="K639">
        <f t="shared" si="81"/>
        <v>1176</v>
      </c>
      <c r="N639" t="str">
        <f t="shared" si="82"/>
        <v>HOLDING REGISTER</v>
      </c>
      <c r="O639" t="str">
        <f t="shared" si="83"/>
        <v>REAL</v>
      </c>
      <c r="P639" t="str">
        <f t="shared" si="84"/>
        <v>POWER METER 1AN1</v>
      </c>
      <c r="R639" t="str">
        <f t="shared" si="85"/>
        <v>QGBT2 -TENSIONE LL_AVG</v>
      </c>
      <c r="U639" t="str">
        <f t="shared" si="86"/>
        <v>Misura</v>
      </c>
      <c r="V639" t="str">
        <f t="shared" si="87"/>
        <v>QGBT2</v>
      </c>
      <c r="W639" t="str">
        <f t="shared" si="88"/>
        <v>CABINA PRINCIPALE</v>
      </c>
      <c r="Z639" t="str">
        <f t="shared" si="89"/>
        <v>10.220.80.16</v>
      </c>
    </row>
    <row r="640" spans="1:26" x14ac:dyDescent="0.25">
      <c r="A640" t="s">
        <v>10</v>
      </c>
      <c r="B640" t="s">
        <v>11</v>
      </c>
      <c r="C640" t="s">
        <v>209</v>
      </c>
      <c r="D640" t="s">
        <v>1293</v>
      </c>
      <c r="E640" t="s">
        <v>1294</v>
      </c>
      <c r="F640" t="s">
        <v>14</v>
      </c>
      <c r="G640" t="s">
        <v>15</v>
      </c>
      <c r="H640" t="s">
        <v>1295</v>
      </c>
      <c r="I640">
        <v>1178</v>
      </c>
      <c r="J640" t="s">
        <v>1325</v>
      </c>
      <c r="K640">
        <f t="shared" si="81"/>
        <v>1178</v>
      </c>
      <c r="N640" t="str">
        <f t="shared" si="82"/>
        <v>HOLDING REGISTER</v>
      </c>
      <c r="O640" t="str">
        <f t="shared" si="83"/>
        <v>REAL</v>
      </c>
      <c r="P640" t="str">
        <f t="shared" si="84"/>
        <v>POWER METER 1AN1</v>
      </c>
      <c r="R640" t="str">
        <f t="shared" si="85"/>
        <v>QGBT2 -TENSIONE LN_AVG</v>
      </c>
      <c r="U640" t="str">
        <f t="shared" si="86"/>
        <v>Misura</v>
      </c>
      <c r="V640" t="str">
        <f t="shared" si="87"/>
        <v>QGBT2</v>
      </c>
      <c r="W640" t="str">
        <f t="shared" si="88"/>
        <v>CABINA PRINCIPALE</v>
      </c>
      <c r="Z640" t="str">
        <f t="shared" si="89"/>
        <v>10.220.80.16</v>
      </c>
    </row>
    <row r="641" spans="1:26" x14ac:dyDescent="0.25">
      <c r="A641" t="s">
        <v>10</v>
      </c>
      <c r="B641" t="s">
        <v>11</v>
      </c>
      <c r="C641" t="s">
        <v>209</v>
      </c>
      <c r="D641" t="s">
        <v>1293</v>
      </c>
      <c r="E641" t="s">
        <v>1294</v>
      </c>
      <c r="F641" t="s">
        <v>14</v>
      </c>
      <c r="G641" t="s">
        <v>15</v>
      </c>
      <c r="H641" t="s">
        <v>1295</v>
      </c>
      <c r="I641">
        <v>1180</v>
      </c>
      <c r="J641" t="s">
        <v>1326</v>
      </c>
      <c r="K641">
        <f t="shared" si="81"/>
        <v>1180</v>
      </c>
      <c r="N641" t="str">
        <f t="shared" si="82"/>
        <v>HOLDING REGISTER</v>
      </c>
      <c r="O641" t="str">
        <f t="shared" si="83"/>
        <v>REAL</v>
      </c>
      <c r="P641" t="str">
        <f t="shared" si="84"/>
        <v>POWER METER 1AN1</v>
      </c>
      <c r="R641" t="str">
        <f t="shared" si="85"/>
        <v>QGBT2 -POTENZA ATTIVA P</v>
      </c>
      <c r="U641" t="str">
        <f t="shared" si="86"/>
        <v>Misura</v>
      </c>
      <c r="V641" t="str">
        <f t="shared" si="87"/>
        <v>QGBT2</v>
      </c>
      <c r="W641" t="str">
        <f t="shared" si="88"/>
        <v>CABINA PRINCIPALE</v>
      </c>
      <c r="Z641" t="str">
        <f t="shared" si="89"/>
        <v>10.220.80.16</v>
      </c>
    </row>
    <row r="642" spans="1:26" x14ac:dyDescent="0.25">
      <c r="A642" t="s">
        <v>10</v>
      </c>
      <c r="B642" t="s">
        <v>11</v>
      </c>
      <c r="C642" t="s">
        <v>209</v>
      </c>
      <c r="D642" t="s">
        <v>1293</v>
      </c>
      <c r="E642" t="s">
        <v>1294</v>
      </c>
      <c r="F642" t="s">
        <v>14</v>
      </c>
      <c r="G642" t="s">
        <v>15</v>
      </c>
      <c r="H642" t="s">
        <v>1295</v>
      </c>
      <c r="I642">
        <v>1182</v>
      </c>
      <c r="J642" t="s">
        <v>1327</v>
      </c>
      <c r="K642">
        <f t="shared" si="81"/>
        <v>1182</v>
      </c>
      <c r="N642" t="str">
        <f t="shared" si="82"/>
        <v>HOLDING REGISTER</v>
      </c>
      <c r="O642" t="str">
        <f t="shared" si="83"/>
        <v>REAL</v>
      </c>
      <c r="P642" t="str">
        <f t="shared" si="84"/>
        <v>POWER METER 1AN1</v>
      </c>
      <c r="R642" t="str">
        <f t="shared" si="85"/>
        <v>QGBT2 -POTENZA REATTIVA Q</v>
      </c>
      <c r="U642" t="str">
        <f t="shared" si="86"/>
        <v>Misura</v>
      </c>
      <c r="V642" t="str">
        <f t="shared" si="87"/>
        <v>QGBT2</v>
      </c>
      <c r="W642" t="str">
        <f t="shared" si="88"/>
        <v>CABINA PRINCIPALE</v>
      </c>
      <c r="Z642" t="str">
        <f t="shared" si="89"/>
        <v>10.220.80.16</v>
      </c>
    </row>
    <row r="643" spans="1:26" x14ac:dyDescent="0.25">
      <c r="A643" t="s">
        <v>10</v>
      </c>
      <c r="B643" t="s">
        <v>11</v>
      </c>
      <c r="C643" t="s">
        <v>209</v>
      </c>
      <c r="D643" t="s">
        <v>1293</v>
      </c>
      <c r="E643" t="s">
        <v>1294</v>
      </c>
      <c r="F643" t="s">
        <v>14</v>
      </c>
      <c r="G643" t="s">
        <v>15</v>
      </c>
      <c r="H643" t="s">
        <v>1295</v>
      </c>
      <c r="I643">
        <v>1184</v>
      </c>
      <c r="J643" t="s">
        <v>1328</v>
      </c>
      <c r="K643">
        <f t="shared" ref="K643:K706" si="90">IF(I643="","",I643)</f>
        <v>1184</v>
      </c>
      <c r="N643" t="str">
        <f t="shared" ref="N643:N706" si="91">IF(F643="","",F643)</f>
        <v>HOLDING REGISTER</v>
      </c>
      <c r="O643" t="str">
        <f t="shared" ref="O643:O706" si="92">IF(H643="","",H643)</f>
        <v>REAL</v>
      </c>
      <c r="P643" t="str">
        <f t="shared" ref="P643:P706" si="93">_xlfn.CONCAT(D643," ",E643)</f>
        <v>POWER METER 1AN1</v>
      </c>
      <c r="R643" t="str">
        <f t="shared" ref="R643:R706" si="94">IF(J643="","",J643)</f>
        <v>QGBT2 -POTENZA APPARENTE S</v>
      </c>
      <c r="U643" t="str">
        <f t="shared" ref="U643:U706" si="95">IF(G643="","",G643)</f>
        <v>Misura</v>
      </c>
      <c r="V643" t="str">
        <f t="shared" ref="V643:V706" si="96">IF(C643="","",C643)</f>
        <v>QGBT2</v>
      </c>
      <c r="W643" t="str">
        <f t="shared" ref="W643:W706" si="97">IF(B643="","",B643)</f>
        <v>CABINA PRINCIPALE</v>
      </c>
      <c r="Z643" t="str">
        <f t="shared" ref="Z643:Z706" si="98">IF(A643="","",A643)</f>
        <v>10.220.80.16</v>
      </c>
    </row>
    <row r="644" spans="1:26" x14ac:dyDescent="0.25">
      <c r="A644" t="s">
        <v>10</v>
      </c>
      <c r="B644" t="s">
        <v>11</v>
      </c>
      <c r="C644" t="s">
        <v>209</v>
      </c>
      <c r="D644" t="s">
        <v>1293</v>
      </c>
      <c r="E644" t="s">
        <v>1294</v>
      </c>
      <c r="F644" t="s">
        <v>14</v>
      </c>
      <c r="G644" t="s">
        <v>15</v>
      </c>
      <c r="H644" t="s">
        <v>1295</v>
      </c>
      <c r="I644">
        <v>1186</v>
      </c>
      <c r="J644" t="s">
        <v>1329</v>
      </c>
      <c r="K644">
        <f t="shared" si="90"/>
        <v>1186</v>
      </c>
      <c r="N644" t="str">
        <f t="shared" si="91"/>
        <v>HOLDING REGISTER</v>
      </c>
      <c r="O644" t="str">
        <f t="shared" si="92"/>
        <v>REAL</v>
      </c>
      <c r="P644" t="str">
        <f t="shared" si="93"/>
        <v>POWER METER 1AN1</v>
      </c>
      <c r="R644" t="str">
        <f t="shared" si="94"/>
        <v>QGBT2 -FATTORE POTENZA Cosfì</v>
      </c>
      <c r="U644" t="str">
        <f t="shared" si="95"/>
        <v>Misura</v>
      </c>
      <c r="V644" t="str">
        <f t="shared" si="96"/>
        <v>QGBT2</v>
      </c>
      <c r="W644" t="str">
        <f t="shared" si="97"/>
        <v>CABINA PRINCIPALE</v>
      </c>
      <c r="Z644" t="str">
        <f t="shared" si="98"/>
        <v>10.220.80.16</v>
      </c>
    </row>
    <row r="645" spans="1:26" x14ac:dyDescent="0.25">
      <c r="A645" t="s">
        <v>10</v>
      </c>
      <c r="B645" t="s">
        <v>11</v>
      </c>
      <c r="C645" t="s">
        <v>209</v>
      </c>
      <c r="D645" t="s">
        <v>1293</v>
      </c>
      <c r="E645" t="s">
        <v>1294</v>
      </c>
      <c r="F645" t="s">
        <v>14</v>
      </c>
      <c r="G645" t="s">
        <v>15</v>
      </c>
      <c r="H645" t="s">
        <v>1295</v>
      </c>
      <c r="I645">
        <v>1188</v>
      </c>
      <c r="J645" t="s">
        <v>1330</v>
      </c>
      <c r="K645">
        <f t="shared" si="90"/>
        <v>1188</v>
      </c>
      <c r="N645" t="str">
        <f t="shared" si="91"/>
        <v>HOLDING REGISTER</v>
      </c>
      <c r="O645" t="str">
        <f t="shared" si="92"/>
        <v>REAL</v>
      </c>
      <c r="P645" t="str">
        <f t="shared" si="93"/>
        <v>POWER METER 1AN1</v>
      </c>
      <c r="R645" t="str">
        <f t="shared" si="94"/>
        <v>QGBT2 -FREQUENZA F</v>
      </c>
      <c r="U645" t="str">
        <f t="shared" si="95"/>
        <v>Misura</v>
      </c>
      <c r="V645" t="str">
        <f t="shared" si="96"/>
        <v>QGBT2</v>
      </c>
      <c r="W645" t="str">
        <f t="shared" si="97"/>
        <v>CABINA PRINCIPALE</v>
      </c>
      <c r="Z645" t="str">
        <f t="shared" si="98"/>
        <v>10.220.80.16</v>
      </c>
    </row>
    <row r="646" spans="1:26" x14ac:dyDescent="0.25">
      <c r="A646" t="s">
        <v>10</v>
      </c>
      <c r="B646" t="s">
        <v>11</v>
      </c>
      <c r="C646" t="s">
        <v>209</v>
      </c>
      <c r="D646" t="s">
        <v>1293</v>
      </c>
      <c r="E646" t="s">
        <v>1294</v>
      </c>
      <c r="F646" t="s">
        <v>14</v>
      </c>
      <c r="G646" t="s">
        <v>28</v>
      </c>
      <c r="H646" t="s">
        <v>22</v>
      </c>
      <c r="I646" t="s">
        <v>1331</v>
      </c>
      <c r="J646" t="s">
        <v>1332</v>
      </c>
      <c r="K646" t="str">
        <f t="shared" si="90"/>
        <v>1037.2</v>
      </c>
      <c r="N646" t="str">
        <f t="shared" si="91"/>
        <v>HOLDING REGISTER</v>
      </c>
      <c r="O646" t="str">
        <f t="shared" si="92"/>
        <v>BOOL</v>
      </c>
      <c r="P646" t="str">
        <f t="shared" si="93"/>
        <v>POWER METER 1AN1</v>
      </c>
      <c r="R646" t="str">
        <f t="shared" si="94"/>
        <v>QGBT2 -ERRORE COMUNICAZIONE PM 1AN1</v>
      </c>
      <c r="U646" t="str">
        <f t="shared" si="95"/>
        <v>Allarme</v>
      </c>
      <c r="V646" t="str">
        <f t="shared" si="96"/>
        <v>QGBT2</v>
      </c>
      <c r="W646" t="str">
        <f t="shared" si="97"/>
        <v>CABINA PRINCIPALE</v>
      </c>
      <c r="Z646" t="str">
        <f t="shared" si="98"/>
        <v>10.220.80.16</v>
      </c>
    </row>
    <row r="647" spans="1:26" x14ac:dyDescent="0.25">
      <c r="A647" t="s">
        <v>10</v>
      </c>
      <c r="B647" t="s">
        <v>1063</v>
      </c>
      <c r="C647" t="s">
        <v>1333</v>
      </c>
      <c r="D647" t="s">
        <v>1334</v>
      </c>
      <c r="E647" t="s">
        <v>1335</v>
      </c>
      <c r="F647" t="s">
        <v>14</v>
      </c>
      <c r="G647" t="s">
        <v>28</v>
      </c>
      <c r="H647" t="s">
        <v>22</v>
      </c>
      <c r="I647" t="s">
        <v>1336</v>
      </c>
      <c r="J647" t="s">
        <v>1337</v>
      </c>
      <c r="K647" t="str">
        <f t="shared" si="90"/>
        <v>1037.3</v>
      </c>
      <c r="N647" t="str">
        <f t="shared" si="91"/>
        <v>HOLDING REGISTER</v>
      </c>
      <c r="O647" t="str">
        <f t="shared" si="92"/>
        <v>BOOL</v>
      </c>
      <c r="P647" t="str">
        <f t="shared" si="93"/>
        <v>PORTE INGRESSO P1</v>
      </c>
      <c r="R647" t="str">
        <f t="shared" si="94"/>
        <v>PORTA INGRESSO DA GALLERIA ACCESSO 1 APERTA</v>
      </c>
      <c r="U647" t="str">
        <f t="shared" si="95"/>
        <v>Allarme</v>
      </c>
      <c r="V647" t="str">
        <f t="shared" si="96"/>
        <v xml:space="preserve"> DA GALLERIA ACCESSO 1</v>
      </c>
      <c r="W647" t="str">
        <f t="shared" si="97"/>
        <v>GALLERIA SAN GIULIANO</v>
      </c>
      <c r="Z647" t="str">
        <f t="shared" si="98"/>
        <v>10.220.80.16</v>
      </c>
    </row>
    <row r="648" spans="1:26" x14ac:dyDescent="0.25">
      <c r="A648" t="s">
        <v>10</v>
      </c>
      <c r="B648" t="s">
        <v>1063</v>
      </c>
      <c r="C648" t="s">
        <v>1338</v>
      </c>
      <c r="D648" t="s">
        <v>1334</v>
      </c>
      <c r="E648" t="s">
        <v>1339</v>
      </c>
      <c r="F648" t="s">
        <v>14</v>
      </c>
      <c r="G648" t="s">
        <v>28</v>
      </c>
      <c r="H648" t="s">
        <v>22</v>
      </c>
      <c r="I648" t="s">
        <v>1340</v>
      </c>
      <c r="J648" t="s">
        <v>1341</v>
      </c>
      <c r="K648" t="str">
        <f t="shared" si="90"/>
        <v>1037.4</v>
      </c>
      <c r="N648" t="str">
        <f t="shared" si="91"/>
        <v>HOLDING REGISTER</v>
      </c>
      <c r="O648" t="str">
        <f t="shared" si="92"/>
        <v>BOOL</v>
      </c>
      <c r="P648" t="str">
        <f t="shared" si="93"/>
        <v>PORTE INGRESSO P2</v>
      </c>
      <c r="R648" t="str">
        <f t="shared" si="94"/>
        <v>PORTA INGRESSO VIA FUGA ACCESSO 1 APERTA</v>
      </c>
      <c r="U648" t="str">
        <f t="shared" si="95"/>
        <v>Allarme</v>
      </c>
      <c r="V648" t="str">
        <f t="shared" si="96"/>
        <v xml:space="preserve"> VIA FUGA ACCESSO 1</v>
      </c>
      <c r="W648" t="str">
        <f t="shared" si="97"/>
        <v>GALLERIA SAN GIULIANO</v>
      </c>
      <c r="Z648" t="str">
        <f t="shared" si="98"/>
        <v>10.220.80.16</v>
      </c>
    </row>
    <row r="649" spans="1:26" x14ac:dyDescent="0.25">
      <c r="A649" t="s">
        <v>10</v>
      </c>
      <c r="B649" t="s">
        <v>1063</v>
      </c>
      <c r="C649" t="s">
        <v>1342</v>
      </c>
      <c r="D649" t="s">
        <v>1334</v>
      </c>
      <c r="E649" t="s">
        <v>1335</v>
      </c>
      <c r="F649" t="s">
        <v>14</v>
      </c>
      <c r="G649" t="s">
        <v>28</v>
      </c>
      <c r="H649" t="s">
        <v>22</v>
      </c>
      <c r="I649" t="s">
        <v>1343</v>
      </c>
      <c r="J649" t="s">
        <v>1344</v>
      </c>
      <c r="K649" t="str">
        <f t="shared" si="90"/>
        <v>1037.5</v>
      </c>
      <c r="N649" t="str">
        <f t="shared" si="91"/>
        <v>HOLDING REGISTER</v>
      </c>
      <c r="O649" t="str">
        <f t="shared" si="92"/>
        <v>BOOL</v>
      </c>
      <c r="P649" t="str">
        <f t="shared" si="93"/>
        <v>PORTE INGRESSO P1</v>
      </c>
      <c r="R649" t="str">
        <f t="shared" si="94"/>
        <v>PORTA INGRESSO DA GALLERIA ACCESSO 2 APERTA</v>
      </c>
      <c r="U649" t="str">
        <f t="shared" si="95"/>
        <v>Allarme</v>
      </c>
      <c r="V649" t="str">
        <f t="shared" si="96"/>
        <v xml:space="preserve"> DA GALLERIA ACCESSO 2</v>
      </c>
      <c r="W649" t="str">
        <f t="shared" si="97"/>
        <v>GALLERIA SAN GIULIANO</v>
      </c>
      <c r="Z649" t="str">
        <f t="shared" si="98"/>
        <v>10.220.80.16</v>
      </c>
    </row>
    <row r="650" spans="1:26" x14ac:dyDescent="0.25">
      <c r="A650" t="s">
        <v>10</v>
      </c>
      <c r="B650" t="s">
        <v>1063</v>
      </c>
      <c r="C650" t="s">
        <v>1345</v>
      </c>
      <c r="D650" t="s">
        <v>1334</v>
      </c>
      <c r="E650" t="s">
        <v>1339</v>
      </c>
      <c r="F650" t="s">
        <v>14</v>
      </c>
      <c r="G650" t="s">
        <v>28</v>
      </c>
      <c r="H650" t="s">
        <v>22</v>
      </c>
      <c r="I650" t="s">
        <v>1346</v>
      </c>
      <c r="J650" t="s">
        <v>1347</v>
      </c>
      <c r="K650" t="str">
        <f t="shared" si="90"/>
        <v>1037.6</v>
      </c>
      <c r="N650" t="str">
        <f t="shared" si="91"/>
        <v>HOLDING REGISTER</v>
      </c>
      <c r="O650" t="str">
        <f t="shared" si="92"/>
        <v>BOOL</v>
      </c>
      <c r="P650" t="str">
        <f t="shared" si="93"/>
        <v>PORTE INGRESSO P2</v>
      </c>
      <c r="R650" t="str">
        <f t="shared" si="94"/>
        <v>PORTA INGRESSO VIA FUGA ACCESSO 2 APERTA</v>
      </c>
      <c r="U650" t="str">
        <f t="shared" si="95"/>
        <v>Allarme</v>
      </c>
      <c r="V650" t="str">
        <f t="shared" si="96"/>
        <v xml:space="preserve"> VIA FUGA ACCESSO 2</v>
      </c>
      <c r="W650" t="str">
        <f t="shared" si="97"/>
        <v>GALLERIA SAN GIULIANO</v>
      </c>
      <c r="Z650" t="str">
        <f t="shared" si="98"/>
        <v>10.220.80.16</v>
      </c>
    </row>
    <row r="651" spans="1:26" x14ac:dyDescent="0.25">
      <c r="A651" t="s">
        <v>10</v>
      </c>
      <c r="B651" t="s">
        <v>1063</v>
      </c>
      <c r="C651" t="s">
        <v>1348</v>
      </c>
      <c r="D651" t="s">
        <v>1334</v>
      </c>
      <c r="E651" t="s">
        <v>1335</v>
      </c>
      <c r="F651" t="s">
        <v>14</v>
      </c>
      <c r="G651" t="s">
        <v>28</v>
      </c>
      <c r="H651" t="s">
        <v>22</v>
      </c>
      <c r="I651" t="s">
        <v>1349</v>
      </c>
      <c r="J651" t="s">
        <v>1350</v>
      </c>
      <c r="K651" t="str">
        <f t="shared" si="90"/>
        <v>1037.7</v>
      </c>
      <c r="N651" t="str">
        <f t="shared" si="91"/>
        <v>HOLDING REGISTER</v>
      </c>
      <c r="O651" t="str">
        <f t="shared" si="92"/>
        <v>BOOL</v>
      </c>
      <c r="P651" t="str">
        <f t="shared" si="93"/>
        <v>PORTE INGRESSO P1</v>
      </c>
      <c r="R651" t="str">
        <f t="shared" si="94"/>
        <v>PORTA INGRESSO DA PIAZZOLA GALLERIA ACCESSO PIAZZOLA APERTA</v>
      </c>
      <c r="U651" t="str">
        <f t="shared" si="95"/>
        <v>Allarme</v>
      </c>
      <c r="V651" t="str">
        <f t="shared" si="96"/>
        <v xml:space="preserve"> DA PIAZZOLA GALLERIA ACCESSO PIAZZOLA</v>
      </c>
      <c r="W651" t="str">
        <f t="shared" si="97"/>
        <v>GALLERIA SAN GIULIANO</v>
      </c>
      <c r="Z651" t="str">
        <f t="shared" si="98"/>
        <v>10.220.80.16</v>
      </c>
    </row>
    <row r="652" spans="1:26" x14ac:dyDescent="0.25">
      <c r="A652" t="s">
        <v>10</v>
      </c>
      <c r="B652" t="s">
        <v>1063</v>
      </c>
      <c r="C652" t="s">
        <v>1351</v>
      </c>
      <c r="D652" t="s">
        <v>1334</v>
      </c>
      <c r="E652" t="s">
        <v>1339</v>
      </c>
      <c r="F652" t="s">
        <v>14</v>
      </c>
      <c r="G652" t="s">
        <v>28</v>
      </c>
      <c r="H652" t="s">
        <v>22</v>
      </c>
      <c r="I652" t="s">
        <v>1352</v>
      </c>
      <c r="J652" t="s">
        <v>1353</v>
      </c>
      <c r="K652" t="str">
        <f t="shared" si="90"/>
        <v>1037.8</v>
      </c>
      <c r="N652" t="str">
        <f t="shared" si="91"/>
        <v>HOLDING REGISTER</v>
      </c>
      <c r="O652" t="str">
        <f t="shared" si="92"/>
        <v>BOOL</v>
      </c>
      <c r="P652" t="str">
        <f t="shared" si="93"/>
        <v>PORTE INGRESSO P2</v>
      </c>
      <c r="R652" t="str">
        <f t="shared" si="94"/>
        <v>PORTA INGRESSO VIA FUGA ACCESSO PIAZZOLA APERTA</v>
      </c>
      <c r="U652" t="str">
        <f t="shared" si="95"/>
        <v>Allarme</v>
      </c>
      <c r="V652" t="str">
        <f t="shared" si="96"/>
        <v xml:space="preserve"> VIA FUGA ACCESSO PIAZZOLA</v>
      </c>
      <c r="W652" t="str">
        <f t="shared" si="97"/>
        <v>GALLERIA SAN GIULIANO</v>
      </c>
      <c r="Z652" t="str">
        <f t="shared" si="98"/>
        <v>10.220.80.16</v>
      </c>
    </row>
    <row r="653" spans="1:26" x14ac:dyDescent="0.25">
      <c r="A653" t="s">
        <v>10</v>
      </c>
      <c r="B653" t="s">
        <v>1063</v>
      </c>
      <c r="C653" t="s">
        <v>2530</v>
      </c>
      <c r="D653" t="s">
        <v>1354</v>
      </c>
      <c r="E653" t="s">
        <v>2530</v>
      </c>
      <c r="F653" t="s">
        <v>14</v>
      </c>
      <c r="G653" t="s">
        <v>28</v>
      </c>
      <c r="H653" t="s">
        <v>22</v>
      </c>
      <c r="I653" t="s">
        <v>1355</v>
      </c>
      <c r="J653" t="s">
        <v>1356</v>
      </c>
      <c r="K653" t="str">
        <f t="shared" si="90"/>
        <v>1200.0</v>
      </c>
      <c r="N653" t="str">
        <f t="shared" si="91"/>
        <v>HOLDING REGISTER</v>
      </c>
      <c r="O653" t="str">
        <f t="shared" si="92"/>
        <v>BOOL</v>
      </c>
      <c r="P653" t="str">
        <f t="shared" si="93"/>
        <v>PULSANTE CHIAMATA SOS 1</v>
      </c>
      <c r="R653" t="str">
        <f t="shared" si="94"/>
        <v>CHIAMATA 118 EFFETTUATA</v>
      </c>
      <c r="U653" t="str">
        <f t="shared" si="95"/>
        <v>Allarme</v>
      </c>
      <c r="V653" t="str">
        <f t="shared" si="96"/>
        <v>SOS 1</v>
      </c>
      <c r="W653" t="str">
        <f t="shared" si="97"/>
        <v>GALLERIA SAN GIULIANO</v>
      </c>
      <c r="Z653" t="str">
        <f t="shared" si="98"/>
        <v>10.220.80.16</v>
      </c>
    </row>
    <row r="654" spans="1:26" x14ac:dyDescent="0.25">
      <c r="A654" t="s">
        <v>10</v>
      </c>
      <c r="B654" t="s">
        <v>1063</v>
      </c>
      <c r="C654" t="s">
        <v>2530</v>
      </c>
      <c r="D654" t="s">
        <v>1354</v>
      </c>
      <c r="E654" t="s">
        <v>2530</v>
      </c>
      <c r="F654" t="s">
        <v>14</v>
      </c>
      <c r="G654" t="s">
        <v>28</v>
      </c>
      <c r="H654" t="s">
        <v>22</v>
      </c>
      <c r="I654" t="s">
        <v>1357</v>
      </c>
      <c r="J654" t="s">
        <v>1358</v>
      </c>
      <c r="K654" t="str">
        <f t="shared" si="90"/>
        <v>1200.1</v>
      </c>
      <c r="N654" t="str">
        <f t="shared" si="91"/>
        <v>HOLDING REGISTER</v>
      </c>
      <c r="O654" t="str">
        <f t="shared" si="92"/>
        <v>BOOL</v>
      </c>
      <c r="P654" t="str">
        <f t="shared" si="93"/>
        <v>PULSANTE CHIAMATA SOS 1</v>
      </c>
      <c r="R654" t="str">
        <f t="shared" si="94"/>
        <v>CHIAMATA 113 EFFETTUATA</v>
      </c>
      <c r="U654" t="str">
        <f t="shared" si="95"/>
        <v>Allarme</v>
      </c>
      <c r="V654" t="str">
        <f t="shared" si="96"/>
        <v>SOS 1</v>
      </c>
      <c r="W654" t="str">
        <f t="shared" si="97"/>
        <v>GALLERIA SAN GIULIANO</v>
      </c>
      <c r="Z654" t="str">
        <f t="shared" si="98"/>
        <v>10.220.80.16</v>
      </c>
    </row>
    <row r="655" spans="1:26" x14ac:dyDescent="0.25">
      <c r="A655" t="s">
        <v>10</v>
      </c>
      <c r="B655" t="s">
        <v>1063</v>
      </c>
      <c r="C655" t="s">
        <v>2530</v>
      </c>
      <c r="D655" t="s">
        <v>1354</v>
      </c>
      <c r="E655" t="s">
        <v>2530</v>
      </c>
      <c r="F655" t="s">
        <v>14</v>
      </c>
      <c r="G655" t="s">
        <v>28</v>
      </c>
      <c r="H655" t="s">
        <v>22</v>
      </c>
      <c r="I655" t="s">
        <v>1359</v>
      </c>
      <c r="J655" t="s">
        <v>1360</v>
      </c>
      <c r="K655" t="str">
        <f t="shared" si="90"/>
        <v>1200.2</v>
      </c>
      <c r="N655" t="str">
        <f t="shared" si="91"/>
        <v>HOLDING REGISTER</v>
      </c>
      <c r="O655" t="str">
        <f t="shared" si="92"/>
        <v>BOOL</v>
      </c>
      <c r="P655" t="str">
        <f t="shared" si="93"/>
        <v>PULSANTE CHIAMATA SOS 1</v>
      </c>
      <c r="R655" t="str">
        <f t="shared" si="94"/>
        <v>CHIAMATA 115 EFFETTUATA</v>
      </c>
      <c r="U655" t="str">
        <f t="shared" si="95"/>
        <v>Allarme</v>
      </c>
      <c r="V655" t="str">
        <f t="shared" si="96"/>
        <v>SOS 1</v>
      </c>
      <c r="W655" t="str">
        <f t="shared" si="97"/>
        <v>GALLERIA SAN GIULIANO</v>
      </c>
      <c r="Z655" t="str">
        <f t="shared" si="98"/>
        <v>10.220.80.16</v>
      </c>
    </row>
    <row r="656" spans="1:26" x14ac:dyDescent="0.25">
      <c r="A656" t="s">
        <v>10</v>
      </c>
      <c r="B656" t="s">
        <v>1063</v>
      </c>
      <c r="C656" t="s">
        <v>2530</v>
      </c>
      <c r="D656" t="s">
        <v>1354</v>
      </c>
      <c r="E656" t="s">
        <v>2530</v>
      </c>
      <c r="F656" t="s">
        <v>14</v>
      </c>
      <c r="G656" t="s">
        <v>28</v>
      </c>
      <c r="H656" t="s">
        <v>22</v>
      </c>
      <c r="I656" t="s">
        <v>1361</v>
      </c>
      <c r="J656" t="s">
        <v>1362</v>
      </c>
      <c r="K656" t="str">
        <f t="shared" si="90"/>
        <v>1200.3</v>
      </c>
      <c r="N656" t="str">
        <f t="shared" si="91"/>
        <v>HOLDING REGISTER</v>
      </c>
      <c r="O656" t="str">
        <f t="shared" si="92"/>
        <v>BOOL</v>
      </c>
      <c r="P656" t="str">
        <f t="shared" si="93"/>
        <v>PULSANTE CHIAMATA SOS 1</v>
      </c>
      <c r="R656" t="str">
        <f t="shared" si="94"/>
        <v>CHIAMATA SALA CONTROLLO ANAS EFFETTUATA</v>
      </c>
      <c r="U656" t="str">
        <f t="shared" si="95"/>
        <v>Allarme</v>
      </c>
      <c r="V656" t="str">
        <f t="shared" si="96"/>
        <v>SOS 1</v>
      </c>
      <c r="W656" t="str">
        <f t="shared" si="97"/>
        <v>GALLERIA SAN GIULIANO</v>
      </c>
      <c r="Z656" t="str">
        <f t="shared" si="98"/>
        <v>10.220.80.16</v>
      </c>
    </row>
    <row r="657" spans="1:26" x14ac:dyDescent="0.25">
      <c r="A657" t="s">
        <v>10</v>
      </c>
      <c r="B657" t="s">
        <v>1063</v>
      </c>
      <c r="C657" t="s">
        <v>2530</v>
      </c>
      <c r="D657" t="s">
        <v>1363</v>
      </c>
      <c r="E657" t="s">
        <v>2530</v>
      </c>
      <c r="F657" t="s">
        <v>14</v>
      </c>
      <c r="G657" t="s">
        <v>28</v>
      </c>
      <c r="H657" t="s">
        <v>22</v>
      </c>
      <c r="I657" t="s">
        <v>1364</v>
      </c>
      <c r="J657" t="s">
        <v>1365</v>
      </c>
      <c r="K657" t="str">
        <f t="shared" si="90"/>
        <v>1200.4</v>
      </c>
      <c r="N657" t="str">
        <f t="shared" si="91"/>
        <v>HOLDING REGISTER</v>
      </c>
      <c r="O657" t="str">
        <f t="shared" si="92"/>
        <v>BOOL</v>
      </c>
      <c r="P657" t="str">
        <f t="shared" si="93"/>
        <v>ESTINTORE SOS 1</v>
      </c>
      <c r="R657" t="str">
        <f t="shared" si="94"/>
        <v>ESTINTORE PRELEVATO 1</v>
      </c>
      <c r="U657" t="str">
        <f t="shared" si="95"/>
        <v>Allarme</v>
      </c>
      <c r="V657" t="str">
        <f t="shared" si="96"/>
        <v>SOS 1</v>
      </c>
      <c r="W657" t="str">
        <f t="shared" si="97"/>
        <v>GALLERIA SAN GIULIANO</v>
      </c>
      <c r="Z657" t="str">
        <f t="shared" si="98"/>
        <v>10.220.80.16</v>
      </c>
    </row>
    <row r="658" spans="1:26" x14ac:dyDescent="0.25">
      <c r="A658" t="s">
        <v>10</v>
      </c>
      <c r="B658" t="s">
        <v>1063</v>
      </c>
      <c r="C658" t="s">
        <v>2530</v>
      </c>
      <c r="D658" t="s">
        <v>1363</v>
      </c>
      <c r="E658" t="s">
        <v>2530</v>
      </c>
      <c r="F658" t="s">
        <v>14</v>
      </c>
      <c r="G658" t="s">
        <v>28</v>
      </c>
      <c r="H658" t="s">
        <v>22</v>
      </c>
      <c r="I658" t="s">
        <v>1366</v>
      </c>
      <c r="J658" t="s">
        <v>1367</v>
      </c>
      <c r="K658" t="str">
        <f t="shared" si="90"/>
        <v>1200.5</v>
      </c>
      <c r="N658" t="str">
        <f t="shared" si="91"/>
        <v>HOLDING REGISTER</v>
      </c>
      <c r="O658" t="str">
        <f t="shared" si="92"/>
        <v>BOOL</v>
      </c>
      <c r="P658" t="str">
        <f t="shared" si="93"/>
        <v>ESTINTORE SOS 1</v>
      </c>
      <c r="R658" t="str">
        <f t="shared" si="94"/>
        <v>ESTINTORE PRELEVATO 2</v>
      </c>
      <c r="U658" t="str">
        <f t="shared" si="95"/>
        <v>Allarme</v>
      </c>
      <c r="V658" t="str">
        <f t="shared" si="96"/>
        <v>SOS 1</v>
      </c>
      <c r="W658" t="str">
        <f t="shared" si="97"/>
        <v>GALLERIA SAN GIULIANO</v>
      </c>
      <c r="Z658" t="str">
        <f t="shared" si="98"/>
        <v>10.220.80.16</v>
      </c>
    </row>
    <row r="659" spans="1:26" x14ac:dyDescent="0.25">
      <c r="A659" t="s">
        <v>10</v>
      </c>
      <c r="B659" t="s">
        <v>1063</v>
      </c>
      <c r="C659" t="s">
        <v>2530</v>
      </c>
      <c r="D659" t="s">
        <v>1368</v>
      </c>
      <c r="E659" t="s">
        <v>2530</v>
      </c>
      <c r="F659" t="s">
        <v>14</v>
      </c>
      <c r="G659" t="s">
        <v>28</v>
      </c>
      <c r="H659" t="s">
        <v>22</v>
      </c>
      <c r="I659" t="s">
        <v>1369</v>
      </c>
      <c r="J659" t="s">
        <v>1370</v>
      </c>
      <c r="K659" t="str">
        <f t="shared" si="90"/>
        <v>1200.6</v>
      </c>
      <c r="N659" t="str">
        <f t="shared" si="91"/>
        <v>HOLDING REGISTER</v>
      </c>
      <c r="O659" t="str">
        <f t="shared" si="92"/>
        <v>BOOL</v>
      </c>
      <c r="P659" t="str">
        <f t="shared" si="93"/>
        <v>PORTA SOS 1</v>
      </c>
      <c r="R659" t="str">
        <f t="shared" si="94"/>
        <v>MANICHETTA PRELEVATA</v>
      </c>
      <c r="U659" t="str">
        <f t="shared" si="95"/>
        <v>Allarme</v>
      </c>
      <c r="V659" t="str">
        <f t="shared" si="96"/>
        <v>SOS 1</v>
      </c>
      <c r="W659" t="str">
        <f t="shared" si="97"/>
        <v>GALLERIA SAN GIULIANO</v>
      </c>
      <c r="Z659" t="str">
        <f t="shared" si="98"/>
        <v>10.220.80.16</v>
      </c>
    </row>
    <row r="660" spans="1:26" x14ac:dyDescent="0.25">
      <c r="A660" t="s">
        <v>10</v>
      </c>
      <c r="B660" t="s">
        <v>1063</v>
      </c>
      <c r="C660" t="s">
        <v>2530</v>
      </c>
      <c r="D660" t="s">
        <v>1368</v>
      </c>
      <c r="E660" t="s">
        <v>2530</v>
      </c>
      <c r="F660" t="s">
        <v>14</v>
      </c>
      <c r="G660" t="s">
        <v>28</v>
      </c>
      <c r="H660" t="s">
        <v>22</v>
      </c>
      <c r="I660" t="s">
        <v>1371</v>
      </c>
      <c r="J660" t="s">
        <v>1372</v>
      </c>
      <c r="K660" t="str">
        <f t="shared" si="90"/>
        <v>1200.7</v>
      </c>
      <c r="N660" t="str">
        <f t="shared" si="91"/>
        <v>HOLDING REGISTER</v>
      </c>
      <c r="O660" t="str">
        <f t="shared" si="92"/>
        <v>BOOL</v>
      </c>
      <c r="P660" t="str">
        <f t="shared" si="93"/>
        <v>PORTA SOS 1</v>
      </c>
      <c r="R660" t="str">
        <f t="shared" si="94"/>
        <v>PORTA TELEFONO VOIP APERTA</v>
      </c>
      <c r="U660" t="str">
        <f t="shared" si="95"/>
        <v>Allarme</v>
      </c>
      <c r="V660" t="str">
        <f t="shared" si="96"/>
        <v>SOS 1</v>
      </c>
      <c r="W660" t="str">
        <f t="shared" si="97"/>
        <v>GALLERIA SAN GIULIANO</v>
      </c>
      <c r="Z660" t="str">
        <f t="shared" si="98"/>
        <v>10.220.80.16</v>
      </c>
    </row>
    <row r="661" spans="1:26" x14ac:dyDescent="0.25">
      <c r="A661" t="s">
        <v>10</v>
      </c>
      <c r="B661" t="s">
        <v>1063</v>
      </c>
      <c r="C661" t="s">
        <v>2530</v>
      </c>
      <c r="D661" t="s">
        <v>1368</v>
      </c>
      <c r="E661" t="s">
        <v>2530</v>
      </c>
      <c r="F661" t="s">
        <v>14</v>
      </c>
      <c r="G661" t="s">
        <v>28</v>
      </c>
      <c r="H661" t="s">
        <v>22</v>
      </c>
      <c r="I661" t="s">
        <v>1373</v>
      </c>
      <c r="J661" t="s">
        <v>1374</v>
      </c>
      <c r="K661" t="str">
        <f t="shared" si="90"/>
        <v>1200.8</v>
      </c>
      <c r="N661" t="str">
        <f t="shared" si="91"/>
        <v>HOLDING REGISTER</v>
      </c>
      <c r="O661" t="str">
        <f t="shared" si="92"/>
        <v>BOOL</v>
      </c>
      <c r="P661" t="str">
        <f t="shared" si="93"/>
        <v>PORTA SOS 1</v>
      </c>
      <c r="R661" t="str">
        <f t="shared" si="94"/>
        <v>PORTA VANO TECNICO APERTA</v>
      </c>
      <c r="U661" t="str">
        <f t="shared" si="95"/>
        <v>Allarme</v>
      </c>
      <c r="V661" t="str">
        <f t="shared" si="96"/>
        <v>SOS 1</v>
      </c>
      <c r="W661" t="str">
        <f t="shared" si="97"/>
        <v>GALLERIA SAN GIULIANO</v>
      </c>
      <c r="Z661" t="str">
        <f t="shared" si="98"/>
        <v>10.220.80.16</v>
      </c>
    </row>
    <row r="662" spans="1:26" x14ac:dyDescent="0.25">
      <c r="A662" t="s">
        <v>10</v>
      </c>
      <c r="B662" t="s">
        <v>1063</v>
      </c>
      <c r="C662" t="s">
        <v>2530</v>
      </c>
      <c r="D662" t="s">
        <v>1375</v>
      </c>
      <c r="E662" t="s">
        <v>2530</v>
      </c>
      <c r="F662" t="s">
        <v>14</v>
      </c>
      <c r="G662" t="s">
        <v>1375</v>
      </c>
      <c r="H662" t="s">
        <v>22</v>
      </c>
      <c r="I662" t="s">
        <v>1376</v>
      </c>
      <c r="J662" t="s">
        <v>1375</v>
      </c>
      <c r="K662" t="str">
        <f t="shared" si="90"/>
        <v>1200.9</v>
      </c>
      <c r="N662" t="str">
        <f t="shared" si="91"/>
        <v>HOLDING REGISTER</v>
      </c>
      <c r="O662" t="str">
        <f t="shared" si="92"/>
        <v>BOOL</v>
      </c>
      <c r="P662" t="str">
        <f t="shared" si="93"/>
        <v>disponibile SOS 1</v>
      </c>
      <c r="R662" t="str">
        <f t="shared" si="94"/>
        <v>disponibile</v>
      </c>
      <c r="U662" t="str">
        <f t="shared" si="95"/>
        <v>disponibile</v>
      </c>
      <c r="V662" t="str">
        <f t="shared" si="96"/>
        <v>SOS 1</v>
      </c>
      <c r="W662" t="str">
        <f t="shared" si="97"/>
        <v>GALLERIA SAN GIULIANO</v>
      </c>
      <c r="Z662" t="str">
        <f t="shared" si="98"/>
        <v>10.220.80.16</v>
      </c>
    </row>
    <row r="663" spans="1:26" x14ac:dyDescent="0.25">
      <c r="A663" t="s">
        <v>10</v>
      </c>
      <c r="B663" t="s">
        <v>1063</v>
      </c>
      <c r="C663" t="s">
        <v>2530</v>
      </c>
      <c r="D663" t="s">
        <v>1375</v>
      </c>
      <c r="E663" t="s">
        <v>2530</v>
      </c>
      <c r="F663" t="s">
        <v>14</v>
      </c>
      <c r="G663" t="s">
        <v>1375</v>
      </c>
      <c r="H663" t="s">
        <v>22</v>
      </c>
      <c r="I663" t="s">
        <v>1377</v>
      </c>
      <c r="J663" t="s">
        <v>1375</v>
      </c>
      <c r="K663" t="str">
        <f t="shared" si="90"/>
        <v>1200.10</v>
      </c>
      <c r="N663" t="str">
        <f t="shared" si="91"/>
        <v>HOLDING REGISTER</v>
      </c>
      <c r="O663" t="str">
        <f t="shared" si="92"/>
        <v>BOOL</v>
      </c>
      <c r="P663" t="str">
        <f t="shared" si="93"/>
        <v>disponibile SOS 1</v>
      </c>
      <c r="R663" t="str">
        <f t="shared" si="94"/>
        <v>disponibile</v>
      </c>
      <c r="U663" t="str">
        <f t="shared" si="95"/>
        <v>disponibile</v>
      </c>
      <c r="V663" t="str">
        <f t="shared" si="96"/>
        <v>SOS 1</v>
      </c>
      <c r="W663" t="str">
        <f t="shared" si="97"/>
        <v>GALLERIA SAN GIULIANO</v>
      </c>
      <c r="Z663" t="str">
        <f t="shared" si="98"/>
        <v>10.220.80.16</v>
      </c>
    </row>
    <row r="664" spans="1:26" x14ac:dyDescent="0.25">
      <c r="A664" t="s">
        <v>10</v>
      </c>
      <c r="B664" t="s">
        <v>1063</v>
      </c>
      <c r="C664" t="s">
        <v>2530</v>
      </c>
      <c r="D664" t="s">
        <v>1375</v>
      </c>
      <c r="E664" t="s">
        <v>2530</v>
      </c>
      <c r="F664" t="s">
        <v>14</v>
      </c>
      <c r="G664" t="s">
        <v>1375</v>
      </c>
      <c r="H664" t="s">
        <v>22</v>
      </c>
      <c r="I664" t="s">
        <v>1378</v>
      </c>
      <c r="J664" t="s">
        <v>1375</v>
      </c>
      <c r="K664" t="str">
        <f t="shared" si="90"/>
        <v>1200.11</v>
      </c>
      <c r="N664" t="str">
        <f t="shared" si="91"/>
        <v>HOLDING REGISTER</v>
      </c>
      <c r="O664" t="str">
        <f t="shared" si="92"/>
        <v>BOOL</v>
      </c>
      <c r="P664" t="str">
        <f t="shared" si="93"/>
        <v>disponibile SOS 1</v>
      </c>
      <c r="R664" t="str">
        <f t="shared" si="94"/>
        <v>disponibile</v>
      </c>
      <c r="U664" t="str">
        <f t="shared" si="95"/>
        <v>disponibile</v>
      </c>
      <c r="V664" t="str">
        <f t="shared" si="96"/>
        <v>SOS 1</v>
      </c>
      <c r="W664" t="str">
        <f t="shared" si="97"/>
        <v>GALLERIA SAN GIULIANO</v>
      </c>
      <c r="Z664" t="str">
        <f t="shared" si="98"/>
        <v>10.220.80.16</v>
      </c>
    </row>
    <row r="665" spans="1:26" x14ac:dyDescent="0.25">
      <c r="A665" t="s">
        <v>10</v>
      </c>
      <c r="B665" t="s">
        <v>1063</v>
      </c>
      <c r="C665" t="s">
        <v>2530</v>
      </c>
      <c r="D665" t="s">
        <v>1375</v>
      </c>
      <c r="E665" t="s">
        <v>2530</v>
      </c>
      <c r="F665" t="s">
        <v>14</v>
      </c>
      <c r="G665" t="s">
        <v>1375</v>
      </c>
      <c r="H665" t="s">
        <v>22</v>
      </c>
      <c r="I665" t="s">
        <v>1379</v>
      </c>
      <c r="J665" t="s">
        <v>1375</v>
      </c>
      <c r="K665" t="str">
        <f t="shared" si="90"/>
        <v>1200.12</v>
      </c>
      <c r="N665" t="str">
        <f t="shared" si="91"/>
        <v>HOLDING REGISTER</v>
      </c>
      <c r="O665" t="str">
        <f t="shared" si="92"/>
        <v>BOOL</v>
      </c>
      <c r="P665" t="str">
        <f t="shared" si="93"/>
        <v>disponibile SOS 1</v>
      </c>
      <c r="R665" t="str">
        <f t="shared" si="94"/>
        <v>disponibile</v>
      </c>
      <c r="U665" t="str">
        <f t="shared" si="95"/>
        <v>disponibile</v>
      </c>
      <c r="V665" t="str">
        <f t="shared" si="96"/>
        <v>SOS 1</v>
      </c>
      <c r="W665" t="str">
        <f t="shared" si="97"/>
        <v>GALLERIA SAN GIULIANO</v>
      </c>
      <c r="Z665" t="str">
        <f t="shared" si="98"/>
        <v>10.220.80.16</v>
      </c>
    </row>
    <row r="666" spans="1:26" x14ac:dyDescent="0.25">
      <c r="A666" t="s">
        <v>10</v>
      </c>
      <c r="B666" t="s">
        <v>1063</v>
      </c>
      <c r="C666" t="s">
        <v>2530</v>
      </c>
      <c r="D666" t="s">
        <v>12</v>
      </c>
      <c r="E666" t="s">
        <v>2530</v>
      </c>
      <c r="F666" t="s">
        <v>14</v>
      </c>
      <c r="G666" t="s">
        <v>28</v>
      </c>
      <c r="H666" t="s">
        <v>22</v>
      </c>
      <c r="I666" t="s">
        <v>1380</v>
      </c>
      <c r="J666" t="s">
        <v>1381</v>
      </c>
      <c r="K666" t="str">
        <f t="shared" si="90"/>
        <v>1200.13</v>
      </c>
      <c r="N666" t="str">
        <f t="shared" si="91"/>
        <v>HOLDING REGISTER</v>
      </c>
      <c r="O666" t="str">
        <f t="shared" si="92"/>
        <v>BOOL</v>
      </c>
      <c r="P666" t="str">
        <f t="shared" si="93"/>
        <v>PLC SOS 1</v>
      </c>
      <c r="R666" t="str">
        <f t="shared" si="94"/>
        <v>PLC IN STOP</v>
      </c>
      <c r="U666" t="str">
        <f t="shared" si="95"/>
        <v>Allarme</v>
      </c>
      <c r="V666" t="str">
        <f t="shared" si="96"/>
        <v>SOS 1</v>
      </c>
      <c r="W666" t="str">
        <f t="shared" si="97"/>
        <v>GALLERIA SAN GIULIANO</v>
      </c>
      <c r="Z666" t="str">
        <f t="shared" si="98"/>
        <v>10.220.80.16</v>
      </c>
    </row>
    <row r="667" spans="1:26" x14ac:dyDescent="0.25">
      <c r="A667" t="s">
        <v>10</v>
      </c>
      <c r="B667" t="s">
        <v>1063</v>
      </c>
      <c r="C667" t="s">
        <v>2530</v>
      </c>
      <c r="D667" t="s">
        <v>12</v>
      </c>
      <c r="E667" t="s">
        <v>2530</v>
      </c>
      <c r="F667" t="s">
        <v>14</v>
      </c>
      <c r="G667" t="s">
        <v>28</v>
      </c>
      <c r="H667" t="s">
        <v>22</v>
      </c>
      <c r="I667" t="s">
        <v>1382</v>
      </c>
      <c r="J667" t="s">
        <v>1383</v>
      </c>
      <c r="K667" t="str">
        <f t="shared" si="90"/>
        <v>1200.14</v>
      </c>
      <c r="N667" t="str">
        <f t="shared" si="91"/>
        <v>HOLDING REGISTER</v>
      </c>
      <c r="O667" t="str">
        <f t="shared" si="92"/>
        <v>BOOL</v>
      </c>
      <c r="P667" t="str">
        <f t="shared" si="93"/>
        <v>PLC SOS 1</v>
      </c>
      <c r="R667" t="str">
        <f t="shared" si="94"/>
        <v>FAULT COMUNICAZIONE ETHERNET</v>
      </c>
      <c r="U667" t="str">
        <f t="shared" si="95"/>
        <v>Allarme</v>
      </c>
      <c r="V667" t="str">
        <f t="shared" si="96"/>
        <v>SOS 1</v>
      </c>
      <c r="W667" t="str">
        <f t="shared" si="97"/>
        <v>GALLERIA SAN GIULIANO</v>
      </c>
      <c r="Z667" t="str">
        <f t="shared" si="98"/>
        <v>10.220.80.16</v>
      </c>
    </row>
    <row r="668" spans="1:26" x14ac:dyDescent="0.25">
      <c r="A668" t="s">
        <v>10</v>
      </c>
      <c r="B668" t="s">
        <v>1063</v>
      </c>
      <c r="C668" t="s">
        <v>2530</v>
      </c>
      <c r="D668" t="s">
        <v>1384</v>
      </c>
      <c r="E668" t="s">
        <v>2530</v>
      </c>
      <c r="F668" t="s">
        <v>14</v>
      </c>
      <c r="G668" t="s">
        <v>21</v>
      </c>
      <c r="H668" t="s">
        <v>22</v>
      </c>
      <c r="I668" t="s">
        <v>1385</v>
      </c>
      <c r="J668" t="s">
        <v>1386</v>
      </c>
      <c r="K668" t="str">
        <f t="shared" si="90"/>
        <v>1200.15</v>
      </c>
      <c r="N668" t="str">
        <f t="shared" si="91"/>
        <v>HOLDING REGISTER</v>
      </c>
      <c r="O668" t="str">
        <f t="shared" si="92"/>
        <v>BOOL</v>
      </c>
      <c r="P668" t="str">
        <f t="shared" si="93"/>
        <v xml:space="preserve">  SOS 1</v>
      </c>
      <c r="R668" t="str">
        <f t="shared" si="94"/>
        <v>FEEDBACK RESET DA RMT</v>
      </c>
      <c r="U668" t="str">
        <f t="shared" si="95"/>
        <v>Stato</v>
      </c>
      <c r="V668" t="str">
        <f t="shared" si="96"/>
        <v>SOS 1</v>
      </c>
      <c r="W668" t="str">
        <f t="shared" si="97"/>
        <v>GALLERIA SAN GIULIANO</v>
      </c>
      <c r="Z668" t="str">
        <f t="shared" si="98"/>
        <v>10.220.80.16</v>
      </c>
    </row>
    <row r="669" spans="1:26" x14ac:dyDescent="0.25">
      <c r="A669" t="s">
        <v>10</v>
      </c>
      <c r="B669" t="s">
        <v>1063</v>
      </c>
      <c r="C669" t="s">
        <v>2534</v>
      </c>
      <c r="D669" t="s">
        <v>1354</v>
      </c>
      <c r="E669" t="s">
        <v>2534</v>
      </c>
      <c r="F669" t="s">
        <v>14</v>
      </c>
      <c r="G669" t="s">
        <v>28</v>
      </c>
      <c r="H669" t="s">
        <v>22</v>
      </c>
      <c r="I669" t="s">
        <v>1387</v>
      </c>
      <c r="J669" t="s">
        <v>1356</v>
      </c>
      <c r="K669" t="str">
        <f t="shared" si="90"/>
        <v>1201.0</v>
      </c>
      <c r="N669" t="str">
        <f t="shared" si="91"/>
        <v>HOLDING REGISTER</v>
      </c>
      <c r="O669" t="str">
        <f t="shared" si="92"/>
        <v>BOOL</v>
      </c>
      <c r="P669" t="str">
        <f t="shared" si="93"/>
        <v>PULSANTE CHIAMATA SOS 2</v>
      </c>
      <c r="R669" t="str">
        <f t="shared" si="94"/>
        <v>CHIAMATA 118 EFFETTUATA</v>
      </c>
      <c r="U669" t="str">
        <f t="shared" si="95"/>
        <v>Allarme</v>
      </c>
      <c r="V669" t="str">
        <f t="shared" si="96"/>
        <v>SOS 2</v>
      </c>
      <c r="W669" t="str">
        <f t="shared" si="97"/>
        <v>GALLERIA SAN GIULIANO</v>
      </c>
      <c r="Z669" t="str">
        <f t="shared" si="98"/>
        <v>10.220.80.16</v>
      </c>
    </row>
    <row r="670" spans="1:26" x14ac:dyDescent="0.25">
      <c r="A670" t="s">
        <v>10</v>
      </c>
      <c r="B670" t="s">
        <v>1063</v>
      </c>
      <c r="C670" t="s">
        <v>2534</v>
      </c>
      <c r="D670" t="s">
        <v>1354</v>
      </c>
      <c r="E670" t="s">
        <v>2534</v>
      </c>
      <c r="F670" t="s">
        <v>14</v>
      </c>
      <c r="G670" t="s">
        <v>28</v>
      </c>
      <c r="H670" t="s">
        <v>22</v>
      </c>
      <c r="I670" t="s">
        <v>1388</v>
      </c>
      <c r="J670" t="s">
        <v>1358</v>
      </c>
      <c r="K670" t="str">
        <f t="shared" si="90"/>
        <v>1201.1</v>
      </c>
      <c r="N670" t="str">
        <f t="shared" si="91"/>
        <v>HOLDING REGISTER</v>
      </c>
      <c r="O670" t="str">
        <f t="shared" si="92"/>
        <v>BOOL</v>
      </c>
      <c r="P670" t="str">
        <f t="shared" si="93"/>
        <v>PULSANTE CHIAMATA SOS 2</v>
      </c>
      <c r="R670" t="str">
        <f t="shared" si="94"/>
        <v>CHIAMATA 113 EFFETTUATA</v>
      </c>
      <c r="U670" t="str">
        <f t="shared" si="95"/>
        <v>Allarme</v>
      </c>
      <c r="V670" t="str">
        <f t="shared" si="96"/>
        <v>SOS 2</v>
      </c>
      <c r="W670" t="str">
        <f t="shared" si="97"/>
        <v>GALLERIA SAN GIULIANO</v>
      </c>
      <c r="Z670" t="str">
        <f t="shared" si="98"/>
        <v>10.220.80.16</v>
      </c>
    </row>
    <row r="671" spans="1:26" x14ac:dyDescent="0.25">
      <c r="A671" t="s">
        <v>10</v>
      </c>
      <c r="B671" t="s">
        <v>1063</v>
      </c>
      <c r="C671" t="s">
        <v>2534</v>
      </c>
      <c r="D671" t="s">
        <v>1354</v>
      </c>
      <c r="E671" t="s">
        <v>2534</v>
      </c>
      <c r="F671" t="s">
        <v>14</v>
      </c>
      <c r="G671" t="s">
        <v>28</v>
      </c>
      <c r="H671" t="s">
        <v>22</v>
      </c>
      <c r="I671" t="s">
        <v>1389</v>
      </c>
      <c r="J671" t="s">
        <v>1360</v>
      </c>
      <c r="K671" t="str">
        <f t="shared" si="90"/>
        <v>1201.2</v>
      </c>
      <c r="N671" t="str">
        <f t="shared" si="91"/>
        <v>HOLDING REGISTER</v>
      </c>
      <c r="O671" t="str">
        <f t="shared" si="92"/>
        <v>BOOL</v>
      </c>
      <c r="P671" t="str">
        <f t="shared" si="93"/>
        <v>PULSANTE CHIAMATA SOS 2</v>
      </c>
      <c r="R671" t="str">
        <f t="shared" si="94"/>
        <v>CHIAMATA 115 EFFETTUATA</v>
      </c>
      <c r="U671" t="str">
        <f t="shared" si="95"/>
        <v>Allarme</v>
      </c>
      <c r="V671" t="str">
        <f t="shared" si="96"/>
        <v>SOS 2</v>
      </c>
      <c r="W671" t="str">
        <f t="shared" si="97"/>
        <v>GALLERIA SAN GIULIANO</v>
      </c>
      <c r="Z671" t="str">
        <f t="shared" si="98"/>
        <v>10.220.80.16</v>
      </c>
    </row>
    <row r="672" spans="1:26" x14ac:dyDescent="0.25">
      <c r="A672" t="s">
        <v>10</v>
      </c>
      <c r="B672" t="s">
        <v>1063</v>
      </c>
      <c r="C672" t="s">
        <v>2534</v>
      </c>
      <c r="D672" t="s">
        <v>1354</v>
      </c>
      <c r="E672" t="s">
        <v>2534</v>
      </c>
      <c r="F672" t="s">
        <v>14</v>
      </c>
      <c r="G672" t="s">
        <v>28</v>
      </c>
      <c r="H672" t="s">
        <v>22</v>
      </c>
      <c r="I672" t="s">
        <v>1390</v>
      </c>
      <c r="J672" t="s">
        <v>1362</v>
      </c>
      <c r="K672" t="str">
        <f t="shared" si="90"/>
        <v>1201.3</v>
      </c>
      <c r="N672" t="str">
        <f t="shared" si="91"/>
        <v>HOLDING REGISTER</v>
      </c>
      <c r="O672" t="str">
        <f t="shared" si="92"/>
        <v>BOOL</v>
      </c>
      <c r="P672" t="str">
        <f t="shared" si="93"/>
        <v>PULSANTE CHIAMATA SOS 2</v>
      </c>
      <c r="R672" t="str">
        <f t="shared" si="94"/>
        <v>CHIAMATA SALA CONTROLLO ANAS EFFETTUATA</v>
      </c>
      <c r="U672" t="str">
        <f t="shared" si="95"/>
        <v>Allarme</v>
      </c>
      <c r="V672" t="str">
        <f t="shared" si="96"/>
        <v>SOS 2</v>
      </c>
      <c r="W672" t="str">
        <f t="shared" si="97"/>
        <v>GALLERIA SAN GIULIANO</v>
      </c>
      <c r="Z672" t="str">
        <f t="shared" si="98"/>
        <v>10.220.80.16</v>
      </c>
    </row>
    <row r="673" spans="1:26" x14ac:dyDescent="0.25">
      <c r="A673" t="s">
        <v>10</v>
      </c>
      <c r="B673" t="s">
        <v>1063</v>
      </c>
      <c r="C673" t="s">
        <v>2534</v>
      </c>
      <c r="D673" t="s">
        <v>1363</v>
      </c>
      <c r="E673" t="s">
        <v>2534</v>
      </c>
      <c r="F673" t="s">
        <v>14</v>
      </c>
      <c r="G673" t="s">
        <v>28</v>
      </c>
      <c r="H673" t="s">
        <v>22</v>
      </c>
      <c r="I673" t="s">
        <v>1391</v>
      </c>
      <c r="J673" t="s">
        <v>1365</v>
      </c>
      <c r="K673" t="str">
        <f t="shared" si="90"/>
        <v>1201.4</v>
      </c>
      <c r="N673" t="str">
        <f t="shared" si="91"/>
        <v>HOLDING REGISTER</v>
      </c>
      <c r="O673" t="str">
        <f t="shared" si="92"/>
        <v>BOOL</v>
      </c>
      <c r="P673" t="str">
        <f t="shared" si="93"/>
        <v>ESTINTORE SOS 2</v>
      </c>
      <c r="R673" t="str">
        <f t="shared" si="94"/>
        <v>ESTINTORE PRELEVATO 1</v>
      </c>
      <c r="U673" t="str">
        <f t="shared" si="95"/>
        <v>Allarme</v>
      </c>
      <c r="V673" t="str">
        <f t="shared" si="96"/>
        <v>SOS 2</v>
      </c>
      <c r="W673" t="str">
        <f t="shared" si="97"/>
        <v>GALLERIA SAN GIULIANO</v>
      </c>
      <c r="Z673" t="str">
        <f t="shared" si="98"/>
        <v>10.220.80.16</v>
      </c>
    </row>
    <row r="674" spans="1:26" x14ac:dyDescent="0.25">
      <c r="A674" t="s">
        <v>10</v>
      </c>
      <c r="B674" t="s">
        <v>1063</v>
      </c>
      <c r="C674" t="s">
        <v>2534</v>
      </c>
      <c r="D674" t="s">
        <v>1363</v>
      </c>
      <c r="E674" t="s">
        <v>2534</v>
      </c>
      <c r="F674" t="s">
        <v>14</v>
      </c>
      <c r="G674" t="s">
        <v>28</v>
      </c>
      <c r="H674" t="s">
        <v>22</v>
      </c>
      <c r="I674" t="s">
        <v>1392</v>
      </c>
      <c r="J674" t="s">
        <v>1367</v>
      </c>
      <c r="K674" t="str">
        <f t="shared" si="90"/>
        <v>1201.5</v>
      </c>
      <c r="N674" t="str">
        <f t="shared" si="91"/>
        <v>HOLDING REGISTER</v>
      </c>
      <c r="O674" t="str">
        <f t="shared" si="92"/>
        <v>BOOL</v>
      </c>
      <c r="P674" t="str">
        <f t="shared" si="93"/>
        <v>ESTINTORE SOS 2</v>
      </c>
      <c r="R674" t="str">
        <f t="shared" si="94"/>
        <v>ESTINTORE PRELEVATO 2</v>
      </c>
      <c r="U674" t="str">
        <f t="shared" si="95"/>
        <v>Allarme</v>
      </c>
      <c r="V674" t="str">
        <f t="shared" si="96"/>
        <v>SOS 2</v>
      </c>
      <c r="W674" t="str">
        <f t="shared" si="97"/>
        <v>GALLERIA SAN GIULIANO</v>
      </c>
      <c r="Z674" t="str">
        <f t="shared" si="98"/>
        <v>10.220.80.16</v>
      </c>
    </row>
    <row r="675" spans="1:26" x14ac:dyDescent="0.25">
      <c r="A675" t="s">
        <v>10</v>
      </c>
      <c r="B675" t="s">
        <v>1063</v>
      </c>
      <c r="C675" t="s">
        <v>2534</v>
      </c>
      <c r="D675" t="s">
        <v>1368</v>
      </c>
      <c r="E675" t="s">
        <v>2534</v>
      </c>
      <c r="F675" t="s">
        <v>14</v>
      </c>
      <c r="G675" t="s">
        <v>28</v>
      </c>
      <c r="H675" t="s">
        <v>22</v>
      </c>
      <c r="I675" t="s">
        <v>1393</v>
      </c>
      <c r="J675" t="s">
        <v>1370</v>
      </c>
      <c r="K675" t="str">
        <f t="shared" si="90"/>
        <v>1201.6</v>
      </c>
      <c r="N675" t="str">
        <f t="shared" si="91"/>
        <v>HOLDING REGISTER</v>
      </c>
      <c r="O675" t="str">
        <f t="shared" si="92"/>
        <v>BOOL</v>
      </c>
      <c r="P675" t="str">
        <f t="shared" si="93"/>
        <v>PORTA SOS 2</v>
      </c>
      <c r="R675" t="str">
        <f t="shared" si="94"/>
        <v>MANICHETTA PRELEVATA</v>
      </c>
      <c r="U675" t="str">
        <f t="shared" si="95"/>
        <v>Allarme</v>
      </c>
      <c r="V675" t="str">
        <f t="shared" si="96"/>
        <v>SOS 2</v>
      </c>
      <c r="W675" t="str">
        <f t="shared" si="97"/>
        <v>GALLERIA SAN GIULIANO</v>
      </c>
      <c r="Z675" t="str">
        <f t="shared" si="98"/>
        <v>10.220.80.16</v>
      </c>
    </row>
    <row r="676" spans="1:26" x14ac:dyDescent="0.25">
      <c r="A676" t="s">
        <v>10</v>
      </c>
      <c r="B676" t="s">
        <v>1063</v>
      </c>
      <c r="C676" t="s">
        <v>2534</v>
      </c>
      <c r="D676" t="s">
        <v>1368</v>
      </c>
      <c r="E676" t="s">
        <v>2534</v>
      </c>
      <c r="F676" t="s">
        <v>14</v>
      </c>
      <c r="G676" t="s">
        <v>28</v>
      </c>
      <c r="H676" t="s">
        <v>22</v>
      </c>
      <c r="I676" t="s">
        <v>1394</v>
      </c>
      <c r="J676" t="s">
        <v>1372</v>
      </c>
      <c r="K676" t="str">
        <f t="shared" si="90"/>
        <v>1201.7</v>
      </c>
      <c r="N676" t="str">
        <f t="shared" si="91"/>
        <v>HOLDING REGISTER</v>
      </c>
      <c r="O676" t="str">
        <f t="shared" si="92"/>
        <v>BOOL</v>
      </c>
      <c r="P676" t="str">
        <f t="shared" si="93"/>
        <v>PORTA SOS 2</v>
      </c>
      <c r="R676" t="str">
        <f t="shared" si="94"/>
        <v>PORTA TELEFONO VOIP APERTA</v>
      </c>
      <c r="U676" t="str">
        <f t="shared" si="95"/>
        <v>Allarme</v>
      </c>
      <c r="V676" t="str">
        <f t="shared" si="96"/>
        <v>SOS 2</v>
      </c>
      <c r="W676" t="str">
        <f t="shared" si="97"/>
        <v>GALLERIA SAN GIULIANO</v>
      </c>
      <c r="Z676" t="str">
        <f t="shared" si="98"/>
        <v>10.220.80.16</v>
      </c>
    </row>
    <row r="677" spans="1:26" x14ac:dyDescent="0.25">
      <c r="A677" t="s">
        <v>10</v>
      </c>
      <c r="B677" t="s">
        <v>1063</v>
      </c>
      <c r="C677" t="s">
        <v>2534</v>
      </c>
      <c r="D677" t="s">
        <v>1368</v>
      </c>
      <c r="E677" t="s">
        <v>2534</v>
      </c>
      <c r="F677" t="s">
        <v>14</v>
      </c>
      <c r="G677" t="s">
        <v>28</v>
      </c>
      <c r="H677" t="s">
        <v>22</v>
      </c>
      <c r="I677" t="s">
        <v>1395</v>
      </c>
      <c r="J677" t="s">
        <v>1374</v>
      </c>
      <c r="K677" t="str">
        <f t="shared" si="90"/>
        <v>1201.8</v>
      </c>
      <c r="N677" t="str">
        <f t="shared" si="91"/>
        <v>HOLDING REGISTER</v>
      </c>
      <c r="O677" t="str">
        <f t="shared" si="92"/>
        <v>BOOL</v>
      </c>
      <c r="P677" t="str">
        <f t="shared" si="93"/>
        <v>PORTA SOS 2</v>
      </c>
      <c r="R677" t="str">
        <f t="shared" si="94"/>
        <v>PORTA VANO TECNICO APERTA</v>
      </c>
      <c r="U677" t="str">
        <f t="shared" si="95"/>
        <v>Allarme</v>
      </c>
      <c r="V677" t="str">
        <f t="shared" si="96"/>
        <v>SOS 2</v>
      </c>
      <c r="W677" t="str">
        <f t="shared" si="97"/>
        <v>GALLERIA SAN GIULIANO</v>
      </c>
      <c r="Z677" t="str">
        <f t="shared" si="98"/>
        <v>10.220.80.16</v>
      </c>
    </row>
    <row r="678" spans="1:26" x14ac:dyDescent="0.25">
      <c r="A678" t="s">
        <v>10</v>
      </c>
      <c r="B678" t="s">
        <v>1063</v>
      </c>
      <c r="C678" t="s">
        <v>2534</v>
      </c>
      <c r="D678" t="s">
        <v>1375</v>
      </c>
      <c r="E678" t="s">
        <v>2534</v>
      </c>
      <c r="F678" t="s">
        <v>14</v>
      </c>
      <c r="G678" t="s">
        <v>1375</v>
      </c>
      <c r="H678" t="s">
        <v>22</v>
      </c>
      <c r="I678" t="s">
        <v>1396</v>
      </c>
      <c r="J678" t="s">
        <v>1375</v>
      </c>
      <c r="K678" t="str">
        <f t="shared" si="90"/>
        <v>1201.9</v>
      </c>
      <c r="N678" t="str">
        <f t="shared" si="91"/>
        <v>HOLDING REGISTER</v>
      </c>
      <c r="O678" t="str">
        <f t="shared" si="92"/>
        <v>BOOL</v>
      </c>
      <c r="P678" t="str">
        <f t="shared" si="93"/>
        <v>disponibile SOS 2</v>
      </c>
      <c r="R678" t="str">
        <f t="shared" si="94"/>
        <v>disponibile</v>
      </c>
      <c r="U678" t="str">
        <f t="shared" si="95"/>
        <v>disponibile</v>
      </c>
      <c r="V678" t="str">
        <f t="shared" si="96"/>
        <v>SOS 2</v>
      </c>
      <c r="W678" t="str">
        <f t="shared" si="97"/>
        <v>GALLERIA SAN GIULIANO</v>
      </c>
      <c r="Z678" t="str">
        <f t="shared" si="98"/>
        <v>10.220.80.16</v>
      </c>
    </row>
    <row r="679" spans="1:26" x14ac:dyDescent="0.25">
      <c r="A679" t="s">
        <v>10</v>
      </c>
      <c r="B679" t="s">
        <v>1063</v>
      </c>
      <c r="C679" t="s">
        <v>2534</v>
      </c>
      <c r="D679" t="s">
        <v>1375</v>
      </c>
      <c r="E679" t="s">
        <v>2534</v>
      </c>
      <c r="F679" t="s">
        <v>14</v>
      </c>
      <c r="G679" t="s">
        <v>1375</v>
      </c>
      <c r="H679" t="s">
        <v>22</v>
      </c>
      <c r="I679" t="s">
        <v>1397</v>
      </c>
      <c r="J679" t="s">
        <v>1375</v>
      </c>
      <c r="K679" t="str">
        <f t="shared" si="90"/>
        <v>1201.10</v>
      </c>
      <c r="N679" t="str">
        <f t="shared" si="91"/>
        <v>HOLDING REGISTER</v>
      </c>
      <c r="O679" t="str">
        <f t="shared" si="92"/>
        <v>BOOL</v>
      </c>
      <c r="P679" t="str">
        <f t="shared" si="93"/>
        <v>disponibile SOS 2</v>
      </c>
      <c r="R679" t="str">
        <f t="shared" si="94"/>
        <v>disponibile</v>
      </c>
      <c r="U679" t="str">
        <f t="shared" si="95"/>
        <v>disponibile</v>
      </c>
      <c r="V679" t="str">
        <f t="shared" si="96"/>
        <v>SOS 2</v>
      </c>
      <c r="W679" t="str">
        <f t="shared" si="97"/>
        <v>GALLERIA SAN GIULIANO</v>
      </c>
      <c r="Z679" t="str">
        <f t="shared" si="98"/>
        <v>10.220.80.16</v>
      </c>
    </row>
    <row r="680" spans="1:26" x14ac:dyDescent="0.25">
      <c r="A680" t="s">
        <v>10</v>
      </c>
      <c r="B680" t="s">
        <v>1063</v>
      </c>
      <c r="C680" t="s">
        <v>2534</v>
      </c>
      <c r="D680" t="s">
        <v>1375</v>
      </c>
      <c r="E680" t="s">
        <v>2534</v>
      </c>
      <c r="F680" t="s">
        <v>14</v>
      </c>
      <c r="G680" t="s">
        <v>1375</v>
      </c>
      <c r="H680" t="s">
        <v>22</v>
      </c>
      <c r="I680" t="s">
        <v>1398</v>
      </c>
      <c r="J680" t="s">
        <v>1375</v>
      </c>
      <c r="K680" t="str">
        <f t="shared" si="90"/>
        <v>1201.11</v>
      </c>
      <c r="N680" t="str">
        <f t="shared" si="91"/>
        <v>HOLDING REGISTER</v>
      </c>
      <c r="O680" t="str">
        <f t="shared" si="92"/>
        <v>BOOL</v>
      </c>
      <c r="P680" t="str">
        <f t="shared" si="93"/>
        <v>disponibile SOS 2</v>
      </c>
      <c r="R680" t="str">
        <f t="shared" si="94"/>
        <v>disponibile</v>
      </c>
      <c r="U680" t="str">
        <f t="shared" si="95"/>
        <v>disponibile</v>
      </c>
      <c r="V680" t="str">
        <f t="shared" si="96"/>
        <v>SOS 2</v>
      </c>
      <c r="W680" t="str">
        <f t="shared" si="97"/>
        <v>GALLERIA SAN GIULIANO</v>
      </c>
      <c r="Z680" t="str">
        <f t="shared" si="98"/>
        <v>10.220.80.16</v>
      </c>
    </row>
    <row r="681" spans="1:26" x14ac:dyDescent="0.25">
      <c r="A681" t="s">
        <v>10</v>
      </c>
      <c r="B681" t="s">
        <v>1063</v>
      </c>
      <c r="C681" t="s">
        <v>2534</v>
      </c>
      <c r="D681" t="s">
        <v>1375</v>
      </c>
      <c r="E681" t="s">
        <v>2534</v>
      </c>
      <c r="F681" t="s">
        <v>14</v>
      </c>
      <c r="G681" t="s">
        <v>1375</v>
      </c>
      <c r="H681" t="s">
        <v>22</v>
      </c>
      <c r="I681" t="s">
        <v>1399</v>
      </c>
      <c r="J681" t="s">
        <v>1375</v>
      </c>
      <c r="K681" t="str">
        <f t="shared" si="90"/>
        <v>1201.12</v>
      </c>
      <c r="N681" t="str">
        <f t="shared" si="91"/>
        <v>HOLDING REGISTER</v>
      </c>
      <c r="O681" t="str">
        <f t="shared" si="92"/>
        <v>BOOL</v>
      </c>
      <c r="P681" t="str">
        <f t="shared" si="93"/>
        <v>disponibile SOS 2</v>
      </c>
      <c r="R681" t="str">
        <f t="shared" si="94"/>
        <v>disponibile</v>
      </c>
      <c r="U681" t="str">
        <f t="shared" si="95"/>
        <v>disponibile</v>
      </c>
      <c r="V681" t="str">
        <f t="shared" si="96"/>
        <v>SOS 2</v>
      </c>
      <c r="W681" t="str">
        <f t="shared" si="97"/>
        <v>GALLERIA SAN GIULIANO</v>
      </c>
      <c r="Z681" t="str">
        <f t="shared" si="98"/>
        <v>10.220.80.16</v>
      </c>
    </row>
    <row r="682" spans="1:26" x14ac:dyDescent="0.25">
      <c r="A682" t="s">
        <v>10</v>
      </c>
      <c r="B682" t="s">
        <v>1063</v>
      </c>
      <c r="C682" t="s">
        <v>2534</v>
      </c>
      <c r="D682" t="s">
        <v>12</v>
      </c>
      <c r="E682" t="s">
        <v>2534</v>
      </c>
      <c r="F682" t="s">
        <v>14</v>
      </c>
      <c r="G682" t="s">
        <v>28</v>
      </c>
      <c r="H682" t="s">
        <v>22</v>
      </c>
      <c r="I682" t="s">
        <v>1400</v>
      </c>
      <c r="J682" t="s">
        <v>1381</v>
      </c>
      <c r="K682" t="str">
        <f t="shared" si="90"/>
        <v>1201.13</v>
      </c>
      <c r="N682" t="str">
        <f t="shared" si="91"/>
        <v>HOLDING REGISTER</v>
      </c>
      <c r="O682" t="str">
        <f t="shared" si="92"/>
        <v>BOOL</v>
      </c>
      <c r="P682" t="str">
        <f t="shared" si="93"/>
        <v>PLC SOS 2</v>
      </c>
      <c r="R682" t="str">
        <f t="shared" si="94"/>
        <v>PLC IN STOP</v>
      </c>
      <c r="U682" t="str">
        <f t="shared" si="95"/>
        <v>Allarme</v>
      </c>
      <c r="V682" t="str">
        <f t="shared" si="96"/>
        <v>SOS 2</v>
      </c>
      <c r="W682" t="str">
        <f t="shared" si="97"/>
        <v>GALLERIA SAN GIULIANO</v>
      </c>
      <c r="Z682" t="str">
        <f t="shared" si="98"/>
        <v>10.220.80.16</v>
      </c>
    </row>
    <row r="683" spans="1:26" x14ac:dyDescent="0.25">
      <c r="A683" t="s">
        <v>10</v>
      </c>
      <c r="B683" t="s">
        <v>1063</v>
      </c>
      <c r="C683" t="s">
        <v>2534</v>
      </c>
      <c r="D683" t="s">
        <v>12</v>
      </c>
      <c r="E683" t="s">
        <v>2534</v>
      </c>
      <c r="F683" t="s">
        <v>14</v>
      </c>
      <c r="G683" t="s">
        <v>28</v>
      </c>
      <c r="H683" t="s">
        <v>22</v>
      </c>
      <c r="I683" t="s">
        <v>1401</v>
      </c>
      <c r="J683" t="s">
        <v>1383</v>
      </c>
      <c r="K683" t="str">
        <f t="shared" si="90"/>
        <v>1201.14</v>
      </c>
      <c r="N683" t="str">
        <f t="shared" si="91"/>
        <v>HOLDING REGISTER</v>
      </c>
      <c r="O683" t="str">
        <f t="shared" si="92"/>
        <v>BOOL</v>
      </c>
      <c r="P683" t="str">
        <f t="shared" si="93"/>
        <v>PLC SOS 2</v>
      </c>
      <c r="R683" t="str">
        <f t="shared" si="94"/>
        <v>FAULT COMUNICAZIONE ETHERNET</v>
      </c>
      <c r="U683" t="str">
        <f t="shared" si="95"/>
        <v>Allarme</v>
      </c>
      <c r="V683" t="str">
        <f t="shared" si="96"/>
        <v>SOS 2</v>
      </c>
      <c r="W683" t="str">
        <f t="shared" si="97"/>
        <v>GALLERIA SAN GIULIANO</v>
      </c>
      <c r="Z683" t="str">
        <f t="shared" si="98"/>
        <v>10.220.80.16</v>
      </c>
    </row>
    <row r="684" spans="1:26" x14ac:dyDescent="0.25">
      <c r="A684" t="s">
        <v>10</v>
      </c>
      <c r="B684" t="s">
        <v>1063</v>
      </c>
      <c r="C684" t="s">
        <v>2534</v>
      </c>
      <c r="D684" t="s">
        <v>1384</v>
      </c>
      <c r="E684" t="s">
        <v>2534</v>
      </c>
      <c r="F684" t="s">
        <v>14</v>
      </c>
      <c r="G684" t="s">
        <v>21</v>
      </c>
      <c r="H684" t="s">
        <v>22</v>
      </c>
      <c r="I684" t="s">
        <v>1402</v>
      </c>
      <c r="J684" t="s">
        <v>1386</v>
      </c>
      <c r="K684" t="str">
        <f t="shared" si="90"/>
        <v>1201.15</v>
      </c>
      <c r="N684" t="str">
        <f t="shared" si="91"/>
        <v>HOLDING REGISTER</v>
      </c>
      <c r="O684" t="str">
        <f t="shared" si="92"/>
        <v>BOOL</v>
      </c>
      <c r="P684" t="str">
        <f t="shared" si="93"/>
        <v xml:space="preserve">  SOS 2</v>
      </c>
      <c r="R684" t="str">
        <f t="shared" si="94"/>
        <v>FEEDBACK RESET DA RMT</v>
      </c>
      <c r="U684" t="str">
        <f t="shared" si="95"/>
        <v>Stato</v>
      </c>
      <c r="V684" t="str">
        <f t="shared" si="96"/>
        <v>SOS 2</v>
      </c>
      <c r="W684" t="str">
        <f t="shared" si="97"/>
        <v>GALLERIA SAN GIULIANO</v>
      </c>
      <c r="Z684" t="str">
        <f t="shared" si="98"/>
        <v>10.220.80.16</v>
      </c>
    </row>
    <row r="685" spans="1:26" x14ac:dyDescent="0.25">
      <c r="A685" t="s">
        <v>10</v>
      </c>
      <c r="B685" t="s">
        <v>1063</v>
      </c>
      <c r="C685" t="s">
        <v>2537</v>
      </c>
      <c r="D685" t="s">
        <v>1354</v>
      </c>
      <c r="E685" t="s">
        <v>2537</v>
      </c>
      <c r="F685" t="s">
        <v>14</v>
      </c>
      <c r="G685" t="s">
        <v>28</v>
      </c>
      <c r="H685" t="s">
        <v>22</v>
      </c>
      <c r="I685" t="s">
        <v>1403</v>
      </c>
      <c r="J685" t="s">
        <v>1356</v>
      </c>
      <c r="K685" t="str">
        <f t="shared" si="90"/>
        <v>1202.0</v>
      </c>
      <c r="N685" t="str">
        <f t="shared" si="91"/>
        <v>HOLDING REGISTER</v>
      </c>
      <c r="O685" t="str">
        <f t="shared" si="92"/>
        <v>BOOL</v>
      </c>
      <c r="P685" t="str">
        <f t="shared" si="93"/>
        <v>PULSANTE CHIAMATA SOS 3</v>
      </c>
      <c r="R685" t="str">
        <f t="shared" si="94"/>
        <v>CHIAMATA 118 EFFETTUATA</v>
      </c>
      <c r="U685" t="str">
        <f t="shared" si="95"/>
        <v>Allarme</v>
      </c>
      <c r="V685" t="str">
        <f t="shared" si="96"/>
        <v>SOS 3</v>
      </c>
      <c r="W685" t="str">
        <f t="shared" si="97"/>
        <v>GALLERIA SAN GIULIANO</v>
      </c>
      <c r="Z685" t="str">
        <f t="shared" si="98"/>
        <v>10.220.80.16</v>
      </c>
    </row>
    <row r="686" spans="1:26" x14ac:dyDescent="0.25">
      <c r="A686" t="s">
        <v>10</v>
      </c>
      <c r="B686" t="s">
        <v>1063</v>
      </c>
      <c r="C686" t="s">
        <v>2537</v>
      </c>
      <c r="D686" t="s">
        <v>1354</v>
      </c>
      <c r="E686" t="s">
        <v>2537</v>
      </c>
      <c r="F686" t="s">
        <v>14</v>
      </c>
      <c r="G686" t="s">
        <v>28</v>
      </c>
      <c r="H686" t="s">
        <v>22</v>
      </c>
      <c r="I686" t="s">
        <v>1404</v>
      </c>
      <c r="J686" t="s">
        <v>1358</v>
      </c>
      <c r="K686" t="str">
        <f t="shared" si="90"/>
        <v>1202.1</v>
      </c>
      <c r="N686" t="str">
        <f t="shared" si="91"/>
        <v>HOLDING REGISTER</v>
      </c>
      <c r="O686" t="str">
        <f t="shared" si="92"/>
        <v>BOOL</v>
      </c>
      <c r="P686" t="str">
        <f t="shared" si="93"/>
        <v>PULSANTE CHIAMATA SOS 3</v>
      </c>
      <c r="R686" t="str">
        <f t="shared" si="94"/>
        <v>CHIAMATA 113 EFFETTUATA</v>
      </c>
      <c r="U686" t="str">
        <f t="shared" si="95"/>
        <v>Allarme</v>
      </c>
      <c r="V686" t="str">
        <f t="shared" si="96"/>
        <v>SOS 3</v>
      </c>
      <c r="W686" t="str">
        <f t="shared" si="97"/>
        <v>GALLERIA SAN GIULIANO</v>
      </c>
      <c r="Z686" t="str">
        <f t="shared" si="98"/>
        <v>10.220.80.16</v>
      </c>
    </row>
    <row r="687" spans="1:26" x14ac:dyDescent="0.25">
      <c r="A687" t="s">
        <v>10</v>
      </c>
      <c r="B687" t="s">
        <v>1063</v>
      </c>
      <c r="C687" t="s">
        <v>2537</v>
      </c>
      <c r="D687" t="s">
        <v>1354</v>
      </c>
      <c r="E687" t="s">
        <v>2537</v>
      </c>
      <c r="F687" t="s">
        <v>14</v>
      </c>
      <c r="G687" t="s">
        <v>28</v>
      </c>
      <c r="H687" t="s">
        <v>22</v>
      </c>
      <c r="I687" t="s">
        <v>1405</v>
      </c>
      <c r="J687" t="s">
        <v>1360</v>
      </c>
      <c r="K687" t="str">
        <f t="shared" si="90"/>
        <v>1202.2</v>
      </c>
      <c r="N687" t="str">
        <f t="shared" si="91"/>
        <v>HOLDING REGISTER</v>
      </c>
      <c r="O687" t="str">
        <f t="shared" si="92"/>
        <v>BOOL</v>
      </c>
      <c r="P687" t="str">
        <f t="shared" si="93"/>
        <v>PULSANTE CHIAMATA SOS 3</v>
      </c>
      <c r="R687" t="str">
        <f t="shared" si="94"/>
        <v>CHIAMATA 115 EFFETTUATA</v>
      </c>
      <c r="U687" t="str">
        <f t="shared" si="95"/>
        <v>Allarme</v>
      </c>
      <c r="V687" t="str">
        <f t="shared" si="96"/>
        <v>SOS 3</v>
      </c>
      <c r="W687" t="str">
        <f t="shared" si="97"/>
        <v>GALLERIA SAN GIULIANO</v>
      </c>
      <c r="Z687" t="str">
        <f t="shared" si="98"/>
        <v>10.220.80.16</v>
      </c>
    </row>
    <row r="688" spans="1:26" x14ac:dyDescent="0.25">
      <c r="A688" t="s">
        <v>10</v>
      </c>
      <c r="B688" t="s">
        <v>1063</v>
      </c>
      <c r="C688" t="s">
        <v>2537</v>
      </c>
      <c r="D688" t="s">
        <v>1354</v>
      </c>
      <c r="E688" t="s">
        <v>2537</v>
      </c>
      <c r="F688" t="s">
        <v>14</v>
      </c>
      <c r="G688" t="s">
        <v>28</v>
      </c>
      <c r="H688" t="s">
        <v>22</v>
      </c>
      <c r="I688" t="s">
        <v>1406</v>
      </c>
      <c r="J688" t="s">
        <v>1362</v>
      </c>
      <c r="K688" t="str">
        <f t="shared" si="90"/>
        <v>1202.3</v>
      </c>
      <c r="N688" t="str">
        <f t="shared" si="91"/>
        <v>HOLDING REGISTER</v>
      </c>
      <c r="O688" t="str">
        <f t="shared" si="92"/>
        <v>BOOL</v>
      </c>
      <c r="P688" t="str">
        <f t="shared" si="93"/>
        <v>PULSANTE CHIAMATA SOS 3</v>
      </c>
      <c r="R688" t="str">
        <f t="shared" si="94"/>
        <v>CHIAMATA SALA CONTROLLO ANAS EFFETTUATA</v>
      </c>
      <c r="U688" t="str">
        <f t="shared" si="95"/>
        <v>Allarme</v>
      </c>
      <c r="V688" t="str">
        <f t="shared" si="96"/>
        <v>SOS 3</v>
      </c>
      <c r="W688" t="str">
        <f t="shared" si="97"/>
        <v>GALLERIA SAN GIULIANO</v>
      </c>
      <c r="Z688" t="str">
        <f t="shared" si="98"/>
        <v>10.220.80.16</v>
      </c>
    </row>
    <row r="689" spans="1:26" x14ac:dyDescent="0.25">
      <c r="A689" t="s">
        <v>10</v>
      </c>
      <c r="B689" t="s">
        <v>1063</v>
      </c>
      <c r="C689" t="s">
        <v>2537</v>
      </c>
      <c r="D689" t="s">
        <v>1363</v>
      </c>
      <c r="E689" t="s">
        <v>2537</v>
      </c>
      <c r="F689" t="s">
        <v>14</v>
      </c>
      <c r="G689" t="s">
        <v>28</v>
      </c>
      <c r="H689" t="s">
        <v>22</v>
      </c>
      <c r="I689" t="s">
        <v>1407</v>
      </c>
      <c r="J689" t="s">
        <v>1365</v>
      </c>
      <c r="K689" t="str">
        <f t="shared" si="90"/>
        <v>1202.4</v>
      </c>
      <c r="N689" t="str">
        <f t="shared" si="91"/>
        <v>HOLDING REGISTER</v>
      </c>
      <c r="O689" t="str">
        <f t="shared" si="92"/>
        <v>BOOL</v>
      </c>
      <c r="P689" t="str">
        <f t="shared" si="93"/>
        <v>ESTINTORE SOS 3</v>
      </c>
      <c r="R689" t="str">
        <f t="shared" si="94"/>
        <v>ESTINTORE PRELEVATO 1</v>
      </c>
      <c r="U689" t="str">
        <f t="shared" si="95"/>
        <v>Allarme</v>
      </c>
      <c r="V689" t="str">
        <f t="shared" si="96"/>
        <v>SOS 3</v>
      </c>
      <c r="W689" t="str">
        <f t="shared" si="97"/>
        <v>GALLERIA SAN GIULIANO</v>
      </c>
      <c r="Z689" t="str">
        <f t="shared" si="98"/>
        <v>10.220.80.16</v>
      </c>
    </row>
    <row r="690" spans="1:26" x14ac:dyDescent="0.25">
      <c r="A690" t="s">
        <v>10</v>
      </c>
      <c r="B690" t="s">
        <v>1063</v>
      </c>
      <c r="C690" t="s">
        <v>2537</v>
      </c>
      <c r="D690" t="s">
        <v>1363</v>
      </c>
      <c r="E690" t="s">
        <v>2537</v>
      </c>
      <c r="F690" t="s">
        <v>14</v>
      </c>
      <c r="G690" t="s">
        <v>28</v>
      </c>
      <c r="H690" t="s">
        <v>22</v>
      </c>
      <c r="I690" t="s">
        <v>1408</v>
      </c>
      <c r="J690" t="s">
        <v>1367</v>
      </c>
      <c r="K690" t="str">
        <f t="shared" si="90"/>
        <v>1202.5</v>
      </c>
      <c r="N690" t="str">
        <f t="shared" si="91"/>
        <v>HOLDING REGISTER</v>
      </c>
      <c r="O690" t="str">
        <f t="shared" si="92"/>
        <v>BOOL</v>
      </c>
      <c r="P690" t="str">
        <f t="shared" si="93"/>
        <v>ESTINTORE SOS 3</v>
      </c>
      <c r="R690" t="str">
        <f t="shared" si="94"/>
        <v>ESTINTORE PRELEVATO 2</v>
      </c>
      <c r="U690" t="str">
        <f t="shared" si="95"/>
        <v>Allarme</v>
      </c>
      <c r="V690" t="str">
        <f t="shared" si="96"/>
        <v>SOS 3</v>
      </c>
      <c r="W690" t="str">
        <f t="shared" si="97"/>
        <v>GALLERIA SAN GIULIANO</v>
      </c>
      <c r="Z690" t="str">
        <f t="shared" si="98"/>
        <v>10.220.80.16</v>
      </c>
    </row>
    <row r="691" spans="1:26" x14ac:dyDescent="0.25">
      <c r="A691" t="s">
        <v>10</v>
      </c>
      <c r="B691" t="s">
        <v>1063</v>
      </c>
      <c r="C691" t="s">
        <v>2537</v>
      </c>
      <c r="D691" t="s">
        <v>1368</v>
      </c>
      <c r="E691" t="s">
        <v>2537</v>
      </c>
      <c r="F691" t="s">
        <v>14</v>
      </c>
      <c r="G691" t="s">
        <v>28</v>
      </c>
      <c r="H691" t="s">
        <v>22</v>
      </c>
      <c r="I691" t="s">
        <v>1409</v>
      </c>
      <c r="J691" t="s">
        <v>1370</v>
      </c>
      <c r="K691" t="str">
        <f t="shared" si="90"/>
        <v>1202.6</v>
      </c>
      <c r="N691" t="str">
        <f t="shared" si="91"/>
        <v>HOLDING REGISTER</v>
      </c>
      <c r="O691" t="str">
        <f t="shared" si="92"/>
        <v>BOOL</v>
      </c>
      <c r="P691" t="str">
        <f t="shared" si="93"/>
        <v>PORTA SOS 3</v>
      </c>
      <c r="R691" t="str">
        <f t="shared" si="94"/>
        <v>MANICHETTA PRELEVATA</v>
      </c>
      <c r="U691" t="str">
        <f t="shared" si="95"/>
        <v>Allarme</v>
      </c>
      <c r="V691" t="str">
        <f t="shared" si="96"/>
        <v>SOS 3</v>
      </c>
      <c r="W691" t="str">
        <f t="shared" si="97"/>
        <v>GALLERIA SAN GIULIANO</v>
      </c>
      <c r="Z691" t="str">
        <f t="shared" si="98"/>
        <v>10.220.80.16</v>
      </c>
    </row>
    <row r="692" spans="1:26" x14ac:dyDescent="0.25">
      <c r="A692" t="s">
        <v>10</v>
      </c>
      <c r="B692" t="s">
        <v>1063</v>
      </c>
      <c r="C692" t="s">
        <v>2537</v>
      </c>
      <c r="D692" t="s">
        <v>1368</v>
      </c>
      <c r="E692" t="s">
        <v>2537</v>
      </c>
      <c r="F692" t="s">
        <v>14</v>
      </c>
      <c r="G692" t="s">
        <v>28</v>
      </c>
      <c r="H692" t="s">
        <v>22</v>
      </c>
      <c r="I692" t="s">
        <v>1410</v>
      </c>
      <c r="J692" t="s">
        <v>1372</v>
      </c>
      <c r="K692" t="str">
        <f t="shared" si="90"/>
        <v>1202.7</v>
      </c>
      <c r="N692" t="str">
        <f t="shared" si="91"/>
        <v>HOLDING REGISTER</v>
      </c>
      <c r="O692" t="str">
        <f t="shared" si="92"/>
        <v>BOOL</v>
      </c>
      <c r="P692" t="str">
        <f t="shared" si="93"/>
        <v>PORTA SOS 3</v>
      </c>
      <c r="R692" t="str">
        <f t="shared" si="94"/>
        <v>PORTA TELEFONO VOIP APERTA</v>
      </c>
      <c r="U692" t="str">
        <f t="shared" si="95"/>
        <v>Allarme</v>
      </c>
      <c r="V692" t="str">
        <f t="shared" si="96"/>
        <v>SOS 3</v>
      </c>
      <c r="W692" t="str">
        <f t="shared" si="97"/>
        <v>GALLERIA SAN GIULIANO</v>
      </c>
      <c r="Z692" t="str">
        <f t="shared" si="98"/>
        <v>10.220.80.16</v>
      </c>
    </row>
    <row r="693" spans="1:26" x14ac:dyDescent="0.25">
      <c r="A693" t="s">
        <v>10</v>
      </c>
      <c r="B693" t="s">
        <v>1063</v>
      </c>
      <c r="C693" t="s">
        <v>2537</v>
      </c>
      <c r="D693" t="s">
        <v>1368</v>
      </c>
      <c r="E693" t="s">
        <v>2537</v>
      </c>
      <c r="F693" t="s">
        <v>14</v>
      </c>
      <c r="G693" t="s">
        <v>28</v>
      </c>
      <c r="H693" t="s">
        <v>22</v>
      </c>
      <c r="I693" t="s">
        <v>1411</v>
      </c>
      <c r="J693" t="s">
        <v>1374</v>
      </c>
      <c r="K693" t="str">
        <f t="shared" si="90"/>
        <v>1202.8</v>
      </c>
      <c r="N693" t="str">
        <f t="shared" si="91"/>
        <v>HOLDING REGISTER</v>
      </c>
      <c r="O693" t="str">
        <f t="shared" si="92"/>
        <v>BOOL</v>
      </c>
      <c r="P693" t="str">
        <f t="shared" si="93"/>
        <v>PORTA SOS 3</v>
      </c>
      <c r="R693" t="str">
        <f t="shared" si="94"/>
        <v>PORTA VANO TECNICO APERTA</v>
      </c>
      <c r="U693" t="str">
        <f t="shared" si="95"/>
        <v>Allarme</v>
      </c>
      <c r="V693" t="str">
        <f t="shared" si="96"/>
        <v>SOS 3</v>
      </c>
      <c r="W693" t="str">
        <f t="shared" si="97"/>
        <v>GALLERIA SAN GIULIANO</v>
      </c>
      <c r="Z693" t="str">
        <f t="shared" si="98"/>
        <v>10.220.80.16</v>
      </c>
    </row>
    <row r="694" spans="1:26" x14ac:dyDescent="0.25">
      <c r="A694" t="s">
        <v>10</v>
      </c>
      <c r="B694" t="s">
        <v>1063</v>
      </c>
      <c r="C694" t="s">
        <v>2537</v>
      </c>
      <c r="D694" t="s">
        <v>1375</v>
      </c>
      <c r="E694" t="s">
        <v>2537</v>
      </c>
      <c r="F694" t="s">
        <v>14</v>
      </c>
      <c r="G694" t="s">
        <v>1375</v>
      </c>
      <c r="H694" t="s">
        <v>22</v>
      </c>
      <c r="I694" t="s">
        <v>1412</v>
      </c>
      <c r="J694" t="s">
        <v>1375</v>
      </c>
      <c r="K694" t="str">
        <f t="shared" si="90"/>
        <v>1202.9</v>
      </c>
      <c r="N694" t="str">
        <f t="shared" si="91"/>
        <v>HOLDING REGISTER</v>
      </c>
      <c r="O694" t="str">
        <f t="shared" si="92"/>
        <v>BOOL</v>
      </c>
      <c r="P694" t="str">
        <f t="shared" si="93"/>
        <v>disponibile SOS 3</v>
      </c>
      <c r="R694" t="str">
        <f t="shared" si="94"/>
        <v>disponibile</v>
      </c>
      <c r="U694" t="str">
        <f t="shared" si="95"/>
        <v>disponibile</v>
      </c>
      <c r="V694" t="str">
        <f t="shared" si="96"/>
        <v>SOS 3</v>
      </c>
      <c r="W694" t="str">
        <f t="shared" si="97"/>
        <v>GALLERIA SAN GIULIANO</v>
      </c>
      <c r="Z694" t="str">
        <f t="shared" si="98"/>
        <v>10.220.80.16</v>
      </c>
    </row>
    <row r="695" spans="1:26" x14ac:dyDescent="0.25">
      <c r="A695" t="s">
        <v>10</v>
      </c>
      <c r="B695" t="s">
        <v>1063</v>
      </c>
      <c r="C695" t="s">
        <v>2537</v>
      </c>
      <c r="D695" t="s">
        <v>1375</v>
      </c>
      <c r="E695" t="s">
        <v>2537</v>
      </c>
      <c r="F695" t="s">
        <v>14</v>
      </c>
      <c r="G695" t="s">
        <v>1375</v>
      </c>
      <c r="H695" t="s">
        <v>22</v>
      </c>
      <c r="I695" t="s">
        <v>1413</v>
      </c>
      <c r="J695" t="s">
        <v>1375</v>
      </c>
      <c r="K695" t="str">
        <f t="shared" si="90"/>
        <v>1202.10</v>
      </c>
      <c r="N695" t="str">
        <f t="shared" si="91"/>
        <v>HOLDING REGISTER</v>
      </c>
      <c r="O695" t="str">
        <f t="shared" si="92"/>
        <v>BOOL</v>
      </c>
      <c r="P695" t="str">
        <f t="shared" si="93"/>
        <v>disponibile SOS 3</v>
      </c>
      <c r="R695" t="str">
        <f t="shared" si="94"/>
        <v>disponibile</v>
      </c>
      <c r="U695" t="str">
        <f t="shared" si="95"/>
        <v>disponibile</v>
      </c>
      <c r="V695" t="str">
        <f t="shared" si="96"/>
        <v>SOS 3</v>
      </c>
      <c r="W695" t="str">
        <f t="shared" si="97"/>
        <v>GALLERIA SAN GIULIANO</v>
      </c>
      <c r="Z695" t="str">
        <f t="shared" si="98"/>
        <v>10.220.80.16</v>
      </c>
    </row>
    <row r="696" spans="1:26" x14ac:dyDescent="0.25">
      <c r="A696" t="s">
        <v>10</v>
      </c>
      <c r="B696" t="s">
        <v>1063</v>
      </c>
      <c r="C696" t="s">
        <v>2537</v>
      </c>
      <c r="D696" t="s">
        <v>1375</v>
      </c>
      <c r="E696" t="s">
        <v>2537</v>
      </c>
      <c r="F696" t="s">
        <v>14</v>
      </c>
      <c r="G696" t="s">
        <v>1375</v>
      </c>
      <c r="H696" t="s">
        <v>22</v>
      </c>
      <c r="I696" t="s">
        <v>1414</v>
      </c>
      <c r="J696" t="s">
        <v>1375</v>
      </c>
      <c r="K696" t="str">
        <f t="shared" si="90"/>
        <v>1202.11</v>
      </c>
      <c r="N696" t="str">
        <f t="shared" si="91"/>
        <v>HOLDING REGISTER</v>
      </c>
      <c r="O696" t="str">
        <f t="shared" si="92"/>
        <v>BOOL</v>
      </c>
      <c r="P696" t="str">
        <f t="shared" si="93"/>
        <v>disponibile SOS 3</v>
      </c>
      <c r="R696" t="str">
        <f t="shared" si="94"/>
        <v>disponibile</v>
      </c>
      <c r="U696" t="str">
        <f t="shared" si="95"/>
        <v>disponibile</v>
      </c>
      <c r="V696" t="str">
        <f t="shared" si="96"/>
        <v>SOS 3</v>
      </c>
      <c r="W696" t="str">
        <f t="shared" si="97"/>
        <v>GALLERIA SAN GIULIANO</v>
      </c>
      <c r="Z696" t="str">
        <f t="shared" si="98"/>
        <v>10.220.80.16</v>
      </c>
    </row>
    <row r="697" spans="1:26" x14ac:dyDescent="0.25">
      <c r="A697" t="s">
        <v>10</v>
      </c>
      <c r="B697" t="s">
        <v>1063</v>
      </c>
      <c r="C697" t="s">
        <v>2537</v>
      </c>
      <c r="D697" t="s">
        <v>1375</v>
      </c>
      <c r="E697" t="s">
        <v>2537</v>
      </c>
      <c r="F697" t="s">
        <v>14</v>
      </c>
      <c r="G697" t="s">
        <v>1375</v>
      </c>
      <c r="H697" t="s">
        <v>22</v>
      </c>
      <c r="I697" t="s">
        <v>1415</v>
      </c>
      <c r="J697" t="s">
        <v>1375</v>
      </c>
      <c r="K697" t="str">
        <f t="shared" si="90"/>
        <v>1202.12</v>
      </c>
      <c r="N697" t="str">
        <f t="shared" si="91"/>
        <v>HOLDING REGISTER</v>
      </c>
      <c r="O697" t="str">
        <f t="shared" si="92"/>
        <v>BOOL</v>
      </c>
      <c r="P697" t="str">
        <f t="shared" si="93"/>
        <v>disponibile SOS 3</v>
      </c>
      <c r="R697" t="str">
        <f t="shared" si="94"/>
        <v>disponibile</v>
      </c>
      <c r="U697" t="str">
        <f t="shared" si="95"/>
        <v>disponibile</v>
      </c>
      <c r="V697" t="str">
        <f t="shared" si="96"/>
        <v>SOS 3</v>
      </c>
      <c r="W697" t="str">
        <f t="shared" si="97"/>
        <v>GALLERIA SAN GIULIANO</v>
      </c>
      <c r="Z697" t="str">
        <f t="shared" si="98"/>
        <v>10.220.80.16</v>
      </c>
    </row>
    <row r="698" spans="1:26" x14ac:dyDescent="0.25">
      <c r="A698" t="s">
        <v>10</v>
      </c>
      <c r="B698" t="s">
        <v>1063</v>
      </c>
      <c r="C698" t="s">
        <v>2537</v>
      </c>
      <c r="D698" t="s">
        <v>12</v>
      </c>
      <c r="E698" t="s">
        <v>2537</v>
      </c>
      <c r="F698" t="s">
        <v>14</v>
      </c>
      <c r="G698" t="s">
        <v>28</v>
      </c>
      <c r="H698" t="s">
        <v>22</v>
      </c>
      <c r="I698" t="s">
        <v>1416</v>
      </c>
      <c r="J698" t="s">
        <v>1381</v>
      </c>
      <c r="K698" t="str">
        <f t="shared" si="90"/>
        <v>1202.13</v>
      </c>
      <c r="N698" t="str">
        <f t="shared" si="91"/>
        <v>HOLDING REGISTER</v>
      </c>
      <c r="O698" t="str">
        <f t="shared" si="92"/>
        <v>BOOL</v>
      </c>
      <c r="P698" t="str">
        <f t="shared" si="93"/>
        <v>PLC SOS 3</v>
      </c>
      <c r="R698" t="str">
        <f t="shared" si="94"/>
        <v>PLC IN STOP</v>
      </c>
      <c r="U698" t="str">
        <f t="shared" si="95"/>
        <v>Allarme</v>
      </c>
      <c r="V698" t="str">
        <f t="shared" si="96"/>
        <v>SOS 3</v>
      </c>
      <c r="W698" t="str">
        <f t="shared" si="97"/>
        <v>GALLERIA SAN GIULIANO</v>
      </c>
      <c r="Z698" t="str">
        <f t="shared" si="98"/>
        <v>10.220.80.16</v>
      </c>
    </row>
    <row r="699" spans="1:26" x14ac:dyDescent="0.25">
      <c r="A699" t="s">
        <v>10</v>
      </c>
      <c r="B699" t="s">
        <v>1063</v>
      </c>
      <c r="C699" t="s">
        <v>2537</v>
      </c>
      <c r="D699" t="s">
        <v>12</v>
      </c>
      <c r="E699" t="s">
        <v>2537</v>
      </c>
      <c r="F699" t="s">
        <v>14</v>
      </c>
      <c r="G699" t="s">
        <v>28</v>
      </c>
      <c r="H699" t="s">
        <v>22</v>
      </c>
      <c r="I699" t="s">
        <v>1417</v>
      </c>
      <c r="J699" t="s">
        <v>1383</v>
      </c>
      <c r="K699" t="str">
        <f t="shared" si="90"/>
        <v>1202.14</v>
      </c>
      <c r="N699" t="str">
        <f t="shared" si="91"/>
        <v>HOLDING REGISTER</v>
      </c>
      <c r="O699" t="str">
        <f t="shared" si="92"/>
        <v>BOOL</v>
      </c>
      <c r="P699" t="str">
        <f t="shared" si="93"/>
        <v>PLC SOS 3</v>
      </c>
      <c r="R699" t="str">
        <f t="shared" si="94"/>
        <v>FAULT COMUNICAZIONE ETHERNET</v>
      </c>
      <c r="U699" t="str">
        <f t="shared" si="95"/>
        <v>Allarme</v>
      </c>
      <c r="V699" t="str">
        <f t="shared" si="96"/>
        <v>SOS 3</v>
      </c>
      <c r="W699" t="str">
        <f t="shared" si="97"/>
        <v>GALLERIA SAN GIULIANO</v>
      </c>
      <c r="Z699" t="str">
        <f t="shared" si="98"/>
        <v>10.220.80.16</v>
      </c>
    </row>
    <row r="700" spans="1:26" x14ac:dyDescent="0.25">
      <c r="A700" t="s">
        <v>10</v>
      </c>
      <c r="B700" t="s">
        <v>1063</v>
      </c>
      <c r="C700" t="s">
        <v>2537</v>
      </c>
      <c r="D700" t="s">
        <v>1384</v>
      </c>
      <c r="E700" t="s">
        <v>2537</v>
      </c>
      <c r="F700" t="s">
        <v>14</v>
      </c>
      <c r="G700" t="s">
        <v>21</v>
      </c>
      <c r="H700" t="s">
        <v>22</v>
      </c>
      <c r="I700" t="s">
        <v>1418</v>
      </c>
      <c r="J700" t="s">
        <v>1386</v>
      </c>
      <c r="K700" t="str">
        <f t="shared" si="90"/>
        <v>1202.15</v>
      </c>
      <c r="N700" t="str">
        <f t="shared" si="91"/>
        <v>HOLDING REGISTER</v>
      </c>
      <c r="O700" t="str">
        <f t="shared" si="92"/>
        <v>BOOL</v>
      </c>
      <c r="P700" t="str">
        <f t="shared" si="93"/>
        <v xml:space="preserve">  SOS 3</v>
      </c>
      <c r="R700" t="str">
        <f t="shared" si="94"/>
        <v>FEEDBACK RESET DA RMT</v>
      </c>
      <c r="U700" t="str">
        <f t="shared" si="95"/>
        <v>Stato</v>
      </c>
      <c r="V700" t="str">
        <f t="shared" si="96"/>
        <v>SOS 3</v>
      </c>
      <c r="W700" t="str">
        <f t="shared" si="97"/>
        <v>GALLERIA SAN GIULIANO</v>
      </c>
      <c r="Z700" t="str">
        <f t="shared" si="98"/>
        <v>10.220.80.16</v>
      </c>
    </row>
    <row r="701" spans="1:26" x14ac:dyDescent="0.25">
      <c r="A701" t="s">
        <v>10</v>
      </c>
      <c r="B701" t="s">
        <v>1063</v>
      </c>
      <c r="C701" t="s">
        <v>2540</v>
      </c>
      <c r="D701" t="s">
        <v>1354</v>
      </c>
      <c r="E701" t="s">
        <v>2540</v>
      </c>
      <c r="F701" t="s">
        <v>14</v>
      </c>
      <c r="G701" t="s">
        <v>28</v>
      </c>
      <c r="H701" t="s">
        <v>22</v>
      </c>
      <c r="I701" t="s">
        <v>1419</v>
      </c>
      <c r="J701" t="s">
        <v>1356</v>
      </c>
      <c r="K701" t="str">
        <f t="shared" si="90"/>
        <v>1203.0</v>
      </c>
      <c r="N701" t="str">
        <f t="shared" si="91"/>
        <v>HOLDING REGISTER</v>
      </c>
      <c r="O701" t="str">
        <f t="shared" si="92"/>
        <v>BOOL</v>
      </c>
      <c r="P701" t="str">
        <f t="shared" si="93"/>
        <v>PULSANTE CHIAMATA SOS 4</v>
      </c>
      <c r="R701" t="str">
        <f t="shared" si="94"/>
        <v>CHIAMATA 118 EFFETTUATA</v>
      </c>
      <c r="U701" t="str">
        <f t="shared" si="95"/>
        <v>Allarme</v>
      </c>
      <c r="V701" t="str">
        <f t="shared" si="96"/>
        <v>SOS 4</v>
      </c>
      <c r="W701" t="str">
        <f t="shared" si="97"/>
        <v>GALLERIA SAN GIULIANO</v>
      </c>
      <c r="Z701" t="str">
        <f t="shared" si="98"/>
        <v>10.220.80.16</v>
      </c>
    </row>
    <row r="702" spans="1:26" x14ac:dyDescent="0.25">
      <c r="A702" t="s">
        <v>10</v>
      </c>
      <c r="B702" t="s">
        <v>1063</v>
      </c>
      <c r="C702" t="s">
        <v>2540</v>
      </c>
      <c r="D702" t="s">
        <v>1354</v>
      </c>
      <c r="E702" t="s">
        <v>2540</v>
      </c>
      <c r="F702" t="s">
        <v>14</v>
      </c>
      <c r="G702" t="s">
        <v>28</v>
      </c>
      <c r="H702" t="s">
        <v>22</v>
      </c>
      <c r="I702" t="s">
        <v>1420</v>
      </c>
      <c r="J702" t="s">
        <v>1358</v>
      </c>
      <c r="K702" t="str">
        <f t="shared" si="90"/>
        <v>1203.1</v>
      </c>
      <c r="N702" t="str">
        <f t="shared" si="91"/>
        <v>HOLDING REGISTER</v>
      </c>
      <c r="O702" t="str">
        <f t="shared" si="92"/>
        <v>BOOL</v>
      </c>
      <c r="P702" t="str">
        <f t="shared" si="93"/>
        <v>PULSANTE CHIAMATA SOS 4</v>
      </c>
      <c r="R702" t="str">
        <f t="shared" si="94"/>
        <v>CHIAMATA 113 EFFETTUATA</v>
      </c>
      <c r="U702" t="str">
        <f t="shared" si="95"/>
        <v>Allarme</v>
      </c>
      <c r="V702" t="str">
        <f t="shared" si="96"/>
        <v>SOS 4</v>
      </c>
      <c r="W702" t="str">
        <f t="shared" si="97"/>
        <v>GALLERIA SAN GIULIANO</v>
      </c>
      <c r="Z702" t="str">
        <f t="shared" si="98"/>
        <v>10.220.80.16</v>
      </c>
    </row>
    <row r="703" spans="1:26" x14ac:dyDescent="0.25">
      <c r="A703" t="s">
        <v>10</v>
      </c>
      <c r="B703" t="s">
        <v>1063</v>
      </c>
      <c r="C703" t="s">
        <v>2540</v>
      </c>
      <c r="D703" t="s">
        <v>1354</v>
      </c>
      <c r="E703" t="s">
        <v>2540</v>
      </c>
      <c r="F703" t="s">
        <v>14</v>
      </c>
      <c r="G703" t="s">
        <v>28</v>
      </c>
      <c r="H703" t="s">
        <v>22</v>
      </c>
      <c r="I703" t="s">
        <v>1421</v>
      </c>
      <c r="J703" t="s">
        <v>1360</v>
      </c>
      <c r="K703" t="str">
        <f t="shared" si="90"/>
        <v>1203.2</v>
      </c>
      <c r="N703" t="str">
        <f t="shared" si="91"/>
        <v>HOLDING REGISTER</v>
      </c>
      <c r="O703" t="str">
        <f t="shared" si="92"/>
        <v>BOOL</v>
      </c>
      <c r="P703" t="str">
        <f t="shared" si="93"/>
        <v>PULSANTE CHIAMATA SOS 4</v>
      </c>
      <c r="R703" t="str">
        <f t="shared" si="94"/>
        <v>CHIAMATA 115 EFFETTUATA</v>
      </c>
      <c r="U703" t="str">
        <f t="shared" si="95"/>
        <v>Allarme</v>
      </c>
      <c r="V703" t="str">
        <f t="shared" si="96"/>
        <v>SOS 4</v>
      </c>
      <c r="W703" t="str">
        <f t="shared" si="97"/>
        <v>GALLERIA SAN GIULIANO</v>
      </c>
      <c r="Z703" t="str">
        <f t="shared" si="98"/>
        <v>10.220.80.16</v>
      </c>
    </row>
    <row r="704" spans="1:26" x14ac:dyDescent="0.25">
      <c r="A704" t="s">
        <v>10</v>
      </c>
      <c r="B704" t="s">
        <v>1063</v>
      </c>
      <c r="C704" t="s">
        <v>2540</v>
      </c>
      <c r="D704" t="s">
        <v>1354</v>
      </c>
      <c r="E704" t="s">
        <v>2540</v>
      </c>
      <c r="F704" t="s">
        <v>14</v>
      </c>
      <c r="G704" t="s">
        <v>28</v>
      </c>
      <c r="H704" t="s">
        <v>22</v>
      </c>
      <c r="I704" t="s">
        <v>1422</v>
      </c>
      <c r="J704" t="s">
        <v>1362</v>
      </c>
      <c r="K704" t="str">
        <f t="shared" si="90"/>
        <v>1203.3</v>
      </c>
      <c r="N704" t="str">
        <f t="shared" si="91"/>
        <v>HOLDING REGISTER</v>
      </c>
      <c r="O704" t="str">
        <f t="shared" si="92"/>
        <v>BOOL</v>
      </c>
      <c r="P704" t="str">
        <f t="shared" si="93"/>
        <v>PULSANTE CHIAMATA SOS 4</v>
      </c>
      <c r="R704" t="str">
        <f t="shared" si="94"/>
        <v>CHIAMATA SALA CONTROLLO ANAS EFFETTUATA</v>
      </c>
      <c r="U704" t="str">
        <f t="shared" si="95"/>
        <v>Allarme</v>
      </c>
      <c r="V704" t="str">
        <f t="shared" si="96"/>
        <v>SOS 4</v>
      </c>
      <c r="W704" t="str">
        <f t="shared" si="97"/>
        <v>GALLERIA SAN GIULIANO</v>
      </c>
      <c r="Z704" t="str">
        <f t="shared" si="98"/>
        <v>10.220.80.16</v>
      </c>
    </row>
    <row r="705" spans="1:26" x14ac:dyDescent="0.25">
      <c r="A705" t="s">
        <v>10</v>
      </c>
      <c r="B705" t="s">
        <v>1063</v>
      </c>
      <c r="C705" t="s">
        <v>2540</v>
      </c>
      <c r="D705" t="s">
        <v>1363</v>
      </c>
      <c r="E705" t="s">
        <v>2540</v>
      </c>
      <c r="F705" t="s">
        <v>14</v>
      </c>
      <c r="G705" t="s">
        <v>28</v>
      </c>
      <c r="H705" t="s">
        <v>22</v>
      </c>
      <c r="I705" t="s">
        <v>1423</v>
      </c>
      <c r="J705" t="s">
        <v>1365</v>
      </c>
      <c r="K705" t="str">
        <f t="shared" si="90"/>
        <v>1203.4</v>
      </c>
      <c r="N705" t="str">
        <f t="shared" si="91"/>
        <v>HOLDING REGISTER</v>
      </c>
      <c r="O705" t="str">
        <f t="shared" si="92"/>
        <v>BOOL</v>
      </c>
      <c r="P705" t="str">
        <f t="shared" si="93"/>
        <v>ESTINTORE SOS 4</v>
      </c>
      <c r="R705" t="str">
        <f t="shared" si="94"/>
        <v>ESTINTORE PRELEVATO 1</v>
      </c>
      <c r="U705" t="str">
        <f t="shared" si="95"/>
        <v>Allarme</v>
      </c>
      <c r="V705" t="str">
        <f t="shared" si="96"/>
        <v>SOS 4</v>
      </c>
      <c r="W705" t="str">
        <f t="shared" si="97"/>
        <v>GALLERIA SAN GIULIANO</v>
      </c>
      <c r="Z705" t="str">
        <f t="shared" si="98"/>
        <v>10.220.80.16</v>
      </c>
    </row>
    <row r="706" spans="1:26" x14ac:dyDescent="0.25">
      <c r="A706" t="s">
        <v>10</v>
      </c>
      <c r="B706" t="s">
        <v>1063</v>
      </c>
      <c r="C706" t="s">
        <v>2540</v>
      </c>
      <c r="D706" t="s">
        <v>1363</v>
      </c>
      <c r="E706" t="s">
        <v>2540</v>
      </c>
      <c r="F706" t="s">
        <v>14</v>
      </c>
      <c r="G706" t="s">
        <v>28</v>
      </c>
      <c r="H706" t="s">
        <v>22</v>
      </c>
      <c r="I706" t="s">
        <v>1424</v>
      </c>
      <c r="J706" t="s">
        <v>1367</v>
      </c>
      <c r="K706" t="str">
        <f t="shared" si="90"/>
        <v>1203.5</v>
      </c>
      <c r="N706" t="str">
        <f t="shared" si="91"/>
        <v>HOLDING REGISTER</v>
      </c>
      <c r="O706" t="str">
        <f t="shared" si="92"/>
        <v>BOOL</v>
      </c>
      <c r="P706" t="str">
        <f t="shared" si="93"/>
        <v>ESTINTORE SOS 4</v>
      </c>
      <c r="R706" t="str">
        <f t="shared" si="94"/>
        <v>ESTINTORE PRELEVATO 2</v>
      </c>
      <c r="U706" t="str">
        <f t="shared" si="95"/>
        <v>Allarme</v>
      </c>
      <c r="V706" t="str">
        <f t="shared" si="96"/>
        <v>SOS 4</v>
      </c>
      <c r="W706" t="str">
        <f t="shared" si="97"/>
        <v>GALLERIA SAN GIULIANO</v>
      </c>
      <c r="Z706" t="str">
        <f t="shared" si="98"/>
        <v>10.220.80.16</v>
      </c>
    </row>
    <row r="707" spans="1:26" x14ac:dyDescent="0.25">
      <c r="A707" t="s">
        <v>10</v>
      </c>
      <c r="B707" t="s">
        <v>1063</v>
      </c>
      <c r="C707" t="s">
        <v>2540</v>
      </c>
      <c r="D707" t="s">
        <v>1368</v>
      </c>
      <c r="E707" t="s">
        <v>2540</v>
      </c>
      <c r="F707" t="s">
        <v>14</v>
      </c>
      <c r="G707" t="s">
        <v>28</v>
      </c>
      <c r="H707" t="s">
        <v>22</v>
      </c>
      <c r="I707" t="s">
        <v>1425</v>
      </c>
      <c r="J707" t="s">
        <v>1370</v>
      </c>
      <c r="K707" t="str">
        <f t="shared" ref="K707:K770" si="99">IF(I707="","",I707)</f>
        <v>1203.6</v>
      </c>
      <c r="N707" t="str">
        <f t="shared" ref="N707:N770" si="100">IF(F707="","",F707)</f>
        <v>HOLDING REGISTER</v>
      </c>
      <c r="O707" t="str">
        <f t="shared" ref="O707:O770" si="101">IF(H707="","",H707)</f>
        <v>BOOL</v>
      </c>
      <c r="P707" t="str">
        <f t="shared" ref="P707:P770" si="102">_xlfn.CONCAT(D707," ",E707)</f>
        <v>PORTA SOS 4</v>
      </c>
      <c r="R707" t="str">
        <f t="shared" ref="R707:R770" si="103">IF(J707="","",J707)</f>
        <v>MANICHETTA PRELEVATA</v>
      </c>
      <c r="U707" t="str">
        <f t="shared" ref="U707:U770" si="104">IF(G707="","",G707)</f>
        <v>Allarme</v>
      </c>
      <c r="V707" t="str">
        <f t="shared" ref="V707:V770" si="105">IF(C707="","",C707)</f>
        <v>SOS 4</v>
      </c>
      <c r="W707" t="str">
        <f t="shared" ref="W707:W770" si="106">IF(B707="","",B707)</f>
        <v>GALLERIA SAN GIULIANO</v>
      </c>
      <c r="Z707" t="str">
        <f t="shared" ref="Z707:Z770" si="107">IF(A707="","",A707)</f>
        <v>10.220.80.16</v>
      </c>
    </row>
    <row r="708" spans="1:26" x14ac:dyDescent="0.25">
      <c r="A708" t="s">
        <v>10</v>
      </c>
      <c r="B708" t="s">
        <v>1063</v>
      </c>
      <c r="C708" t="s">
        <v>2540</v>
      </c>
      <c r="D708" t="s">
        <v>1368</v>
      </c>
      <c r="E708" t="s">
        <v>2540</v>
      </c>
      <c r="F708" t="s">
        <v>14</v>
      </c>
      <c r="G708" t="s">
        <v>28</v>
      </c>
      <c r="H708" t="s">
        <v>22</v>
      </c>
      <c r="I708" t="s">
        <v>1426</v>
      </c>
      <c r="J708" t="s">
        <v>1372</v>
      </c>
      <c r="K708" t="str">
        <f t="shared" si="99"/>
        <v>1203.7</v>
      </c>
      <c r="N708" t="str">
        <f t="shared" si="100"/>
        <v>HOLDING REGISTER</v>
      </c>
      <c r="O708" t="str">
        <f t="shared" si="101"/>
        <v>BOOL</v>
      </c>
      <c r="P708" t="str">
        <f t="shared" si="102"/>
        <v>PORTA SOS 4</v>
      </c>
      <c r="R708" t="str">
        <f t="shared" si="103"/>
        <v>PORTA TELEFONO VOIP APERTA</v>
      </c>
      <c r="U708" t="str">
        <f t="shared" si="104"/>
        <v>Allarme</v>
      </c>
      <c r="V708" t="str">
        <f t="shared" si="105"/>
        <v>SOS 4</v>
      </c>
      <c r="W708" t="str">
        <f t="shared" si="106"/>
        <v>GALLERIA SAN GIULIANO</v>
      </c>
      <c r="Z708" t="str">
        <f t="shared" si="107"/>
        <v>10.220.80.16</v>
      </c>
    </row>
    <row r="709" spans="1:26" x14ac:dyDescent="0.25">
      <c r="A709" t="s">
        <v>10</v>
      </c>
      <c r="B709" t="s">
        <v>1063</v>
      </c>
      <c r="C709" t="s">
        <v>2540</v>
      </c>
      <c r="D709" t="s">
        <v>1368</v>
      </c>
      <c r="E709" t="s">
        <v>2540</v>
      </c>
      <c r="F709" t="s">
        <v>14</v>
      </c>
      <c r="G709" t="s">
        <v>28</v>
      </c>
      <c r="H709" t="s">
        <v>22</v>
      </c>
      <c r="I709" t="s">
        <v>1427</v>
      </c>
      <c r="J709" t="s">
        <v>1374</v>
      </c>
      <c r="K709" t="str">
        <f t="shared" si="99"/>
        <v>1203.8</v>
      </c>
      <c r="N709" t="str">
        <f t="shared" si="100"/>
        <v>HOLDING REGISTER</v>
      </c>
      <c r="O709" t="str">
        <f t="shared" si="101"/>
        <v>BOOL</v>
      </c>
      <c r="P709" t="str">
        <f t="shared" si="102"/>
        <v>PORTA SOS 4</v>
      </c>
      <c r="R709" t="str">
        <f t="shared" si="103"/>
        <v>PORTA VANO TECNICO APERTA</v>
      </c>
      <c r="U709" t="str">
        <f t="shared" si="104"/>
        <v>Allarme</v>
      </c>
      <c r="V709" t="str">
        <f t="shared" si="105"/>
        <v>SOS 4</v>
      </c>
      <c r="W709" t="str">
        <f t="shared" si="106"/>
        <v>GALLERIA SAN GIULIANO</v>
      </c>
      <c r="Z709" t="str">
        <f t="shared" si="107"/>
        <v>10.220.80.16</v>
      </c>
    </row>
    <row r="710" spans="1:26" x14ac:dyDescent="0.25">
      <c r="A710" t="s">
        <v>10</v>
      </c>
      <c r="B710" t="s">
        <v>1063</v>
      </c>
      <c r="C710" t="s">
        <v>2540</v>
      </c>
      <c r="D710" t="s">
        <v>1375</v>
      </c>
      <c r="E710" t="s">
        <v>2540</v>
      </c>
      <c r="F710" t="s">
        <v>14</v>
      </c>
      <c r="G710" t="s">
        <v>1375</v>
      </c>
      <c r="H710" t="s">
        <v>22</v>
      </c>
      <c r="I710" t="s">
        <v>1428</v>
      </c>
      <c r="J710" t="s">
        <v>1375</v>
      </c>
      <c r="K710" t="str">
        <f t="shared" si="99"/>
        <v>1203.9</v>
      </c>
      <c r="N710" t="str">
        <f t="shared" si="100"/>
        <v>HOLDING REGISTER</v>
      </c>
      <c r="O710" t="str">
        <f t="shared" si="101"/>
        <v>BOOL</v>
      </c>
      <c r="P710" t="str">
        <f t="shared" si="102"/>
        <v>disponibile SOS 4</v>
      </c>
      <c r="R710" t="str">
        <f t="shared" si="103"/>
        <v>disponibile</v>
      </c>
      <c r="U710" t="str">
        <f t="shared" si="104"/>
        <v>disponibile</v>
      </c>
      <c r="V710" t="str">
        <f t="shared" si="105"/>
        <v>SOS 4</v>
      </c>
      <c r="W710" t="str">
        <f t="shared" si="106"/>
        <v>GALLERIA SAN GIULIANO</v>
      </c>
      <c r="Z710" t="str">
        <f t="shared" si="107"/>
        <v>10.220.80.16</v>
      </c>
    </row>
    <row r="711" spans="1:26" x14ac:dyDescent="0.25">
      <c r="A711" t="s">
        <v>10</v>
      </c>
      <c r="B711" t="s">
        <v>1063</v>
      </c>
      <c r="C711" t="s">
        <v>2540</v>
      </c>
      <c r="D711" t="s">
        <v>1375</v>
      </c>
      <c r="E711" t="s">
        <v>2540</v>
      </c>
      <c r="F711" t="s">
        <v>14</v>
      </c>
      <c r="G711" t="s">
        <v>1375</v>
      </c>
      <c r="H711" t="s">
        <v>22</v>
      </c>
      <c r="I711" t="s">
        <v>1429</v>
      </c>
      <c r="J711" t="s">
        <v>1375</v>
      </c>
      <c r="K711" t="str">
        <f t="shared" si="99"/>
        <v>1203.10</v>
      </c>
      <c r="N711" t="str">
        <f t="shared" si="100"/>
        <v>HOLDING REGISTER</v>
      </c>
      <c r="O711" t="str">
        <f t="shared" si="101"/>
        <v>BOOL</v>
      </c>
      <c r="P711" t="str">
        <f t="shared" si="102"/>
        <v>disponibile SOS 4</v>
      </c>
      <c r="R711" t="str">
        <f t="shared" si="103"/>
        <v>disponibile</v>
      </c>
      <c r="U711" t="str">
        <f t="shared" si="104"/>
        <v>disponibile</v>
      </c>
      <c r="V711" t="str">
        <f t="shared" si="105"/>
        <v>SOS 4</v>
      </c>
      <c r="W711" t="str">
        <f t="shared" si="106"/>
        <v>GALLERIA SAN GIULIANO</v>
      </c>
      <c r="Z711" t="str">
        <f t="shared" si="107"/>
        <v>10.220.80.16</v>
      </c>
    </row>
    <row r="712" spans="1:26" x14ac:dyDescent="0.25">
      <c r="A712" t="s">
        <v>10</v>
      </c>
      <c r="B712" t="s">
        <v>1063</v>
      </c>
      <c r="C712" t="s">
        <v>2540</v>
      </c>
      <c r="D712" t="s">
        <v>1375</v>
      </c>
      <c r="E712" t="s">
        <v>2540</v>
      </c>
      <c r="F712" t="s">
        <v>14</v>
      </c>
      <c r="G712" t="s">
        <v>1375</v>
      </c>
      <c r="H712" t="s">
        <v>22</v>
      </c>
      <c r="I712" t="s">
        <v>1430</v>
      </c>
      <c r="J712" t="s">
        <v>1375</v>
      </c>
      <c r="K712" t="str">
        <f t="shared" si="99"/>
        <v>1203.11</v>
      </c>
      <c r="N712" t="str">
        <f t="shared" si="100"/>
        <v>HOLDING REGISTER</v>
      </c>
      <c r="O712" t="str">
        <f t="shared" si="101"/>
        <v>BOOL</v>
      </c>
      <c r="P712" t="str">
        <f t="shared" si="102"/>
        <v>disponibile SOS 4</v>
      </c>
      <c r="R712" t="str">
        <f t="shared" si="103"/>
        <v>disponibile</v>
      </c>
      <c r="U712" t="str">
        <f t="shared" si="104"/>
        <v>disponibile</v>
      </c>
      <c r="V712" t="str">
        <f t="shared" si="105"/>
        <v>SOS 4</v>
      </c>
      <c r="W712" t="str">
        <f t="shared" si="106"/>
        <v>GALLERIA SAN GIULIANO</v>
      </c>
      <c r="Z712" t="str">
        <f t="shared" si="107"/>
        <v>10.220.80.16</v>
      </c>
    </row>
    <row r="713" spans="1:26" x14ac:dyDescent="0.25">
      <c r="A713" t="s">
        <v>10</v>
      </c>
      <c r="B713" t="s">
        <v>1063</v>
      </c>
      <c r="C713" t="s">
        <v>2540</v>
      </c>
      <c r="D713" t="s">
        <v>1375</v>
      </c>
      <c r="E713" t="s">
        <v>2540</v>
      </c>
      <c r="F713" t="s">
        <v>14</v>
      </c>
      <c r="G713" t="s">
        <v>1375</v>
      </c>
      <c r="H713" t="s">
        <v>22</v>
      </c>
      <c r="I713" t="s">
        <v>1431</v>
      </c>
      <c r="J713" t="s">
        <v>1375</v>
      </c>
      <c r="K713" t="str">
        <f t="shared" si="99"/>
        <v>1203.12</v>
      </c>
      <c r="N713" t="str">
        <f t="shared" si="100"/>
        <v>HOLDING REGISTER</v>
      </c>
      <c r="O713" t="str">
        <f t="shared" si="101"/>
        <v>BOOL</v>
      </c>
      <c r="P713" t="str">
        <f t="shared" si="102"/>
        <v>disponibile SOS 4</v>
      </c>
      <c r="R713" t="str">
        <f t="shared" si="103"/>
        <v>disponibile</v>
      </c>
      <c r="U713" t="str">
        <f t="shared" si="104"/>
        <v>disponibile</v>
      </c>
      <c r="V713" t="str">
        <f t="shared" si="105"/>
        <v>SOS 4</v>
      </c>
      <c r="W713" t="str">
        <f t="shared" si="106"/>
        <v>GALLERIA SAN GIULIANO</v>
      </c>
      <c r="Z713" t="str">
        <f t="shared" si="107"/>
        <v>10.220.80.16</v>
      </c>
    </row>
    <row r="714" spans="1:26" x14ac:dyDescent="0.25">
      <c r="A714" t="s">
        <v>10</v>
      </c>
      <c r="B714" t="s">
        <v>1063</v>
      </c>
      <c r="C714" t="s">
        <v>2540</v>
      </c>
      <c r="D714" t="s">
        <v>12</v>
      </c>
      <c r="E714" t="s">
        <v>2540</v>
      </c>
      <c r="F714" t="s">
        <v>14</v>
      </c>
      <c r="G714" t="s">
        <v>28</v>
      </c>
      <c r="H714" t="s">
        <v>22</v>
      </c>
      <c r="I714" t="s">
        <v>1432</v>
      </c>
      <c r="J714" t="s">
        <v>1381</v>
      </c>
      <c r="K714" t="str">
        <f t="shared" si="99"/>
        <v>1203.13</v>
      </c>
      <c r="N714" t="str">
        <f t="shared" si="100"/>
        <v>HOLDING REGISTER</v>
      </c>
      <c r="O714" t="str">
        <f t="shared" si="101"/>
        <v>BOOL</v>
      </c>
      <c r="P714" t="str">
        <f t="shared" si="102"/>
        <v>PLC SOS 4</v>
      </c>
      <c r="R714" t="str">
        <f t="shared" si="103"/>
        <v>PLC IN STOP</v>
      </c>
      <c r="U714" t="str">
        <f t="shared" si="104"/>
        <v>Allarme</v>
      </c>
      <c r="V714" t="str">
        <f t="shared" si="105"/>
        <v>SOS 4</v>
      </c>
      <c r="W714" t="str">
        <f t="shared" si="106"/>
        <v>GALLERIA SAN GIULIANO</v>
      </c>
      <c r="Z714" t="str">
        <f t="shared" si="107"/>
        <v>10.220.80.16</v>
      </c>
    </row>
    <row r="715" spans="1:26" x14ac:dyDescent="0.25">
      <c r="A715" t="s">
        <v>10</v>
      </c>
      <c r="B715" t="s">
        <v>1063</v>
      </c>
      <c r="C715" t="s">
        <v>2540</v>
      </c>
      <c r="D715" t="s">
        <v>12</v>
      </c>
      <c r="E715" t="s">
        <v>2540</v>
      </c>
      <c r="F715" t="s">
        <v>14</v>
      </c>
      <c r="G715" t="s">
        <v>28</v>
      </c>
      <c r="H715" t="s">
        <v>22</v>
      </c>
      <c r="I715" t="s">
        <v>1433</v>
      </c>
      <c r="J715" t="s">
        <v>1383</v>
      </c>
      <c r="K715" t="str">
        <f t="shared" si="99"/>
        <v>1203.14</v>
      </c>
      <c r="N715" t="str">
        <f t="shared" si="100"/>
        <v>HOLDING REGISTER</v>
      </c>
      <c r="O715" t="str">
        <f t="shared" si="101"/>
        <v>BOOL</v>
      </c>
      <c r="P715" t="str">
        <f t="shared" si="102"/>
        <v>PLC SOS 4</v>
      </c>
      <c r="R715" t="str">
        <f t="shared" si="103"/>
        <v>FAULT COMUNICAZIONE ETHERNET</v>
      </c>
      <c r="U715" t="str">
        <f t="shared" si="104"/>
        <v>Allarme</v>
      </c>
      <c r="V715" t="str">
        <f t="shared" si="105"/>
        <v>SOS 4</v>
      </c>
      <c r="W715" t="str">
        <f t="shared" si="106"/>
        <v>GALLERIA SAN GIULIANO</v>
      </c>
      <c r="Z715" t="str">
        <f t="shared" si="107"/>
        <v>10.220.80.16</v>
      </c>
    </row>
    <row r="716" spans="1:26" x14ac:dyDescent="0.25">
      <c r="A716" t="s">
        <v>10</v>
      </c>
      <c r="B716" t="s">
        <v>1063</v>
      </c>
      <c r="C716" t="s">
        <v>2540</v>
      </c>
      <c r="D716" t="s">
        <v>1384</v>
      </c>
      <c r="E716" t="s">
        <v>2540</v>
      </c>
      <c r="F716" t="s">
        <v>14</v>
      </c>
      <c r="G716" t="s">
        <v>21</v>
      </c>
      <c r="H716" t="s">
        <v>22</v>
      </c>
      <c r="I716" t="s">
        <v>1434</v>
      </c>
      <c r="J716" t="s">
        <v>1386</v>
      </c>
      <c r="K716" t="str">
        <f t="shared" si="99"/>
        <v>1203.15</v>
      </c>
      <c r="N716" t="str">
        <f t="shared" si="100"/>
        <v>HOLDING REGISTER</v>
      </c>
      <c r="O716" t="str">
        <f t="shared" si="101"/>
        <v>BOOL</v>
      </c>
      <c r="P716" t="str">
        <f t="shared" si="102"/>
        <v xml:space="preserve">  SOS 4</v>
      </c>
      <c r="R716" t="str">
        <f t="shared" si="103"/>
        <v>FEEDBACK RESET DA RMT</v>
      </c>
      <c r="U716" t="str">
        <f t="shared" si="104"/>
        <v>Stato</v>
      </c>
      <c r="V716" t="str">
        <f t="shared" si="105"/>
        <v>SOS 4</v>
      </c>
      <c r="W716" t="str">
        <f t="shared" si="106"/>
        <v>GALLERIA SAN GIULIANO</v>
      </c>
      <c r="Z716" t="str">
        <f t="shared" si="107"/>
        <v>10.220.80.16</v>
      </c>
    </row>
    <row r="717" spans="1:26" x14ac:dyDescent="0.25">
      <c r="A717" t="s">
        <v>10</v>
      </c>
      <c r="B717" t="s">
        <v>1063</v>
      </c>
      <c r="C717" t="s">
        <v>2543</v>
      </c>
      <c r="D717" t="s">
        <v>1354</v>
      </c>
      <c r="E717" t="s">
        <v>2543</v>
      </c>
      <c r="F717" t="s">
        <v>14</v>
      </c>
      <c r="G717" t="s">
        <v>28</v>
      </c>
      <c r="H717" t="s">
        <v>22</v>
      </c>
      <c r="I717" t="s">
        <v>1435</v>
      </c>
      <c r="J717" t="s">
        <v>1356</v>
      </c>
      <c r="K717" t="str">
        <f t="shared" si="99"/>
        <v>1204.0</v>
      </c>
      <c r="N717" t="str">
        <f t="shared" si="100"/>
        <v>HOLDING REGISTER</v>
      </c>
      <c r="O717" t="str">
        <f t="shared" si="101"/>
        <v>BOOL</v>
      </c>
      <c r="P717" t="str">
        <f t="shared" si="102"/>
        <v>PULSANTE CHIAMATA SOS 5</v>
      </c>
      <c r="R717" t="str">
        <f t="shared" si="103"/>
        <v>CHIAMATA 118 EFFETTUATA</v>
      </c>
      <c r="U717" t="str">
        <f t="shared" si="104"/>
        <v>Allarme</v>
      </c>
      <c r="V717" t="str">
        <f t="shared" si="105"/>
        <v>SOS 5</v>
      </c>
      <c r="W717" t="str">
        <f t="shared" si="106"/>
        <v>GALLERIA SAN GIULIANO</v>
      </c>
      <c r="Z717" t="str">
        <f t="shared" si="107"/>
        <v>10.220.80.16</v>
      </c>
    </row>
    <row r="718" spans="1:26" x14ac:dyDescent="0.25">
      <c r="A718" t="s">
        <v>10</v>
      </c>
      <c r="B718" t="s">
        <v>1063</v>
      </c>
      <c r="C718" t="s">
        <v>2543</v>
      </c>
      <c r="D718" t="s">
        <v>1354</v>
      </c>
      <c r="E718" t="s">
        <v>2543</v>
      </c>
      <c r="F718" t="s">
        <v>14</v>
      </c>
      <c r="G718" t="s">
        <v>28</v>
      </c>
      <c r="H718" t="s">
        <v>22</v>
      </c>
      <c r="I718" t="s">
        <v>1436</v>
      </c>
      <c r="J718" t="s">
        <v>1358</v>
      </c>
      <c r="K718" t="str">
        <f t="shared" si="99"/>
        <v>1204.1</v>
      </c>
      <c r="N718" t="str">
        <f t="shared" si="100"/>
        <v>HOLDING REGISTER</v>
      </c>
      <c r="O718" t="str">
        <f t="shared" si="101"/>
        <v>BOOL</v>
      </c>
      <c r="P718" t="str">
        <f t="shared" si="102"/>
        <v>PULSANTE CHIAMATA SOS 5</v>
      </c>
      <c r="R718" t="str">
        <f t="shared" si="103"/>
        <v>CHIAMATA 113 EFFETTUATA</v>
      </c>
      <c r="U718" t="str">
        <f t="shared" si="104"/>
        <v>Allarme</v>
      </c>
      <c r="V718" t="str">
        <f t="shared" si="105"/>
        <v>SOS 5</v>
      </c>
      <c r="W718" t="str">
        <f t="shared" si="106"/>
        <v>GALLERIA SAN GIULIANO</v>
      </c>
      <c r="Z718" t="str">
        <f t="shared" si="107"/>
        <v>10.220.80.16</v>
      </c>
    </row>
    <row r="719" spans="1:26" x14ac:dyDescent="0.25">
      <c r="A719" t="s">
        <v>10</v>
      </c>
      <c r="B719" t="s">
        <v>1063</v>
      </c>
      <c r="C719" t="s">
        <v>2543</v>
      </c>
      <c r="D719" t="s">
        <v>1354</v>
      </c>
      <c r="E719" t="s">
        <v>2543</v>
      </c>
      <c r="F719" t="s">
        <v>14</v>
      </c>
      <c r="G719" t="s">
        <v>28</v>
      </c>
      <c r="H719" t="s">
        <v>22</v>
      </c>
      <c r="I719" t="s">
        <v>1437</v>
      </c>
      <c r="J719" t="s">
        <v>1360</v>
      </c>
      <c r="K719" t="str">
        <f t="shared" si="99"/>
        <v>1204.2</v>
      </c>
      <c r="N719" t="str">
        <f t="shared" si="100"/>
        <v>HOLDING REGISTER</v>
      </c>
      <c r="O719" t="str">
        <f t="shared" si="101"/>
        <v>BOOL</v>
      </c>
      <c r="P719" t="str">
        <f t="shared" si="102"/>
        <v>PULSANTE CHIAMATA SOS 5</v>
      </c>
      <c r="R719" t="str">
        <f t="shared" si="103"/>
        <v>CHIAMATA 115 EFFETTUATA</v>
      </c>
      <c r="U719" t="str">
        <f t="shared" si="104"/>
        <v>Allarme</v>
      </c>
      <c r="V719" t="str">
        <f t="shared" si="105"/>
        <v>SOS 5</v>
      </c>
      <c r="W719" t="str">
        <f t="shared" si="106"/>
        <v>GALLERIA SAN GIULIANO</v>
      </c>
      <c r="Z719" t="str">
        <f t="shared" si="107"/>
        <v>10.220.80.16</v>
      </c>
    </row>
    <row r="720" spans="1:26" x14ac:dyDescent="0.25">
      <c r="A720" t="s">
        <v>10</v>
      </c>
      <c r="B720" t="s">
        <v>1063</v>
      </c>
      <c r="C720" t="s">
        <v>2543</v>
      </c>
      <c r="D720" t="s">
        <v>1354</v>
      </c>
      <c r="E720" t="s">
        <v>2543</v>
      </c>
      <c r="F720" t="s">
        <v>14</v>
      </c>
      <c r="G720" t="s">
        <v>28</v>
      </c>
      <c r="H720" t="s">
        <v>22</v>
      </c>
      <c r="I720" t="s">
        <v>1438</v>
      </c>
      <c r="J720" t="s">
        <v>1362</v>
      </c>
      <c r="K720" t="str">
        <f t="shared" si="99"/>
        <v>1204.3</v>
      </c>
      <c r="N720" t="str">
        <f t="shared" si="100"/>
        <v>HOLDING REGISTER</v>
      </c>
      <c r="O720" t="str">
        <f t="shared" si="101"/>
        <v>BOOL</v>
      </c>
      <c r="P720" t="str">
        <f t="shared" si="102"/>
        <v>PULSANTE CHIAMATA SOS 5</v>
      </c>
      <c r="R720" t="str">
        <f t="shared" si="103"/>
        <v>CHIAMATA SALA CONTROLLO ANAS EFFETTUATA</v>
      </c>
      <c r="U720" t="str">
        <f t="shared" si="104"/>
        <v>Allarme</v>
      </c>
      <c r="V720" t="str">
        <f t="shared" si="105"/>
        <v>SOS 5</v>
      </c>
      <c r="W720" t="str">
        <f t="shared" si="106"/>
        <v>GALLERIA SAN GIULIANO</v>
      </c>
      <c r="Z720" t="str">
        <f t="shared" si="107"/>
        <v>10.220.80.16</v>
      </c>
    </row>
    <row r="721" spans="1:26" x14ac:dyDescent="0.25">
      <c r="A721" t="s">
        <v>10</v>
      </c>
      <c r="B721" t="s">
        <v>1063</v>
      </c>
      <c r="C721" t="s">
        <v>2543</v>
      </c>
      <c r="D721" t="s">
        <v>1363</v>
      </c>
      <c r="E721" t="s">
        <v>2543</v>
      </c>
      <c r="F721" t="s">
        <v>14</v>
      </c>
      <c r="G721" t="s">
        <v>28</v>
      </c>
      <c r="H721" t="s">
        <v>22</v>
      </c>
      <c r="I721" t="s">
        <v>1439</v>
      </c>
      <c r="J721" t="s">
        <v>1365</v>
      </c>
      <c r="K721" t="str">
        <f t="shared" si="99"/>
        <v>1204.4</v>
      </c>
      <c r="N721" t="str">
        <f t="shared" si="100"/>
        <v>HOLDING REGISTER</v>
      </c>
      <c r="O721" t="str">
        <f t="shared" si="101"/>
        <v>BOOL</v>
      </c>
      <c r="P721" t="str">
        <f t="shared" si="102"/>
        <v>ESTINTORE SOS 5</v>
      </c>
      <c r="R721" t="str">
        <f t="shared" si="103"/>
        <v>ESTINTORE PRELEVATO 1</v>
      </c>
      <c r="U721" t="str">
        <f t="shared" si="104"/>
        <v>Allarme</v>
      </c>
      <c r="V721" t="str">
        <f t="shared" si="105"/>
        <v>SOS 5</v>
      </c>
      <c r="W721" t="str">
        <f t="shared" si="106"/>
        <v>GALLERIA SAN GIULIANO</v>
      </c>
      <c r="Z721" t="str">
        <f t="shared" si="107"/>
        <v>10.220.80.16</v>
      </c>
    </row>
    <row r="722" spans="1:26" x14ac:dyDescent="0.25">
      <c r="A722" t="s">
        <v>10</v>
      </c>
      <c r="B722" t="s">
        <v>1063</v>
      </c>
      <c r="C722" t="s">
        <v>2543</v>
      </c>
      <c r="D722" t="s">
        <v>1363</v>
      </c>
      <c r="E722" t="s">
        <v>2543</v>
      </c>
      <c r="F722" t="s">
        <v>14</v>
      </c>
      <c r="G722" t="s">
        <v>28</v>
      </c>
      <c r="H722" t="s">
        <v>22</v>
      </c>
      <c r="I722" t="s">
        <v>1440</v>
      </c>
      <c r="J722" t="s">
        <v>1367</v>
      </c>
      <c r="K722" t="str">
        <f t="shared" si="99"/>
        <v>1204.5</v>
      </c>
      <c r="N722" t="str">
        <f t="shared" si="100"/>
        <v>HOLDING REGISTER</v>
      </c>
      <c r="O722" t="str">
        <f t="shared" si="101"/>
        <v>BOOL</v>
      </c>
      <c r="P722" t="str">
        <f t="shared" si="102"/>
        <v>ESTINTORE SOS 5</v>
      </c>
      <c r="R722" t="str">
        <f t="shared" si="103"/>
        <v>ESTINTORE PRELEVATO 2</v>
      </c>
      <c r="U722" t="str">
        <f t="shared" si="104"/>
        <v>Allarme</v>
      </c>
      <c r="V722" t="str">
        <f t="shared" si="105"/>
        <v>SOS 5</v>
      </c>
      <c r="W722" t="str">
        <f t="shared" si="106"/>
        <v>GALLERIA SAN GIULIANO</v>
      </c>
      <c r="Z722" t="str">
        <f t="shared" si="107"/>
        <v>10.220.80.16</v>
      </c>
    </row>
    <row r="723" spans="1:26" x14ac:dyDescent="0.25">
      <c r="A723" t="s">
        <v>10</v>
      </c>
      <c r="B723" t="s">
        <v>1063</v>
      </c>
      <c r="C723" t="s">
        <v>2543</v>
      </c>
      <c r="D723" t="s">
        <v>1368</v>
      </c>
      <c r="E723" t="s">
        <v>2543</v>
      </c>
      <c r="F723" t="s">
        <v>14</v>
      </c>
      <c r="G723" t="s">
        <v>28</v>
      </c>
      <c r="H723" t="s">
        <v>22</v>
      </c>
      <c r="I723" t="s">
        <v>1441</v>
      </c>
      <c r="J723" t="s">
        <v>1370</v>
      </c>
      <c r="K723" t="str">
        <f t="shared" si="99"/>
        <v>1204.6</v>
      </c>
      <c r="N723" t="str">
        <f t="shared" si="100"/>
        <v>HOLDING REGISTER</v>
      </c>
      <c r="O723" t="str">
        <f t="shared" si="101"/>
        <v>BOOL</v>
      </c>
      <c r="P723" t="str">
        <f t="shared" si="102"/>
        <v>PORTA SOS 5</v>
      </c>
      <c r="R723" t="str">
        <f t="shared" si="103"/>
        <v>MANICHETTA PRELEVATA</v>
      </c>
      <c r="U723" t="str">
        <f t="shared" si="104"/>
        <v>Allarme</v>
      </c>
      <c r="V723" t="str">
        <f t="shared" si="105"/>
        <v>SOS 5</v>
      </c>
      <c r="W723" t="str">
        <f t="shared" si="106"/>
        <v>GALLERIA SAN GIULIANO</v>
      </c>
      <c r="Z723" t="str">
        <f t="shared" si="107"/>
        <v>10.220.80.16</v>
      </c>
    </row>
    <row r="724" spans="1:26" x14ac:dyDescent="0.25">
      <c r="A724" t="s">
        <v>10</v>
      </c>
      <c r="B724" t="s">
        <v>1063</v>
      </c>
      <c r="C724" t="s">
        <v>2543</v>
      </c>
      <c r="D724" t="s">
        <v>1368</v>
      </c>
      <c r="E724" t="s">
        <v>2543</v>
      </c>
      <c r="F724" t="s">
        <v>14</v>
      </c>
      <c r="G724" t="s">
        <v>28</v>
      </c>
      <c r="H724" t="s">
        <v>22</v>
      </c>
      <c r="I724" t="s">
        <v>1442</v>
      </c>
      <c r="J724" t="s">
        <v>1372</v>
      </c>
      <c r="K724" t="str">
        <f t="shared" si="99"/>
        <v>1204.7</v>
      </c>
      <c r="N724" t="str">
        <f t="shared" si="100"/>
        <v>HOLDING REGISTER</v>
      </c>
      <c r="O724" t="str">
        <f t="shared" si="101"/>
        <v>BOOL</v>
      </c>
      <c r="P724" t="str">
        <f t="shared" si="102"/>
        <v>PORTA SOS 5</v>
      </c>
      <c r="R724" t="str">
        <f t="shared" si="103"/>
        <v>PORTA TELEFONO VOIP APERTA</v>
      </c>
      <c r="U724" t="str">
        <f t="shared" si="104"/>
        <v>Allarme</v>
      </c>
      <c r="V724" t="str">
        <f t="shared" si="105"/>
        <v>SOS 5</v>
      </c>
      <c r="W724" t="str">
        <f t="shared" si="106"/>
        <v>GALLERIA SAN GIULIANO</v>
      </c>
      <c r="Z724" t="str">
        <f t="shared" si="107"/>
        <v>10.220.80.16</v>
      </c>
    </row>
    <row r="725" spans="1:26" x14ac:dyDescent="0.25">
      <c r="A725" t="s">
        <v>10</v>
      </c>
      <c r="B725" t="s">
        <v>1063</v>
      </c>
      <c r="C725" t="s">
        <v>2543</v>
      </c>
      <c r="D725" t="s">
        <v>1368</v>
      </c>
      <c r="E725" t="s">
        <v>2543</v>
      </c>
      <c r="F725" t="s">
        <v>14</v>
      </c>
      <c r="G725" t="s">
        <v>28</v>
      </c>
      <c r="H725" t="s">
        <v>22</v>
      </c>
      <c r="I725" t="s">
        <v>1443</v>
      </c>
      <c r="J725" t="s">
        <v>1374</v>
      </c>
      <c r="K725" t="str">
        <f t="shared" si="99"/>
        <v>1204.8</v>
      </c>
      <c r="N725" t="str">
        <f t="shared" si="100"/>
        <v>HOLDING REGISTER</v>
      </c>
      <c r="O725" t="str">
        <f t="shared" si="101"/>
        <v>BOOL</v>
      </c>
      <c r="P725" t="str">
        <f t="shared" si="102"/>
        <v>PORTA SOS 5</v>
      </c>
      <c r="R725" t="str">
        <f t="shared" si="103"/>
        <v>PORTA VANO TECNICO APERTA</v>
      </c>
      <c r="U725" t="str">
        <f t="shared" si="104"/>
        <v>Allarme</v>
      </c>
      <c r="V725" t="str">
        <f t="shared" si="105"/>
        <v>SOS 5</v>
      </c>
      <c r="W725" t="str">
        <f t="shared" si="106"/>
        <v>GALLERIA SAN GIULIANO</v>
      </c>
      <c r="Z725" t="str">
        <f t="shared" si="107"/>
        <v>10.220.80.16</v>
      </c>
    </row>
    <row r="726" spans="1:26" x14ac:dyDescent="0.25">
      <c r="A726" t="s">
        <v>10</v>
      </c>
      <c r="B726" t="s">
        <v>1063</v>
      </c>
      <c r="C726" t="s">
        <v>2543</v>
      </c>
      <c r="D726" t="s">
        <v>1375</v>
      </c>
      <c r="E726" t="s">
        <v>2543</v>
      </c>
      <c r="F726" t="s">
        <v>14</v>
      </c>
      <c r="G726" t="s">
        <v>1375</v>
      </c>
      <c r="H726" t="s">
        <v>22</v>
      </c>
      <c r="I726" t="s">
        <v>1444</v>
      </c>
      <c r="J726" t="s">
        <v>1375</v>
      </c>
      <c r="K726" t="str">
        <f t="shared" si="99"/>
        <v>1204.9</v>
      </c>
      <c r="N726" t="str">
        <f t="shared" si="100"/>
        <v>HOLDING REGISTER</v>
      </c>
      <c r="O726" t="str">
        <f t="shared" si="101"/>
        <v>BOOL</v>
      </c>
      <c r="P726" t="str">
        <f t="shared" si="102"/>
        <v>disponibile SOS 5</v>
      </c>
      <c r="R726" t="str">
        <f t="shared" si="103"/>
        <v>disponibile</v>
      </c>
      <c r="U726" t="str">
        <f t="shared" si="104"/>
        <v>disponibile</v>
      </c>
      <c r="V726" t="str">
        <f t="shared" si="105"/>
        <v>SOS 5</v>
      </c>
      <c r="W726" t="str">
        <f t="shared" si="106"/>
        <v>GALLERIA SAN GIULIANO</v>
      </c>
      <c r="Z726" t="str">
        <f t="shared" si="107"/>
        <v>10.220.80.16</v>
      </c>
    </row>
    <row r="727" spans="1:26" x14ac:dyDescent="0.25">
      <c r="A727" t="s">
        <v>10</v>
      </c>
      <c r="B727" t="s">
        <v>1063</v>
      </c>
      <c r="C727" t="s">
        <v>2543</v>
      </c>
      <c r="D727" t="s">
        <v>1375</v>
      </c>
      <c r="E727" t="s">
        <v>2543</v>
      </c>
      <c r="F727" t="s">
        <v>14</v>
      </c>
      <c r="G727" t="s">
        <v>1375</v>
      </c>
      <c r="H727" t="s">
        <v>22</v>
      </c>
      <c r="I727" t="s">
        <v>1445</v>
      </c>
      <c r="J727" t="s">
        <v>1375</v>
      </c>
      <c r="K727" t="str">
        <f t="shared" si="99"/>
        <v>1204.10</v>
      </c>
      <c r="N727" t="str">
        <f t="shared" si="100"/>
        <v>HOLDING REGISTER</v>
      </c>
      <c r="O727" t="str">
        <f t="shared" si="101"/>
        <v>BOOL</v>
      </c>
      <c r="P727" t="str">
        <f t="shared" si="102"/>
        <v>disponibile SOS 5</v>
      </c>
      <c r="R727" t="str">
        <f t="shared" si="103"/>
        <v>disponibile</v>
      </c>
      <c r="U727" t="str">
        <f t="shared" si="104"/>
        <v>disponibile</v>
      </c>
      <c r="V727" t="str">
        <f t="shared" si="105"/>
        <v>SOS 5</v>
      </c>
      <c r="W727" t="str">
        <f t="shared" si="106"/>
        <v>GALLERIA SAN GIULIANO</v>
      </c>
      <c r="Z727" t="str">
        <f t="shared" si="107"/>
        <v>10.220.80.16</v>
      </c>
    </row>
    <row r="728" spans="1:26" x14ac:dyDescent="0.25">
      <c r="A728" t="s">
        <v>10</v>
      </c>
      <c r="B728" t="s">
        <v>1063</v>
      </c>
      <c r="C728" t="s">
        <v>2543</v>
      </c>
      <c r="D728" t="s">
        <v>1375</v>
      </c>
      <c r="E728" t="s">
        <v>2543</v>
      </c>
      <c r="F728" t="s">
        <v>14</v>
      </c>
      <c r="G728" t="s">
        <v>1375</v>
      </c>
      <c r="H728" t="s">
        <v>22</v>
      </c>
      <c r="I728" t="s">
        <v>1446</v>
      </c>
      <c r="J728" t="s">
        <v>1375</v>
      </c>
      <c r="K728" t="str">
        <f t="shared" si="99"/>
        <v>1204.11</v>
      </c>
      <c r="N728" t="str">
        <f t="shared" si="100"/>
        <v>HOLDING REGISTER</v>
      </c>
      <c r="O728" t="str">
        <f t="shared" si="101"/>
        <v>BOOL</v>
      </c>
      <c r="P728" t="str">
        <f t="shared" si="102"/>
        <v>disponibile SOS 5</v>
      </c>
      <c r="R728" t="str">
        <f t="shared" si="103"/>
        <v>disponibile</v>
      </c>
      <c r="U728" t="str">
        <f t="shared" si="104"/>
        <v>disponibile</v>
      </c>
      <c r="V728" t="str">
        <f t="shared" si="105"/>
        <v>SOS 5</v>
      </c>
      <c r="W728" t="str">
        <f t="shared" si="106"/>
        <v>GALLERIA SAN GIULIANO</v>
      </c>
      <c r="Z728" t="str">
        <f t="shared" si="107"/>
        <v>10.220.80.16</v>
      </c>
    </row>
    <row r="729" spans="1:26" x14ac:dyDescent="0.25">
      <c r="A729" t="s">
        <v>10</v>
      </c>
      <c r="B729" t="s">
        <v>1063</v>
      </c>
      <c r="C729" t="s">
        <v>2543</v>
      </c>
      <c r="D729" t="s">
        <v>1375</v>
      </c>
      <c r="E729" t="s">
        <v>2543</v>
      </c>
      <c r="F729" t="s">
        <v>14</v>
      </c>
      <c r="G729" t="s">
        <v>1375</v>
      </c>
      <c r="H729" t="s">
        <v>22</v>
      </c>
      <c r="I729" t="s">
        <v>1447</v>
      </c>
      <c r="J729" t="s">
        <v>1375</v>
      </c>
      <c r="K729" t="str">
        <f t="shared" si="99"/>
        <v>1204.12</v>
      </c>
      <c r="N729" t="str">
        <f t="shared" si="100"/>
        <v>HOLDING REGISTER</v>
      </c>
      <c r="O729" t="str">
        <f t="shared" si="101"/>
        <v>BOOL</v>
      </c>
      <c r="P729" t="str">
        <f t="shared" si="102"/>
        <v>disponibile SOS 5</v>
      </c>
      <c r="R729" t="str">
        <f t="shared" si="103"/>
        <v>disponibile</v>
      </c>
      <c r="U729" t="str">
        <f t="shared" si="104"/>
        <v>disponibile</v>
      </c>
      <c r="V729" t="str">
        <f t="shared" si="105"/>
        <v>SOS 5</v>
      </c>
      <c r="W729" t="str">
        <f t="shared" si="106"/>
        <v>GALLERIA SAN GIULIANO</v>
      </c>
      <c r="Z729" t="str">
        <f t="shared" si="107"/>
        <v>10.220.80.16</v>
      </c>
    </row>
    <row r="730" spans="1:26" x14ac:dyDescent="0.25">
      <c r="A730" t="s">
        <v>10</v>
      </c>
      <c r="B730" t="s">
        <v>1063</v>
      </c>
      <c r="C730" t="s">
        <v>2543</v>
      </c>
      <c r="D730" t="s">
        <v>12</v>
      </c>
      <c r="E730" t="s">
        <v>2543</v>
      </c>
      <c r="F730" t="s">
        <v>14</v>
      </c>
      <c r="G730" t="s">
        <v>28</v>
      </c>
      <c r="H730" t="s">
        <v>22</v>
      </c>
      <c r="I730" t="s">
        <v>1448</v>
      </c>
      <c r="J730" t="s">
        <v>1381</v>
      </c>
      <c r="K730" t="str">
        <f t="shared" si="99"/>
        <v>1204.13</v>
      </c>
      <c r="N730" t="str">
        <f t="shared" si="100"/>
        <v>HOLDING REGISTER</v>
      </c>
      <c r="O730" t="str">
        <f t="shared" si="101"/>
        <v>BOOL</v>
      </c>
      <c r="P730" t="str">
        <f t="shared" si="102"/>
        <v>PLC SOS 5</v>
      </c>
      <c r="R730" t="str">
        <f t="shared" si="103"/>
        <v>PLC IN STOP</v>
      </c>
      <c r="U730" t="str">
        <f t="shared" si="104"/>
        <v>Allarme</v>
      </c>
      <c r="V730" t="str">
        <f t="shared" si="105"/>
        <v>SOS 5</v>
      </c>
      <c r="W730" t="str">
        <f t="shared" si="106"/>
        <v>GALLERIA SAN GIULIANO</v>
      </c>
      <c r="Z730" t="str">
        <f t="shared" si="107"/>
        <v>10.220.80.16</v>
      </c>
    </row>
    <row r="731" spans="1:26" x14ac:dyDescent="0.25">
      <c r="A731" t="s">
        <v>10</v>
      </c>
      <c r="B731" t="s">
        <v>1063</v>
      </c>
      <c r="C731" t="s">
        <v>2543</v>
      </c>
      <c r="D731" t="s">
        <v>12</v>
      </c>
      <c r="E731" t="s">
        <v>2543</v>
      </c>
      <c r="F731" t="s">
        <v>14</v>
      </c>
      <c r="G731" t="s">
        <v>28</v>
      </c>
      <c r="H731" t="s">
        <v>22</v>
      </c>
      <c r="I731" t="s">
        <v>1449</v>
      </c>
      <c r="J731" t="s">
        <v>1383</v>
      </c>
      <c r="K731" t="str">
        <f t="shared" si="99"/>
        <v>1204.14</v>
      </c>
      <c r="N731" t="str">
        <f t="shared" si="100"/>
        <v>HOLDING REGISTER</v>
      </c>
      <c r="O731" t="str">
        <f t="shared" si="101"/>
        <v>BOOL</v>
      </c>
      <c r="P731" t="str">
        <f t="shared" si="102"/>
        <v>PLC SOS 5</v>
      </c>
      <c r="R731" t="str">
        <f t="shared" si="103"/>
        <v>FAULT COMUNICAZIONE ETHERNET</v>
      </c>
      <c r="U731" t="str">
        <f t="shared" si="104"/>
        <v>Allarme</v>
      </c>
      <c r="V731" t="str">
        <f t="shared" si="105"/>
        <v>SOS 5</v>
      </c>
      <c r="W731" t="str">
        <f t="shared" si="106"/>
        <v>GALLERIA SAN GIULIANO</v>
      </c>
      <c r="Z731" t="str">
        <f t="shared" si="107"/>
        <v>10.220.80.16</v>
      </c>
    </row>
    <row r="732" spans="1:26" x14ac:dyDescent="0.25">
      <c r="A732" t="s">
        <v>10</v>
      </c>
      <c r="B732" t="s">
        <v>1063</v>
      </c>
      <c r="C732" t="s">
        <v>2543</v>
      </c>
      <c r="D732" t="s">
        <v>1384</v>
      </c>
      <c r="E732" t="s">
        <v>2543</v>
      </c>
      <c r="F732" t="s">
        <v>14</v>
      </c>
      <c r="G732" t="s">
        <v>21</v>
      </c>
      <c r="H732" t="s">
        <v>22</v>
      </c>
      <c r="I732" t="s">
        <v>1450</v>
      </c>
      <c r="J732" t="s">
        <v>1386</v>
      </c>
      <c r="K732" t="str">
        <f t="shared" si="99"/>
        <v>1204.15</v>
      </c>
      <c r="N732" t="str">
        <f t="shared" si="100"/>
        <v>HOLDING REGISTER</v>
      </c>
      <c r="O732" t="str">
        <f t="shared" si="101"/>
        <v>BOOL</v>
      </c>
      <c r="P732" t="str">
        <f t="shared" si="102"/>
        <v xml:space="preserve">  SOS 5</v>
      </c>
      <c r="R732" t="str">
        <f t="shared" si="103"/>
        <v>FEEDBACK RESET DA RMT</v>
      </c>
      <c r="U732" t="str">
        <f t="shared" si="104"/>
        <v>Stato</v>
      </c>
      <c r="V732" t="str">
        <f t="shared" si="105"/>
        <v>SOS 5</v>
      </c>
      <c r="W732" t="str">
        <f t="shared" si="106"/>
        <v>GALLERIA SAN GIULIANO</v>
      </c>
      <c r="Z732" t="str">
        <f t="shared" si="107"/>
        <v>10.220.80.16</v>
      </c>
    </row>
    <row r="733" spans="1:26" x14ac:dyDescent="0.25">
      <c r="A733" t="s">
        <v>10</v>
      </c>
      <c r="B733" t="s">
        <v>1063</v>
      </c>
      <c r="C733" t="s">
        <v>2546</v>
      </c>
      <c r="D733" t="s">
        <v>1354</v>
      </c>
      <c r="E733" t="s">
        <v>2546</v>
      </c>
      <c r="F733" t="s">
        <v>14</v>
      </c>
      <c r="G733" t="s">
        <v>28</v>
      </c>
      <c r="H733" t="s">
        <v>22</v>
      </c>
      <c r="I733" t="s">
        <v>1451</v>
      </c>
      <c r="J733" t="s">
        <v>1356</v>
      </c>
      <c r="K733" t="str">
        <f t="shared" si="99"/>
        <v>1205.0</v>
      </c>
      <c r="N733" t="str">
        <f t="shared" si="100"/>
        <v>HOLDING REGISTER</v>
      </c>
      <c r="O733" t="str">
        <f t="shared" si="101"/>
        <v>BOOL</v>
      </c>
      <c r="P733" t="str">
        <f t="shared" si="102"/>
        <v>PULSANTE CHIAMATA SOS 6</v>
      </c>
      <c r="R733" t="str">
        <f t="shared" si="103"/>
        <v>CHIAMATA 118 EFFETTUATA</v>
      </c>
      <c r="U733" t="str">
        <f t="shared" si="104"/>
        <v>Allarme</v>
      </c>
      <c r="V733" t="str">
        <f t="shared" si="105"/>
        <v>SOS 6</v>
      </c>
      <c r="W733" t="str">
        <f t="shared" si="106"/>
        <v>GALLERIA SAN GIULIANO</v>
      </c>
      <c r="Z733" t="str">
        <f t="shared" si="107"/>
        <v>10.220.80.16</v>
      </c>
    </row>
    <row r="734" spans="1:26" x14ac:dyDescent="0.25">
      <c r="A734" t="s">
        <v>10</v>
      </c>
      <c r="B734" t="s">
        <v>1063</v>
      </c>
      <c r="C734" t="s">
        <v>2546</v>
      </c>
      <c r="D734" t="s">
        <v>1354</v>
      </c>
      <c r="E734" t="s">
        <v>2546</v>
      </c>
      <c r="F734" t="s">
        <v>14</v>
      </c>
      <c r="G734" t="s">
        <v>28</v>
      </c>
      <c r="H734" t="s">
        <v>22</v>
      </c>
      <c r="I734" t="s">
        <v>1452</v>
      </c>
      <c r="J734" t="s">
        <v>1358</v>
      </c>
      <c r="K734" t="str">
        <f t="shared" si="99"/>
        <v>1205.1</v>
      </c>
      <c r="N734" t="str">
        <f t="shared" si="100"/>
        <v>HOLDING REGISTER</v>
      </c>
      <c r="O734" t="str">
        <f t="shared" si="101"/>
        <v>BOOL</v>
      </c>
      <c r="P734" t="str">
        <f t="shared" si="102"/>
        <v>PULSANTE CHIAMATA SOS 6</v>
      </c>
      <c r="R734" t="str">
        <f t="shared" si="103"/>
        <v>CHIAMATA 113 EFFETTUATA</v>
      </c>
      <c r="U734" t="str">
        <f t="shared" si="104"/>
        <v>Allarme</v>
      </c>
      <c r="V734" t="str">
        <f t="shared" si="105"/>
        <v>SOS 6</v>
      </c>
      <c r="W734" t="str">
        <f t="shared" si="106"/>
        <v>GALLERIA SAN GIULIANO</v>
      </c>
      <c r="Z734" t="str">
        <f t="shared" si="107"/>
        <v>10.220.80.16</v>
      </c>
    </row>
    <row r="735" spans="1:26" x14ac:dyDescent="0.25">
      <c r="A735" t="s">
        <v>10</v>
      </c>
      <c r="B735" t="s">
        <v>1063</v>
      </c>
      <c r="C735" t="s">
        <v>2546</v>
      </c>
      <c r="D735" t="s">
        <v>1354</v>
      </c>
      <c r="E735" t="s">
        <v>2546</v>
      </c>
      <c r="F735" t="s">
        <v>14</v>
      </c>
      <c r="G735" t="s">
        <v>28</v>
      </c>
      <c r="H735" t="s">
        <v>22</v>
      </c>
      <c r="I735" t="s">
        <v>1453</v>
      </c>
      <c r="J735" t="s">
        <v>1360</v>
      </c>
      <c r="K735" t="str">
        <f t="shared" si="99"/>
        <v>1205.2</v>
      </c>
      <c r="N735" t="str">
        <f t="shared" si="100"/>
        <v>HOLDING REGISTER</v>
      </c>
      <c r="O735" t="str">
        <f t="shared" si="101"/>
        <v>BOOL</v>
      </c>
      <c r="P735" t="str">
        <f t="shared" si="102"/>
        <v>PULSANTE CHIAMATA SOS 6</v>
      </c>
      <c r="R735" t="str">
        <f t="shared" si="103"/>
        <v>CHIAMATA 115 EFFETTUATA</v>
      </c>
      <c r="U735" t="str">
        <f t="shared" si="104"/>
        <v>Allarme</v>
      </c>
      <c r="V735" t="str">
        <f t="shared" si="105"/>
        <v>SOS 6</v>
      </c>
      <c r="W735" t="str">
        <f t="shared" si="106"/>
        <v>GALLERIA SAN GIULIANO</v>
      </c>
      <c r="Z735" t="str">
        <f t="shared" si="107"/>
        <v>10.220.80.16</v>
      </c>
    </row>
    <row r="736" spans="1:26" x14ac:dyDescent="0.25">
      <c r="A736" t="s">
        <v>10</v>
      </c>
      <c r="B736" t="s">
        <v>1063</v>
      </c>
      <c r="C736" t="s">
        <v>2546</v>
      </c>
      <c r="D736" t="s">
        <v>1354</v>
      </c>
      <c r="E736" t="s">
        <v>2546</v>
      </c>
      <c r="F736" t="s">
        <v>14</v>
      </c>
      <c r="G736" t="s">
        <v>28</v>
      </c>
      <c r="H736" t="s">
        <v>22</v>
      </c>
      <c r="I736" t="s">
        <v>1454</v>
      </c>
      <c r="J736" t="s">
        <v>1362</v>
      </c>
      <c r="K736" t="str">
        <f t="shared" si="99"/>
        <v>1205.3</v>
      </c>
      <c r="N736" t="str">
        <f t="shared" si="100"/>
        <v>HOLDING REGISTER</v>
      </c>
      <c r="O736" t="str">
        <f t="shared" si="101"/>
        <v>BOOL</v>
      </c>
      <c r="P736" t="str">
        <f t="shared" si="102"/>
        <v>PULSANTE CHIAMATA SOS 6</v>
      </c>
      <c r="R736" t="str">
        <f t="shared" si="103"/>
        <v>CHIAMATA SALA CONTROLLO ANAS EFFETTUATA</v>
      </c>
      <c r="U736" t="str">
        <f t="shared" si="104"/>
        <v>Allarme</v>
      </c>
      <c r="V736" t="str">
        <f t="shared" si="105"/>
        <v>SOS 6</v>
      </c>
      <c r="W736" t="str">
        <f t="shared" si="106"/>
        <v>GALLERIA SAN GIULIANO</v>
      </c>
      <c r="Z736" t="str">
        <f t="shared" si="107"/>
        <v>10.220.80.16</v>
      </c>
    </row>
    <row r="737" spans="1:26" x14ac:dyDescent="0.25">
      <c r="A737" t="s">
        <v>10</v>
      </c>
      <c r="B737" t="s">
        <v>1063</v>
      </c>
      <c r="C737" t="s">
        <v>2546</v>
      </c>
      <c r="D737" t="s">
        <v>1363</v>
      </c>
      <c r="E737" t="s">
        <v>2546</v>
      </c>
      <c r="F737" t="s">
        <v>14</v>
      </c>
      <c r="G737" t="s">
        <v>28</v>
      </c>
      <c r="H737" t="s">
        <v>22</v>
      </c>
      <c r="I737" t="s">
        <v>1455</v>
      </c>
      <c r="J737" t="s">
        <v>1365</v>
      </c>
      <c r="K737" t="str">
        <f t="shared" si="99"/>
        <v>1205.4</v>
      </c>
      <c r="N737" t="str">
        <f t="shared" si="100"/>
        <v>HOLDING REGISTER</v>
      </c>
      <c r="O737" t="str">
        <f t="shared" si="101"/>
        <v>BOOL</v>
      </c>
      <c r="P737" t="str">
        <f t="shared" si="102"/>
        <v>ESTINTORE SOS 6</v>
      </c>
      <c r="R737" t="str">
        <f t="shared" si="103"/>
        <v>ESTINTORE PRELEVATO 1</v>
      </c>
      <c r="U737" t="str">
        <f t="shared" si="104"/>
        <v>Allarme</v>
      </c>
      <c r="V737" t="str">
        <f t="shared" si="105"/>
        <v>SOS 6</v>
      </c>
      <c r="W737" t="str">
        <f t="shared" si="106"/>
        <v>GALLERIA SAN GIULIANO</v>
      </c>
      <c r="Z737" t="str">
        <f t="shared" si="107"/>
        <v>10.220.80.16</v>
      </c>
    </row>
    <row r="738" spans="1:26" x14ac:dyDescent="0.25">
      <c r="A738" t="s">
        <v>10</v>
      </c>
      <c r="B738" t="s">
        <v>1063</v>
      </c>
      <c r="C738" t="s">
        <v>2546</v>
      </c>
      <c r="D738" t="s">
        <v>1363</v>
      </c>
      <c r="E738" t="s">
        <v>2546</v>
      </c>
      <c r="F738" t="s">
        <v>14</v>
      </c>
      <c r="G738" t="s">
        <v>28</v>
      </c>
      <c r="H738" t="s">
        <v>22</v>
      </c>
      <c r="I738" t="s">
        <v>1456</v>
      </c>
      <c r="J738" t="s">
        <v>1367</v>
      </c>
      <c r="K738" t="str">
        <f t="shared" si="99"/>
        <v>1205.5</v>
      </c>
      <c r="N738" t="str">
        <f t="shared" si="100"/>
        <v>HOLDING REGISTER</v>
      </c>
      <c r="O738" t="str">
        <f t="shared" si="101"/>
        <v>BOOL</v>
      </c>
      <c r="P738" t="str">
        <f t="shared" si="102"/>
        <v>ESTINTORE SOS 6</v>
      </c>
      <c r="R738" t="str">
        <f t="shared" si="103"/>
        <v>ESTINTORE PRELEVATO 2</v>
      </c>
      <c r="U738" t="str">
        <f t="shared" si="104"/>
        <v>Allarme</v>
      </c>
      <c r="V738" t="str">
        <f t="shared" si="105"/>
        <v>SOS 6</v>
      </c>
      <c r="W738" t="str">
        <f t="shared" si="106"/>
        <v>GALLERIA SAN GIULIANO</v>
      </c>
      <c r="Z738" t="str">
        <f t="shared" si="107"/>
        <v>10.220.80.16</v>
      </c>
    </row>
    <row r="739" spans="1:26" x14ac:dyDescent="0.25">
      <c r="A739" t="s">
        <v>10</v>
      </c>
      <c r="B739" t="s">
        <v>1063</v>
      </c>
      <c r="C739" t="s">
        <v>2546</v>
      </c>
      <c r="D739" t="s">
        <v>1368</v>
      </c>
      <c r="E739" t="s">
        <v>2546</v>
      </c>
      <c r="F739" t="s">
        <v>14</v>
      </c>
      <c r="G739" t="s">
        <v>28</v>
      </c>
      <c r="H739" t="s">
        <v>22</v>
      </c>
      <c r="I739" t="s">
        <v>1457</v>
      </c>
      <c r="J739" t="s">
        <v>1370</v>
      </c>
      <c r="K739" t="str">
        <f t="shared" si="99"/>
        <v>1205.6</v>
      </c>
      <c r="N739" t="str">
        <f t="shared" si="100"/>
        <v>HOLDING REGISTER</v>
      </c>
      <c r="O739" t="str">
        <f t="shared" si="101"/>
        <v>BOOL</v>
      </c>
      <c r="P739" t="str">
        <f t="shared" si="102"/>
        <v>PORTA SOS 6</v>
      </c>
      <c r="R739" t="str">
        <f t="shared" si="103"/>
        <v>MANICHETTA PRELEVATA</v>
      </c>
      <c r="U739" t="str">
        <f t="shared" si="104"/>
        <v>Allarme</v>
      </c>
      <c r="V739" t="str">
        <f t="shared" si="105"/>
        <v>SOS 6</v>
      </c>
      <c r="W739" t="str">
        <f t="shared" si="106"/>
        <v>GALLERIA SAN GIULIANO</v>
      </c>
      <c r="Z739" t="str">
        <f t="shared" si="107"/>
        <v>10.220.80.16</v>
      </c>
    </row>
    <row r="740" spans="1:26" x14ac:dyDescent="0.25">
      <c r="A740" t="s">
        <v>10</v>
      </c>
      <c r="B740" t="s">
        <v>1063</v>
      </c>
      <c r="C740" t="s">
        <v>2546</v>
      </c>
      <c r="D740" t="s">
        <v>1368</v>
      </c>
      <c r="E740" t="s">
        <v>2546</v>
      </c>
      <c r="F740" t="s">
        <v>14</v>
      </c>
      <c r="G740" t="s">
        <v>28</v>
      </c>
      <c r="H740" t="s">
        <v>22</v>
      </c>
      <c r="I740" t="s">
        <v>1458</v>
      </c>
      <c r="J740" t="s">
        <v>1372</v>
      </c>
      <c r="K740" t="str">
        <f t="shared" si="99"/>
        <v>1205.7</v>
      </c>
      <c r="N740" t="str">
        <f t="shared" si="100"/>
        <v>HOLDING REGISTER</v>
      </c>
      <c r="O740" t="str">
        <f t="shared" si="101"/>
        <v>BOOL</v>
      </c>
      <c r="P740" t="str">
        <f t="shared" si="102"/>
        <v>PORTA SOS 6</v>
      </c>
      <c r="R740" t="str">
        <f t="shared" si="103"/>
        <v>PORTA TELEFONO VOIP APERTA</v>
      </c>
      <c r="U740" t="str">
        <f t="shared" si="104"/>
        <v>Allarme</v>
      </c>
      <c r="V740" t="str">
        <f t="shared" si="105"/>
        <v>SOS 6</v>
      </c>
      <c r="W740" t="str">
        <f t="shared" si="106"/>
        <v>GALLERIA SAN GIULIANO</v>
      </c>
      <c r="Z740" t="str">
        <f t="shared" si="107"/>
        <v>10.220.80.16</v>
      </c>
    </row>
    <row r="741" spans="1:26" x14ac:dyDescent="0.25">
      <c r="A741" t="s">
        <v>10</v>
      </c>
      <c r="B741" t="s">
        <v>1063</v>
      </c>
      <c r="C741" t="s">
        <v>2546</v>
      </c>
      <c r="D741" t="s">
        <v>1368</v>
      </c>
      <c r="E741" t="s">
        <v>2546</v>
      </c>
      <c r="F741" t="s">
        <v>14</v>
      </c>
      <c r="G741" t="s">
        <v>28</v>
      </c>
      <c r="H741" t="s">
        <v>22</v>
      </c>
      <c r="I741" t="s">
        <v>1459</v>
      </c>
      <c r="J741" t="s">
        <v>1374</v>
      </c>
      <c r="K741" t="str">
        <f t="shared" si="99"/>
        <v>1205.8</v>
      </c>
      <c r="N741" t="str">
        <f t="shared" si="100"/>
        <v>HOLDING REGISTER</v>
      </c>
      <c r="O741" t="str">
        <f t="shared" si="101"/>
        <v>BOOL</v>
      </c>
      <c r="P741" t="str">
        <f t="shared" si="102"/>
        <v>PORTA SOS 6</v>
      </c>
      <c r="R741" t="str">
        <f t="shared" si="103"/>
        <v>PORTA VANO TECNICO APERTA</v>
      </c>
      <c r="U741" t="str">
        <f t="shared" si="104"/>
        <v>Allarme</v>
      </c>
      <c r="V741" t="str">
        <f t="shared" si="105"/>
        <v>SOS 6</v>
      </c>
      <c r="W741" t="str">
        <f t="shared" si="106"/>
        <v>GALLERIA SAN GIULIANO</v>
      </c>
      <c r="Z741" t="str">
        <f t="shared" si="107"/>
        <v>10.220.80.16</v>
      </c>
    </row>
    <row r="742" spans="1:26" x14ac:dyDescent="0.25">
      <c r="A742" t="s">
        <v>10</v>
      </c>
      <c r="B742" t="s">
        <v>1063</v>
      </c>
      <c r="C742" t="s">
        <v>2546</v>
      </c>
      <c r="D742" t="s">
        <v>1375</v>
      </c>
      <c r="E742" t="s">
        <v>2546</v>
      </c>
      <c r="F742" t="s">
        <v>14</v>
      </c>
      <c r="G742" t="s">
        <v>1375</v>
      </c>
      <c r="H742" t="s">
        <v>22</v>
      </c>
      <c r="I742" t="s">
        <v>1460</v>
      </c>
      <c r="J742" t="s">
        <v>1375</v>
      </c>
      <c r="K742" t="str">
        <f t="shared" si="99"/>
        <v>1205.9</v>
      </c>
      <c r="N742" t="str">
        <f t="shared" si="100"/>
        <v>HOLDING REGISTER</v>
      </c>
      <c r="O742" t="str">
        <f t="shared" si="101"/>
        <v>BOOL</v>
      </c>
      <c r="P742" t="str">
        <f t="shared" si="102"/>
        <v>disponibile SOS 6</v>
      </c>
      <c r="R742" t="str">
        <f t="shared" si="103"/>
        <v>disponibile</v>
      </c>
      <c r="U742" t="str">
        <f t="shared" si="104"/>
        <v>disponibile</v>
      </c>
      <c r="V742" t="str">
        <f t="shared" si="105"/>
        <v>SOS 6</v>
      </c>
      <c r="W742" t="str">
        <f t="shared" si="106"/>
        <v>GALLERIA SAN GIULIANO</v>
      </c>
      <c r="Z742" t="str">
        <f t="shared" si="107"/>
        <v>10.220.80.16</v>
      </c>
    </row>
    <row r="743" spans="1:26" x14ac:dyDescent="0.25">
      <c r="A743" t="s">
        <v>10</v>
      </c>
      <c r="B743" t="s">
        <v>1063</v>
      </c>
      <c r="C743" t="s">
        <v>2546</v>
      </c>
      <c r="D743" t="s">
        <v>1375</v>
      </c>
      <c r="E743" t="s">
        <v>2546</v>
      </c>
      <c r="F743" t="s">
        <v>14</v>
      </c>
      <c r="G743" t="s">
        <v>1375</v>
      </c>
      <c r="H743" t="s">
        <v>22</v>
      </c>
      <c r="I743" t="s">
        <v>1461</v>
      </c>
      <c r="J743" t="s">
        <v>1375</v>
      </c>
      <c r="K743" t="str">
        <f t="shared" si="99"/>
        <v>1205.10</v>
      </c>
      <c r="N743" t="str">
        <f t="shared" si="100"/>
        <v>HOLDING REGISTER</v>
      </c>
      <c r="O743" t="str">
        <f t="shared" si="101"/>
        <v>BOOL</v>
      </c>
      <c r="P743" t="str">
        <f t="shared" si="102"/>
        <v>disponibile SOS 6</v>
      </c>
      <c r="R743" t="str">
        <f t="shared" si="103"/>
        <v>disponibile</v>
      </c>
      <c r="U743" t="str">
        <f t="shared" si="104"/>
        <v>disponibile</v>
      </c>
      <c r="V743" t="str">
        <f t="shared" si="105"/>
        <v>SOS 6</v>
      </c>
      <c r="W743" t="str">
        <f t="shared" si="106"/>
        <v>GALLERIA SAN GIULIANO</v>
      </c>
      <c r="Z743" t="str">
        <f t="shared" si="107"/>
        <v>10.220.80.16</v>
      </c>
    </row>
    <row r="744" spans="1:26" x14ac:dyDescent="0.25">
      <c r="A744" t="s">
        <v>10</v>
      </c>
      <c r="B744" t="s">
        <v>1063</v>
      </c>
      <c r="C744" t="s">
        <v>2546</v>
      </c>
      <c r="D744" t="s">
        <v>1375</v>
      </c>
      <c r="E744" t="s">
        <v>2546</v>
      </c>
      <c r="F744" t="s">
        <v>14</v>
      </c>
      <c r="G744" t="s">
        <v>1375</v>
      </c>
      <c r="H744" t="s">
        <v>22</v>
      </c>
      <c r="I744" t="s">
        <v>1462</v>
      </c>
      <c r="J744" t="s">
        <v>1375</v>
      </c>
      <c r="K744" t="str">
        <f t="shared" si="99"/>
        <v>1205.11</v>
      </c>
      <c r="N744" t="str">
        <f t="shared" si="100"/>
        <v>HOLDING REGISTER</v>
      </c>
      <c r="O744" t="str">
        <f t="shared" si="101"/>
        <v>BOOL</v>
      </c>
      <c r="P744" t="str">
        <f t="shared" si="102"/>
        <v>disponibile SOS 6</v>
      </c>
      <c r="R744" t="str">
        <f t="shared" si="103"/>
        <v>disponibile</v>
      </c>
      <c r="U744" t="str">
        <f t="shared" si="104"/>
        <v>disponibile</v>
      </c>
      <c r="V744" t="str">
        <f t="shared" si="105"/>
        <v>SOS 6</v>
      </c>
      <c r="W744" t="str">
        <f t="shared" si="106"/>
        <v>GALLERIA SAN GIULIANO</v>
      </c>
      <c r="Z744" t="str">
        <f t="shared" si="107"/>
        <v>10.220.80.16</v>
      </c>
    </row>
    <row r="745" spans="1:26" x14ac:dyDescent="0.25">
      <c r="A745" t="s">
        <v>10</v>
      </c>
      <c r="B745" t="s">
        <v>1063</v>
      </c>
      <c r="C745" t="s">
        <v>2546</v>
      </c>
      <c r="D745" t="s">
        <v>1375</v>
      </c>
      <c r="E745" t="s">
        <v>2546</v>
      </c>
      <c r="F745" t="s">
        <v>14</v>
      </c>
      <c r="G745" t="s">
        <v>1375</v>
      </c>
      <c r="H745" t="s">
        <v>22</v>
      </c>
      <c r="I745" t="s">
        <v>1463</v>
      </c>
      <c r="J745" t="s">
        <v>1375</v>
      </c>
      <c r="K745" t="str">
        <f t="shared" si="99"/>
        <v>1205.12</v>
      </c>
      <c r="N745" t="str">
        <f t="shared" si="100"/>
        <v>HOLDING REGISTER</v>
      </c>
      <c r="O745" t="str">
        <f t="shared" si="101"/>
        <v>BOOL</v>
      </c>
      <c r="P745" t="str">
        <f t="shared" si="102"/>
        <v>disponibile SOS 6</v>
      </c>
      <c r="R745" t="str">
        <f t="shared" si="103"/>
        <v>disponibile</v>
      </c>
      <c r="U745" t="str">
        <f t="shared" si="104"/>
        <v>disponibile</v>
      </c>
      <c r="V745" t="str">
        <f t="shared" si="105"/>
        <v>SOS 6</v>
      </c>
      <c r="W745" t="str">
        <f t="shared" si="106"/>
        <v>GALLERIA SAN GIULIANO</v>
      </c>
      <c r="Z745" t="str">
        <f t="shared" si="107"/>
        <v>10.220.80.16</v>
      </c>
    </row>
    <row r="746" spans="1:26" x14ac:dyDescent="0.25">
      <c r="A746" t="s">
        <v>10</v>
      </c>
      <c r="B746" t="s">
        <v>1063</v>
      </c>
      <c r="C746" t="s">
        <v>2546</v>
      </c>
      <c r="D746" t="s">
        <v>12</v>
      </c>
      <c r="E746" t="s">
        <v>2546</v>
      </c>
      <c r="F746" t="s">
        <v>14</v>
      </c>
      <c r="G746" t="s">
        <v>28</v>
      </c>
      <c r="H746" t="s">
        <v>22</v>
      </c>
      <c r="I746" t="s">
        <v>1464</v>
      </c>
      <c r="J746" t="s">
        <v>1381</v>
      </c>
      <c r="K746" t="str">
        <f t="shared" si="99"/>
        <v>1205.13</v>
      </c>
      <c r="N746" t="str">
        <f t="shared" si="100"/>
        <v>HOLDING REGISTER</v>
      </c>
      <c r="O746" t="str">
        <f t="shared" si="101"/>
        <v>BOOL</v>
      </c>
      <c r="P746" t="str">
        <f t="shared" si="102"/>
        <v>PLC SOS 6</v>
      </c>
      <c r="R746" t="str">
        <f t="shared" si="103"/>
        <v>PLC IN STOP</v>
      </c>
      <c r="U746" t="str">
        <f t="shared" si="104"/>
        <v>Allarme</v>
      </c>
      <c r="V746" t="str">
        <f t="shared" si="105"/>
        <v>SOS 6</v>
      </c>
      <c r="W746" t="str">
        <f t="shared" si="106"/>
        <v>GALLERIA SAN GIULIANO</v>
      </c>
      <c r="Z746" t="str">
        <f t="shared" si="107"/>
        <v>10.220.80.16</v>
      </c>
    </row>
    <row r="747" spans="1:26" x14ac:dyDescent="0.25">
      <c r="A747" t="s">
        <v>10</v>
      </c>
      <c r="B747" t="s">
        <v>1063</v>
      </c>
      <c r="C747" t="s">
        <v>2546</v>
      </c>
      <c r="D747" t="s">
        <v>12</v>
      </c>
      <c r="E747" t="s">
        <v>2546</v>
      </c>
      <c r="F747" t="s">
        <v>14</v>
      </c>
      <c r="G747" t="s">
        <v>28</v>
      </c>
      <c r="H747" t="s">
        <v>22</v>
      </c>
      <c r="I747" t="s">
        <v>1465</v>
      </c>
      <c r="J747" t="s">
        <v>1383</v>
      </c>
      <c r="K747" t="str">
        <f t="shared" si="99"/>
        <v>1205.14</v>
      </c>
      <c r="N747" t="str">
        <f t="shared" si="100"/>
        <v>HOLDING REGISTER</v>
      </c>
      <c r="O747" t="str">
        <f t="shared" si="101"/>
        <v>BOOL</v>
      </c>
      <c r="P747" t="str">
        <f t="shared" si="102"/>
        <v>PLC SOS 6</v>
      </c>
      <c r="R747" t="str">
        <f t="shared" si="103"/>
        <v>FAULT COMUNICAZIONE ETHERNET</v>
      </c>
      <c r="U747" t="str">
        <f t="shared" si="104"/>
        <v>Allarme</v>
      </c>
      <c r="V747" t="str">
        <f t="shared" si="105"/>
        <v>SOS 6</v>
      </c>
      <c r="W747" t="str">
        <f t="shared" si="106"/>
        <v>GALLERIA SAN GIULIANO</v>
      </c>
      <c r="Z747" t="str">
        <f t="shared" si="107"/>
        <v>10.220.80.16</v>
      </c>
    </row>
    <row r="748" spans="1:26" x14ac:dyDescent="0.25">
      <c r="A748" t="s">
        <v>10</v>
      </c>
      <c r="B748" t="s">
        <v>1063</v>
      </c>
      <c r="C748" t="s">
        <v>2546</v>
      </c>
      <c r="D748" t="s">
        <v>1384</v>
      </c>
      <c r="E748" t="s">
        <v>2546</v>
      </c>
      <c r="F748" t="s">
        <v>14</v>
      </c>
      <c r="G748" t="s">
        <v>21</v>
      </c>
      <c r="H748" t="s">
        <v>22</v>
      </c>
      <c r="I748" t="s">
        <v>1466</v>
      </c>
      <c r="J748" t="s">
        <v>1386</v>
      </c>
      <c r="K748" t="str">
        <f t="shared" si="99"/>
        <v>1205.15</v>
      </c>
      <c r="N748" t="str">
        <f t="shared" si="100"/>
        <v>HOLDING REGISTER</v>
      </c>
      <c r="O748" t="str">
        <f t="shared" si="101"/>
        <v>BOOL</v>
      </c>
      <c r="P748" t="str">
        <f t="shared" si="102"/>
        <v xml:space="preserve">  SOS 6</v>
      </c>
      <c r="R748" t="str">
        <f t="shared" si="103"/>
        <v>FEEDBACK RESET DA RMT</v>
      </c>
      <c r="U748" t="str">
        <f t="shared" si="104"/>
        <v>Stato</v>
      </c>
      <c r="V748" t="str">
        <f t="shared" si="105"/>
        <v>SOS 6</v>
      </c>
      <c r="W748" t="str">
        <f t="shared" si="106"/>
        <v>GALLERIA SAN GIULIANO</v>
      </c>
      <c r="Z748" t="str">
        <f t="shared" si="107"/>
        <v>10.220.80.16</v>
      </c>
    </row>
    <row r="749" spans="1:26" x14ac:dyDescent="0.25">
      <c r="A749" t="s">
        <v>10</v>
      </c>
      <c r="B749" t="s">
        <v>1063</v>
      </c>
      <c r="C749" t="s">
        <v>2549</v>
      </c>
      <c r="D749" t="s">
        <v>1354</v>
      </c>
      <c r="E749" t="s">
        <v>2549</v>
      </c>
      <c r="F749" t="s">
        <v>14</v>
      </c>
      <c r="G749" t="s">
        <v>28</v>
      </c>
      <c r="H749" t="s">
        <v>22</v>
      </c>
      <c r="I749" t="s">
        <v>1467</v>
      </c>
      <c r="J749" t="s">
        <v>1356</v>
      </c>
      <c r="K749" t="str">
        <f t="shared" si="99"/>
        <v>1206.0</v>
      </c>
      <c r="N749" t="str">
        <f t="shared" si="100"/>
        <v>HOLDING REGISTER</v>
      </c>
      <c r="O749" t="str">
        <f t="shared" si="101"/>
        <v>BOOL</v>
      </c>
      <c r="P749" t="str">
        <f t="shared" si="102"/>
        <v>PULSANTE CHIAMATA SOS 7</v>
      </c>
      <c r="R749" t="str">
        <f t="shared" si="103"/>
        <v>CHIAMATA 118 EFFETTUATA</v>
      </c>
      <c r="U749" t="str">
        <f t="shared" si="104"/>
        <v>Allarme</v>
      </c>
      <c r="V749" t="str">
        <f t="shared" si="105"/>
        <v>SOS 7</v>
      </c>
      <c r="W749" t="str">
        <f t="shared" si="106"/>
        <v>GALLERIA SAN GIULIANO</v>
      </c>
      <c r="Z749" t="str">
        <f t="shared" si="107"/>
        <v>10.220.80.16</v>
      </c>
    </row>
    <row r="750" spans="1:26" x14ac:dyDescent="0.25">
      <c r="A750" t="s">
        <v>10</v>
      </c>
      <c r="B750" t="s">
        <v>1063</v>
      </c>
      <c r="C750" t="s">
        <v>2549</v>
      </c>
      <c r="D750" t="s">
        <v>1354</v>
      </c>
      <c r="E750" t="s">
        <v>2549</v>
      </c>
      <c r="F750" t="s">
        <v>14</v>
      </c>
      <c r="G750" t="s">
        <v>28</v>
      </c>
      <c r="H750" t="s">
        <v>22</v>
      </c>
      <c r="I750" t="s">
        <v>1468</v>
      </c>
      <c r="J750" t="s">
        <v>1358</v>
      </c>
      <c r="K750" t="str">
        <f t="shared" si="99"/>
        <v>1206.1</v>
      </c>
      <c r="N750" t="str">
        <f t="shared" si="100"/>
        <v>HOLDING REGISTER</v>
      </c>
      <c r="O750" t="str">
        <f t="shared" si="101"/>
        <v>BOOL</v>
      </c>
      <c r="P750" t="str">
        <f t="shared" si="102"/>
        <v>PULSANTE CHIAMATA SOS 7</v>
      </c>
      <c r="R750" t="str">
        <f t="shared" si="103"/>
        <v>CHIAMATA 113 EFFETTUATA</v>
      </c>
      <c r="U750" t="str">
        <f t="shared" si="104"/>
        <v>Allarme</v>
      </c>
      <c r="V750" t="str">
        <f t="shared" si="105"/>
        <v>SOS 7</v>
      </c>
      <c r="W750" t="str">
        <f t="shared" si="106"/>
        <v>GALLERIA SAN GIULIANO</v>
      </c>
      <c r="Z750" t="str">
        <f t="shared" si="107"/>
        <v>10.220.80.16</v>
      </c>
    </row>
    <row r="751" spans="1:26" x14ac:dyDescent="0.25">
      <c r="A751" t="s">
        <v>10</v>
      </c>
      <c r="B751" t="s">
        <v>1063</v>
      </c>
      <c r="C751" t="s">
        <v>2549</v>
      </c>
      <c r="D751" t="s">
        <v>1354</v>
      </c>
      <c r="E751" t="s">
        <v>2549</v>
      </c>
      <c r="F751" t="s">
        <v>14</v>
      </c>
      <c r="G751" t="s">
        <v>28</v>
      </c>
      <c r="H751" t="s">
        <v>22</v>
      </c>
      <c r="I751" t="s">
        <v>1469</v>
      </c>
      <c r="J751" t="s">
        <v>1360</v>
      </c>
      <c r="K751" t="str">
        <f t="shared" si="99"/>
        <v>1206.2</v>
      </c>
      <c r="N751" t="str">
        <f t="shared" si="100"/>
        <v>HOLDING REGISTER</v>
      </c>
      <c r="O751" t="str">
        <f t="shared" si="101"/>
        <v>BOOL</v>
      </c>
      <c r="P751" t="str">
        <f t="shared" si="102"/>
        <v>PULSANTE CHIAMATA SOS 7</v>
      </c>
      <c r="R751" t="str">
        <f t="shared" si="103"/>
        <v>CHIAMATA 115 EFFETTUATA</v>
      </c>
      <c r="U751" t="str">
        <f t="shared" si="104"/>
        <v>Allarme</v>
      </c>
      <c r="V751" t="str">
        <f t="shared" si="105"/>
        <v>SOS 7</v>
      </c>
      <c r="W751" t="str">
        <f t="shared" si="106"/>
        <v>GALLERIA SAN GIULIANO</v>
      </c>
      <c r="Z751" t="str">
        <f t="shared" si="107"/>
        <v>10.220.80.16</v>
      </c>
    </row>
    <row r="752" spans="1:26" x14ac:dyDescent="0.25">
      <c r="A752" t="s">
        <v>10</v>
      </c>
      <c r="B752" t="s">
        <v>1063</v>
      </c>
      <c r="C752" t="s">
        <v>2549</v>
      </c>
      <c r="D752" t="s">
        <v>1354</v>
      </c>
      <c r="E752" t="s">
        <v>2549</v>
      </c>
      <c r="F752" t="s">
        <v>14</v>
      </c>
      <c r="G752" t="s">
        <v>28</v>
      </c>
      <c r="H752" t="s">
        <v>22</v>
      </c>
      <c r="I752" t="s">
        <v>1470</v>
      </c>
      <c r="J752" t="s">
        <v>1362</v>
      </c>
      <c r="K752" t="str">
        <f t="shared" si="99"/>
        <v>1206.3</v>
      </c>
      <c r="N752" t="str">
        <f t="shared" si="100"/>
        <v>HOLDING REGISTER</v>
      </c>
      <c r="O752" t="str">
        <f t="shared" si="101"/>
        <v>BOOL</v>
      </c>
      <c r="P752" t="str">
        <f t="shared" si="102"/>
        <v>PULSANTE CHIAMATA SOS 7</v>
      </c>
      <c r="R752" t="str">
        <f t="shared" si="103"/>
        <v>CHIAMATA SALA CONTROLLO ANAS EFFETTUATA</v>
      </c>
      <c r="U752" t="str">
        <f t="shared" si="104"/>
        <v>Allarme</v>
      </c>
      <c r="V752" t="str">
        <f t="shared" si="105"/>
        <v>SOS 7</v>
      </c>
      <c r="W752" t="str">
        <f t="shared" si="106"/>
        <v>GALLERIA SAN GIULIANO</v>
      </c>
      <c r="Z752" t="str">
        <f t="shared" si="107"/>
        <v>10.220.80.16</v>
      </c>
    </row>
    <row r="753" spans="1:26" x14ac:dyDescent="0.25">
      <c r="A753" t="s">
        <v>10</v>
      </c>
      <c r="B753" t="s">
        <v>1063</v>
      </c>
      <c r="C753" t="s">
        <v>2549</v>
      </c>
      <c r="D753" t="s">
        <v>1363</v>
      </c>
      <c r="E753" t="s">
        <v>2549</v>
      </c>
      <c r="F753" t="s">
        <v>14</v>
      </c>
      <c r="G753" t="s">
        <v>28</v>
      </c>
      <c r="H753" t="s">
        <v>22</v>
      </c>
      <c r="I753" t="s">
        <v>1471</v>
      </c>
      <c r="J753" t="s">
        <v>1365</v>
      </c>
      <c r="K753" t="str">
        <f t="shared" si="99"/>
        <v>1206.4</v>
      </c>
      <c r="N753" t="str">
        <f t="shared" si="100"/>
        <v>HOLDING REGISTER</v>
      </c>
      <c r="O753" t="str">
        <f t="shared" si="101"/>
        <v>BOOL</v>
      </c>
      <c r="P753" t="str">
        <f t="shared" si="102"/>
        <v>ESTINTORE SOS 7</v>
      </c>
      <c r="R753" t="str">
        <f t="shared" si="103"/>
        <v>ESTINTORE PRELEVATO 1</v>
      </c>
      <c r="U753" t="str">
        <f t="shared" si="104"/>
        <v>Allarme</v>
      </c>
      <c r="V753" t="str">
        <f t="shared" si="105"/>
        <v>SOS 7</v>
      </c>
      <c r="W753" t="str">
        <f t="shared" si="106"/>
        <v>GALLERIA SAN GIULIANO</v>
      </c>
      <c r="Z753" t="str">
        <f t="shared" si="107"/>
        <v>10.220.80.16</v>
      </c>
    </row>
    <row r="754" spans="1:26" x14ac:dyDescent="0.25">
      <c r="A754" t="s">
        <v>10</v>
      </c>
      <c r="B754" t="s">
        <v>1063</v>
      </c>
      <c r="C754" t="s">
        <v>2549</v>
      </c>
      <c r="D754" t="s">
        <v>1363</v>
      </c>
      <c r="E754" t="s">
        <v>2549</v>
      </c>
      <c r="F754" t="s">
        <v>14</v>
      </c>
      <c r="G754" t="s">
        <v>28</v>
      </c>
      <c r="H754" t="s">
        <v>22</v>
      </c>
      <c r="I754" t="s">
        <v>1472</v>
      </c>
      <c r="J754" t="s">
        <v>1367</v>
      </c>
      <c r="K754" t="str">
        <f t="shared" si="99"/>
        <v>1206.5</v>
      </c>
      <c r="N754" t="str">
        <f t="shared" si="100"/>
        <v>HOLDING REGISTER</v>
      </c>
      <c r="O754" t="str">
        <f t="shared" si="101"/>
        <v>BOOL</v>
      </c>
      <c r="P754" t="str">
        <f t="shared" si="102"/>
        <v>ESTINTORE SOS 7</v>
      </c>
      <c r="R754" t="str">
        <f t="shared" si="103"/>
        <v>ESTINTORE PRELEVATO 2</v>
      </c>
      <c r="U754" t="str">
        <f t="shared" si="104"/>
        <v>Allarme</v>
      </c>
      <c r="V754" t="str">
        <f t="shared" si="105"/>
        <v>SOS 7</v>
      </c>
      <c r="W754" t="str">
        <f t="shared" si="106"/>
        <v>GALLERIA SAN GIULIANO</v>
      </c>
      <c r="Z754" t="str">
        <f t="shared" si="107"/>
        <v>10.220.80.16</v>
      </c>
    </row>
    <row r="755" spans="1:26" x14ac:dyDescent="0.25">
      <c r="A755" t="s">
        <v>10</v>
      </c>
      <c r="B755" t="s">
        <v>1063</v>
      </c>
      <c r="C755" t="s">
        <v>2549</v>
      </c>
      <c r="D755" t="s">
        <v>1368</v>
      </c>
      <c r="E755" t="s">
        <v>2549</v>
      </c>
      <c r="F755" t="s">
        <v>14</v>
      </c>
      <c r="G755" t="s">
        <v>28</v>
      </c>
      <c r="H755" t="s">
        <v>22</v>
      </c>
      <c r="I755" t="s">
        <v>1473</v>
      </c>
      <c r="J755" t="s">
        <v>1370</v>
      </c>
      <c r="K755" t="str">
        <f t="shared" si="99"/>
        <v>1206.6</v>
      </c>
      <c r="N755" t="str">
        <f t="shared" si="100"/>
        <v>HOLDING REGISTER</v>
      </c>
      <c r="O755" t="str">
        <f t="shared" si="101"/>
        <v>BOOL</v>
      </c>
      <c r="P755" t="str">
        <f t="shared" si="102"/>
        <v>PORTA SOS 7</v>
      </c>
      <c r="R755" t="str">
        <f t="shared" si="103"/>
        <v>MANICHETTA PRELEVATA</v>
      </c>
      <c r="U755" t="str">
        <f t="shared" si="104"/>
        <v>Allarme</v>
      </c>
      <c r="V755" t="str">
        <f t="shared" si="105"/>
        <v>SOS 7</v>
      </c>
      <c r="W755" t="str">
        <f t="shared" si="106"/>
        <v>GALLERIA SAN GIULIANO</v>
      </c>
      <c r="Z755" t="str">
        <f t="shared" si="107"/>
        <v>10.220.80.16</v>
      </c>
    </row>
    <row r="756" spans="1:26" x14ac:dyDescent="0.25">
      <c r="A756" t="s">
        <v>10</v>
      </c>
      <c r="B756" t="s">
        <v>1063</v>
      </c>
      <c r="C756" t="s">
        <v>2549</v>
      </c>
      <c r="D756" t="s">
        <v>1368</v>
      </c>
      <c r="E756" t="s">
        <v>2549</v>
      </c>
      <c r="F756" t="s">
        <v>14</v>
      </c>
      <c r="G756" t="s">
        <v>28</v>
      </c>
      <c r="H756" t="s">
        <v>22</v>
      </c>
      <c r="I756" t="s">
        <v>1474</v>
      </c>
      <c r="J756" t="s">
        <v>1372</v>
      </c>
      <c r="K756" t="str">
        <f t="shared" si="99"/>
        <v>1206.7</v>
      </c>
      <c r="N756" t="str">
        <f t="shared" si="100"/>
        <v>HOLDING REGISTER</v>
      </c>
      <c r="O756" t="str">
        <f t="shared" si="101"/>
        <v>BOOL</v>
      </c>
      <c r="P756" t="str">
        <f t="shared" si="102"/>
        <v>PORTA SOS 7</v>
      </c>
      <c r="R756" t="str">
        <f t="shared" si="103"/>
        <v>PORTA TELEFONO VOIP APERTA</v>
      </c>
      <c r="U756" t="str">
        <f t="shared" si="104"/>
        <v>Allarme</v>
      </c>
      <c r="V756" t="str">
        <f t="shared" si="105"/>
        <v>SOS 7</v>
      </c>
      <c r="W756" t="str">
        <f t="shared" si="106"/>
        <v>GALLERIA SAN GIULIANO</v>
      </c>
      <c r="Z756" t="str">
        <f t="shared" si="107"/>
        <v>10.220.80.16</v>
      </c>
    </row>
    <row r="757" spans="1:26" x14ac:dyDescent="0.25">
      <c r="A757" t="s">
        <v>10</v>
      </c>
      <c r="B757" t="s">
        <v>1063</v>
      </c>
      <c r="C757" t="s">
        <v>2549</v>
      </c>
      <c r="D757" t="s">
        <v>1368</v>
      </c>
      <c r="E757" t="s">
        <v>2549</v>
      </c>
      <c r="F757" t="s">
        <v>14</v>
      </c>
      <c r="G757" t="s">
        <v>28</v>
      </c>
      <c r="H757" t="s">
        <v>22</v>
      </c>
      <c r="I757" t="s">
        <v>1475</v>
      </c>
      <c r="J757" t="s">
        <v>1374</v>
      </c>
      <c r="K757" t="str">
        <f t="shared" si="99"/>
        <v>1206.8</v>
      </c>
      <c r="N757" t="str">
        <f t="shared" si="100"/>
        <v>HOLDING REGISTER</v>
      </c>
      <c r="O757" t="str">
        <f t="shared" si="101"/>
        <v>BOOL</v>
      </c>
      <c r="P757" t="str">
        <f t="shared" si="102"/>
        <v>PORTA SOS 7</v>
      </c>
      <c r="R757" t="str">
        <f t="shared" si="103"/>
        <v>PORTA VANO TECNICO APERTA</v>
      </c>
      <c r="U757" t="str">
        <f t="shared" si="104"/>
        <v>Allarme</v>
      </c>
      <c r="V757" t="str">
        <f t="shared" si="105"/>
        <v>SOS 7</v>
      </c>
      <c r="W757" t="str">
        <f t="shared" si="106"/>
        <v>GALLERIA SAN GIULIANO</v>
      </c>
      <c r="Z757" t="str">
        <f t="shared" si="107"/>
        <v>10.220.80.16</v>
      </c>
    </row>
    <row r="758" spans="1:26" x14ac:dyDescent="0.25">
      <c r="A758" t="s">
        <v>10</v>
      </c>
      <c r="B758" t="s">
        <v>1063</v>
      </c>
      <c r="C758" t="s">
        <v>2549</v>
      </c>
      <c r="D758" t="s">
        <v>1375</v>
      </c>
      <c r="E758" t="s">
        <v>2549</v>
      </c>
      <c r="F758" t="s">
        <v>14</v>
      </c>
      <c r="G758" t="s">
        <v>1375</v>
      </c>
      <c r="H758" t="s">
        <v>22</v>
      </c>
      <c r="I758" t="s">
        <v>1476</v>
      </c>
      <c r="J758" t="s">
        <v>1375</v>
      </c>
      <c r="K758" t="str">
        <f t="shared" si="99"/>
        <v>1206.9</v>
      </c>
      <c r="N758" t="str">
        <f t="shared" si="100"/>
        <v>HOLDING REGISTER</v>
      </c>
      <c r="O758" t="str">
        <f t="shared" si="101"/>
        <v>BOOL</v>
      </c>
      <c r="P758" t="str">
        <f t="shared" si="102"/>
        <v>disponibile SOS 7</v>
      </c>
      <c r="R758" t="str">
        <f t="shared" si="103"/>
        <v>disponibile</v>
      </c>
      <c r="U758" t="str">
        <f t="shared" si="104"/>
        <v>disponibile</v>
      </c>
      <c r="V758" t="str">
        <f t="shared" si="105"/>
        <v>SOS 7</v>
      </c>
      <c r="W758" t="str">
        <f t="shared" si="106"/>
        <v>GALLERIA SAN GIULIANO</v>
      </c>
      <c r="Z758" t="str">
        <f t="shared" si="107"/>
        <v>10.220.80.16</v>
      </c>
    </row>
    <row r="759" spans="1:26" x14ac:dyDescent="0.25">
      <c r="A759" t="s">
        <v>10</v>
      </c>
      <c r="B759" t="s">
        <v>1063</v>
      </c>
      <c r="C759" t="s">
        <v>2549</v>
      </c>
      <c r="D759" t="s">
        <v>1375</v>
      </c>
      <c r="E759" t="s">
        <v>2549</v>
      </c>
      <c r="F759" t="s">
        <v>14</v>
      </c>
      <c r="G759" t="s">
        <v>1375</v>
      </c>
      <c r="H759" t="s">
        <v>22</v>
      </c>
      <c r="I759" t="s">
        <v>1477</v>
      </c>
      <c r="J759" t="s">
        <v>1375</v>
      </c>
      <c r="K759" t="str">
        <f t="shared" si="99"/>
        <v>1206.10</v>
      </c>
      <c r="N759" t="str">
        <f t="shared" si="100"/>
        <v>HOLDING REGISTER</v>
      </c>
      <c r="O759" t="str">
        <f t="shared" si="101"/>
        <v>BOOL</v>
      </c>
      <c r="P759" t="str">
        <f t="shared" si="102"/>
        <v>disponibile SOS 7</v>
      </c>
      <c r="R759" t="str">
        <f t="shared" si="103"/>
        <v>disponibile</v>
      </c>
      <c r="U759" t="str">
        <f t="shared" si="104"/>
        <v>disponibile</v>
      </c>
      <c r="V759" t="str">
        <f t="shared" si="105"/>
        <v>SOS 7</v>
      </c>
      <c r="W759" t="str">
        <f t="shared" si="106"/>
        <v>GALLERIA SAN GIULIANO</v>
      </c>
      <c r="Z759" t="str">
        <f t="shared" si="107"/>
        <v>10.220.80.16</v>
      </c>
    </row>
    <row r="760" spans="1:26" x14ac:dyDescent="0.25">
      <c r="A760" t="s">
        <v>10</v>
      </c>
      <c r="B760" t="s">
        <v>1063</v>
      </c>
      <c r="C760" t="s">
        <v>2549</v>
      </c>
      <c r="D760" t="s">
        <v>1375</v>
      </c>
      <c r="E760" t="s">
        <v>2549</v>
      </c>
      <c r="F760" t="s">
        <v>14</v>
      </c>
      <c r="G760" t="s">
        <v>1375</v>
      </c>
      <c r="H760" t="s">
        <v>22</v>
      </c>
      <c r="I760" t="s">
        <v>1478</v>
      </c>
      <c r="J760" t="s">
        <v>1375</v>
      </c>
      <c r="K760" t="str">
        <f t="shared" si="99"/>
        <v>1206.11</v>
      </c>
      <c r="N760" t="str">
        <f t="shared" si="100"/>
        <v>HOLDING REGISTER</v>
      </c>
      <c r="O760" t="str">
        <f t="shared" si="101"/>
        <v>BOOL</v>
      </c>
      <c r="P760" t="str">
        <f t="shared" si="102"/>
        <v>disponibile SOS 7</v>
      </c>
      <c r="R760" t="str">
        <f t="shared" si="103"/>
        <v>disponibile</v>
      </c>
      <c r="U760" t="str">
        <f t="shared" si="104"/>
        <v>disponibile</v>
      </c>
      <c r="V760" t="str">
        <f t="shared" si="105"/>
        <v>SOS 7</v>
      </c>
      <c r="W760" t="str">
        <f t="shared" si="106"/>
        <v>GALLERIA SAN GIULIANO</v>
      </c>
      <c r="Z760" t="str">
        <f t="shared" si="107"/>
        <v>10.220.80.16</v>
      </c>
    </row>
    <row r="761" spans="1:26" x14ac:dyDescent="0.25">
      <c r="A761" t="s">
        <v>10</v>
      </c>
      <c r="B761" t="s">
        <v>1063</v>
      </c>
      <c r="C761" t="s">
        <v>2549</v>
      </c>
      <c r="D761" t="s">
        <v>1375</v>
      </c>
      <c r="E761" t="s">
        <v>2549</v>
      </c>
      <c r="F761" t="s">
        <v>14</v>
      </c>
      <c r="G761" t="s">
        <v>1375</v>
      </c>
      <c r="H761" t="s">
        <v>22</v>
      </c>
      <c r="I761" t="s">
        <v>1479</v>
      </c>
      <c r="J761" t="s">
        <v>1375</v>
      </c>
      <c r="K761" t="str">
        <f t="shared" si="99"/>
        <v>1206.12</v>
      </c>
      <c r="N761" t="str">
        <f t="shared" si="100"/>
        <v>HOLDING REGISTER</v>
      </c>
      <c r="O761" t="str">
        <f t="shared" si="101"/>
        <v>BOOL</v>
      </c>
      <c r="P761" t="str">
        <f t="shared" si="102"/>
        <v>disponibile SOS 7</v>
      </c>
      <c r="R761" t="str">
        <f t="shared" si="103"/>
        <v>disponibile</v>
      </c>
      <c r="U761" t="str">
        <f t="shared" si="104"/>
        <v>disponibile</v>
      </c>
      <c r="V761" t="str">
        <f t="shared" si="105"/>
        <v>SOS 7</v>
      </c>
      <c r="W761" t="str">
        <f t="shared" si="106"/>
        <v>GALLERIA SAN GIULIANO</v>
      </c>
      <c r="Z761" t="str">
        <f t="shared" si="107"/>
        <v>10.220.80.16</v>
      </c>
    </row>
    <row r="762" spans="1:26" x14ac:dyDescent="0.25">
      <c r="A762" t="s">
        <v>10</v>
      </c>
      <c r="B762" t="s">
        <v>1063</v>
      </c>
      <c r="C762" t="s">
        <v>2549</v>
      </c>
      <c r="D762" t="s">
        <v>12</v>
      </c>
      <c r="E762" t="s">
        <v>2549</v>
      </c>
      <c r="F762" t="s">
        <v>14</v>
      </c>
      <c r="G762" t="s">
        <v>28</v>
      </c>
      <c r="H762" t="s">
        <v>22</v>
      </c>
      <c r="I762" t="s">
        <v>1480</v>
      </c>
      <c r="J762" t="s">
        <v>1381</v>
      </c>
      <c r="K762" t="str">
        <f t="shared" si="99"/>
        <v>1206.13</v>
      </c>
      <c r="N762" t="str">
        <f t="shared" si="100"/>
        <v>HOLDING REGISTER</v>
      </c>
      <c r="O762" t="str">
        <f t="shared" si="101"/>
        <v>BOOL</v>
      </c>
      <c r="P762" t="str">
        <f t="shared" si="102"/>
        <v>PLC SOS 7</v>
      </c>
      <c r="R762" t="str">
        <f t="shared" si="103"/>
        <v>PLC IN STOP</v>
      </c>
      <c r="U762" t="str">
        <f t="shared" si="104"/>
        <v>Allarme</v>
      </c>
      <c r="V762" t="str">
        <f t="shared" si="105"/>
        <v>SOS 7</v>
      </c>
      <c r="W762" t="str">
        <f t="shared" si="106"/>
        <v>GALLERIA SAN GIULIANO</v>
      </c>
      <c r="Z762" t="str">
        <f t="shared" si="107"/>
        <v>10.220.80.16</v>
      </c>
    </row>
    <row r="763" spans="1:26" x14ac:dyDescent="0.25">
      <c r="A763" t="s">
        <v>10</v>
      </c>
      <c r="B763" t="s">
        <v>1063</v>
      </c>
      <c r="C763" t="s">
        <v>2549</v>
      </c>
      <c r="D763" t="s">
        <v>12</v>
      </c>
      <c r="E763" t="s">
        <v>2549</v>
      </c>
      <c r="F763" t="s">
        <v>14</v>
      </c>
      <c r="G763" t="s">
        <v>28</v>
      </c>
      <c r="H763" t="s">
        <v>22</v>
      </c>
      <c r="I763" t="s">
        <v>1481</v>
      </c>
      <c r="J763" t="s">
        <v>1383</v>
      </c>
      <c r="K763" t="str">
        <f t="shared" si="99"/>
        <v>1206.14</v>
      </c>
      <c r="N763" t="str">
        <f t="shared" si="100"/>
        <v>HOLDING REGISTER</v>
      </c>
      <c r="O763" t="str">
        <f t="shared" si="101"/>
        <v>BOOL</v>
      </c>
      <c r="P763" t="str">
        <f t="shared" si="102"/>
        <v>PLC SOS 7</v>
      </c>
      <c r="R763" t="str">
        <f t="shared" si="103"/>
        <v>FAULT COMUNICAZIONE ETHERNET</v>
      </c>
      <c r="U763" t="str">
        <f t="shared" si="104"/>
        <v>Allarme</v>
      </c>
      <c r="V763" t="str">
        <f t="shared" si="105"/>
        <v>SOS 7</v>
      </c>
      <c r="W763" t="str">
        <f t="shared" si="106"/>
        <v>GALLERIA SAN GIULIANO</v>
      </c>
      <c r="Z763" t="str">
        <f t="shared" si="107"/>
        <v>10.220.80.16</v>
      </c>
    </row>
    <row r="764" spans="1:26" x14ac:dyDescent="0.25">
      <c r="A764" t="s">
        <v>10</v>
      </c>
      <c r="B764" t="s">
        <v>1063</v>
      </c>
      <c r="C764" t="s">
        <v>2549</v>
      </c>
      <c r="D764" t="s">
        <v>1384</v>
      </c>
      <c r="E764" t="s">
        <v>2549</v>
      </c>
      <c r="F764" t="s">
        <v>14</v>
      </c>
      <c r="G764" t="s">
        <v>21</v>
      </c>
      <c r="H764" t="s">
        <v>22</v>
      </c>
      <c r="I764" t="s">
        <v>1482</v>
      </c>
      <c r="J764" t="s">
        <v>1386</v>
      </c>
      <c r="K764" t="str">
        <f t="shared" si="99"/>
        <v>1206.15</v>
      </c>
      <c r="N764" t="str">
        <f t="shared" si="100"/>
        <v>HOLDING REGISTER</v>
      </c>
      <c r="O764" t="str">
        <f t="shared" si="101"/>
        <v>BOOL</v>
      </c>
      <c r="P764" t="str">
        <f t="shared" si="102"/>
        <v xml:space="preserve">  SOS 7</v>
      </c>
      <c r="R764" t="str">
        <f t="shared" si="103"/>
        <v>FEEDBACK RESET DA RMT</v>
      </c>
      <c r="U764" t="str">
        <f t="shared" si="104"/>
        <v>Stato</v>
      </c>
      <c r="V764" t="str">
        <f t="shared" si="105"/>
        <v>SOS 7</v>
      </c>
      <c r="W764" t="str">
        <f t="shared" si="106"/>
        <v>GALLERIA SAN GIULIANO</v>
      </c>
      <c r="Z764" t="str">
        <f t="shared" si="107"/>
        <v>10.220.80.16</v>
      </c>
    </row>
    <row r="765" spans="1:26" x14ac:dyDescent="0.25">
      <c r="A765" t="s">
        <v>10</v>
      </c>
      <c r="B765" t="s">
        <v>1063</v>
      </c>
      <c r="C765" t="s">
        <v>2552</v>
      </c>
      <c r="D765" t="s">
        <v>1354</v>
      </c>
      <c r="E765" t="s">
        <v>2552</v>
      </c>
      <c r="F765" t="s">
        <v>14</v>
      </c>
      <c r="G765" t="s">
        <v>28</v>
      </c>
      <c r="H765" t="s">
        <v>22</v>
      </c>
      <c r="I765" t="s">
        <v>1483</v>
      </c>
      <c r="J765" t="s">
        <v>1356</v>
      </c>
      <c r="K765" t="str">
        <f t="shared" si="99"/>
        <v>1207.0</v>
      </c>
      <c r="N765" t="str">
        <f t="shared" si="100"/>
        <v>HOLDING REGISTER</v>
      </c>
      <c r="O765" t="str">
        <f t="shared" si="101"/>
        <v>BOOL</v>
      </c>
      <c r="P765" t="str">
        <f t="shared" si="102"/>
        <v>PULSANTE CHIAMATA SOS 8</v>
      </c>
      <c r="R765" t="str">
        <f t="shared" si="103"/>
        <v>CHIAMATA 118 EFFETTUATA</v>
      </c>
      <c r="U765" t="str">
        <f t="shared" si="104"/>
        <v>Allarme</v>
      </c>
      <c r="V765" t="str">
        <f t="shared" si="105"/>
        <v>SOS 8</v>
      </c>
      <c r="W765" t="str">
        <f t="shared" si="106"/>
        <v>GALLERIA SAN GIULIANO</v>
      </c>
      <c r="Z765" t="str">
        <f t="shared" si="107"/>
        <v>10.220.80.16</v>
      </c>
    </row>
    <row r="766" spans="1:26" x14ac:dyDescent="0.25">
      <c r="A766" t="s">
        <v>10</v>
      </c>
      <c r="B766" t="s">
        <v>1063</v>
      </c>
      <c r="C766" t="s">
        <v>2552</v>
      </c>
      <c r="D766" t="s">
        <v>1354</v>
      </c>
      <c r="E766" t="s">
        <v>2552</v>
      </c>
      <c r="F766" t="s">
        <v>14</v>
      </c>
      <c r="G766" t="s">
        <v>28</v>
      </c>
      <c r="H766" t="s">
        <v>22</v>
      </c>
      <c r="I766" t="s">
        <v>1484</v>
      </c>
      <c r="J766" t="s">
        <v>1358</v>
      </c>
      <c r="K766" t="str">
        <f t="shared" si="99"/>
        <v>1207.1</v>
      </c>
      <c r="N766" t="str">
        <f t="shared" si="100"/>
        <v>HOLDING REGISTER</v>
      </c>
      <c r="O766" t="str">
        <f t="shared" si="101"/>
        <v>BOOL</v>
      </c>
      <c r="P766" t="str">
        <f t="shared" si="102"/>
        <v>PULSANTE CHIAMATA SOS 8</v>
      </c>
      <c r="R766" t="str">
        <f t="shared" si="103"/>
        <v>CHIAMATA 113 EFFETTUATA</v>
      </c>
      <c r="U766" t="str">
        <f t="shared" si="104"/>
        <v>Allarme</v>
      </c>
      <c r="V766" t="str">
        <f t="shared" si="105"/>
        <v>SOS 8</v>
      </c>
      <c r="W766" t="str">
        <f t="shared" si="106"/>
        <v>GALLERIA SAN GIULIANO</v>
      </c>
      <c r="Z766" t="str">
        <f t="shared" si="107"/>
        <v>10.220.80.16</v>
      </c>
    </row>
    <row r="767" spans="1:26" x14ac:dyDescent="0.25">
      <c r="A767" t="s">
        <v>10</v>
      </c>
      <c r="B767" t="s">
        <v>1063</v>
      </c>
      <c r="C767" t="s">
        <v>2552</v>
      </c>
      <c r="D767" t="s">
        <v>1354</v>
      </c>
      <c r="E767" t="s">
        <v>2552</v>
      </c>
      <c r="F767" t="s">
        <v>14</v>
      </c>
      <c r="G767" t="s">
        <v>28</v>
      </c>
      <c r="H767" t="s">
        <v>22</v>
      </c>
      <c r="I767" t="s">
        <v>1485</v>
      </c>
      <c r="J767" t="s">
        <v>1360</v>
      </c>
      <c r="K767" t="str">
        <f t="shared" si="99"/>
        <v>1207.2</v>
      </c>
      <c r="N767" t="str">
        <f t="shared" si="100"/>
        <v>HOLDING REGISTER</v>
      </c>
      <c r="O767" t="str">
        <f t="shared" si="101"/>
        <v>BOOL</v>
      </c>
      <c r="P767" t="str">
        <f t="shared" si="102"/>
        <v>PULSANTE CHIAMATA SOS 8</v>
      </c>
      <c r="R767" t="str">
        <f t="shared" si="103"/>
        <v>CHIAMATA 115 EFFETTUATA</v>
      </c>
      <c r="U767" t="str">
        <f t="shared" si="104"/>
        <v>Allarme</v>
      </c>
      <c r="V767" t="str">
        <f t="shared" si="105"/>
        <v>SOS 8</v>
      </c>
      <c r="W767" t="str">
        <f t="shared" si="106"/>
        <v>GALLERIA SAN GIULIANO</v>
      </c>
      <c r="Z767" t="str">
        <f t="shared" si="107"/>
        <v>10.220.80.16</v>
      </c>
    </row>
    <row r="768" spans="1:26" x14ac:dyDescent="0.25">
      <c r="A768" t="s">
        <v>10</v>
      </c>
      <c r="B768" t="s">
        <v>1063</v>
      </c>
      <c r="C768" t="s">
        <v>2552</v>
      </c>
      <c r="D768" t="s">
        <v>1354</v>
      </c>
      <c r="E768" t="s">
        <v>2552</v>
      </c>
      <c r="F768" t="s">
        <v>14</v>
      </c>
      <c r="G768" t="s">
        <v>28</v>
      </c>
      <c r="H768" t="s">
        <v>22</v>
      </c>
      <c r="I768" t="s">
        <v>1486</v>
      </c>
      <c r="J768" t="s">
        <v>1362</v>
      </c>
      <c r="K768" t="str">
        <f t="shared" si="99"/>
        <v>1207.3</v>
      </c>
      <c r="N768" t="str">
        <f t="shared" si="100"/>
        <v>HOLDING REGISTER</v>
      </c>
      <c r="O768" t="str">
        <f t="shared" si="101"/>
        <v>BOOL</v>
      </c>
      <c r="P768" t="str">
        <f t="shared" si="102"/>
        <v>PULSANTE CHIAMATA SOS 8</v>
      </c>
      <c r="R768" t="str">
        <f t="shared" si="103"/>
        <v>CHIAMATA SALA CONTROLLO ANAS EFFETTUATA</v>
      </c>
      <c r="U768" t="str">
        <f t="shared" si="104"/>
        <v>Allarme</v>
      </c>
      <c r="V768" t="str">
        <f t="shared" si="105"/>
        <v>SOS 8</v>
      </c>
      <c r="W768" t="str">
        <f t="shared" si="106"/>
        <v>GALLERIA SAN GIULIANO</v>
      </c>
      <c r="Z768" t="str">
        <f t="shared" si="107"/>
        <v>10.220.80.16</v>
      </c>
    </row>
    <row r="769" spans="1:26" x14ac:dyDescent="0.25">
      <c r="A769" t="s">
        <v>10</v>
      </c>
      <c r="B769" t="s">
        <v>1063</v>
      </c>
      <c r="C769" t="s">
        <v>2552</v>
      </c>
      <c r="D769" t="s">
        <v>1363</v>
      </c>
      <c r="E769" t="s">
        <v>2552</v>
      </c>
      <c r="F769" t="s">
        <v>14</v>
      </c>
      <c r="G769" t="s">
        <v>28</v>
      </c>
      <c r="H769" t="s">
        <v>22</v>
      </c>
      <c r="I769" t="s">
        <v>1487</v>
      </c>
      <c r="J769" t="s">
        <v>1365</v>
      </c>
      <c r="K769" t="str">
        <f t="shared" si="99"/>
        <v>1207.4</v>
      </c>
      <c r="N769" t="str">
        <f t="shared" si="100"/>
        <v>HOLDING REGISTER</v>
      </c>
      <c r="O769" t="str">
        <f t="shared" si="101"/>
        <v>BOOL</v>
      </c>
      <c r="P769" t="str">
        <f t="shared" si="102"/>
        <v>ESTINTORE SOS 8</v>
      </c>
      <c r="R769" t="str">
        <f t="shared" si="103"/>
        <v>ESTINTORE PRELEVATO 1</v>
      </c>
      <c r="U769" t="str">
        <f t="shared" si="104"/>
        <v>Allarme</v>
      </c>
      <c r="V769" t="str">
        <f t="shared" si="105"/>
        <v>SOS 8</v>
      </c>
      <c r="W769" t="str">
        <f t="shared" si="106"/>
        <v>GALLERIA SAN GIULIANO</v>
      </c>
      <c r="Z769" t="str">
        <f t="shared" si="107"/>
        <v>10.220.80.16</v>
      </c>
    </row>
    <row r="770" spans="1:26" x14ac:dyDescent="0.25">
      <c r="A770" t="s">
        <v>10</v>
      </c>
      <c r="B770" t="s">
        <v>1063</v>
      </c>
      <c r="C770" t="s">
        <v>2552</v>
      </c>
      <c r="D770" t="s">
        <v>1363</v>
      </c>
      <c r="E770" t="s">
        <v>2552</v>
      </c>
      <c r="F770" t="s">
        <v>14</v>
      </c>
      <c r="G770" t="s">
        <v>28</v>
      </c>
      <c r="H770" t="s">
        <v>22</v>
      </c>
      <c r="I770" t="s">
        <v>1488</v>
      </c>
      <c r="J770" t="s">
        <v>1367</v>
      </c>
      <c r="K770" t="str">
        <f t="shared" si="99"/>
        <v>1207.5</v>
      </c>
      <c r="N770" t="str">
        <f t="shared" si="100"/>
        <v>HOLDING REGISTER</v>
      </c>
      <c r="O770" t="str">
        <f t="shared" si="101"/>
        <v>BOOL</v>
      </c>
      <c r="P770" t="str">
        <f t="shared" si="102"/>
        <v>ESTINTORE SOS 8</v>
      </c>
      <c r="R770" t="str">
        <f t="shared" si="103"/>
        <v>ESTINTORE PRELEVATO 2</v>
      </c>
      <c r="U770" t="str">
        <f t="shared" si="104"/>
        <v>Allarme</v>
      </c>
      <c r="V770" t="str">
        <f t="shared" si="105"/>
        <v>SOS 8</v>
      </c>
      <c r="W770" t="str">
        <f t="shared" si="106"/>
        <v>GALLERIA SAN GIULIANO</v>
      </c>
      <c r="Z770" t="str">
        <f t="shared" si="107"/>
        <v>10.220.80.16</v>
      </c>
    </row>
    <row r="771" spans="1:26" x14ac:dyDescent="0.25">
      <c r="A771" t="s">
        <v>10</v>
      </c>
      <c r="B771" t="s">
        <v>1063</v>
      </c>
      <c r="C771" t="s">
        <v>2552</v>
      </c>
      <c r="D771" t="s">
        <v>1368</v>
      </c>
      <c r="E771" t="s">
        <v>2552</v>
      </c>
      <c r="F771" t="s">
        <v>14</v>
      </c>
      <c r="G771" t="s">
        <v>28</v>
      </c>
      <c r="H771" t="s">
        <v>22</v>
      </c>
      <c r="I771" t="s">
        <v>1489</v>
      </c>
      <c r="J771" t="s">
        <v>1370</v>
      </c>
      <c r="K771" t="str">
        <f t="shared" ref="K771:K834" si="108">IF(I771="","",I771)</f>
        <v>1207.6</v>
      </c>
      <c r="N771" t="str">
        <f t="shared" ref="N771:N834" si="109">IF(F771="","",F771)</f>
        <v>HOLDING REGISTER</v>
      </c>
      <c r="O771" t="str">
        <f t="shared" ref="O771:O834" si="110">IF(H771="","",H771)</f>
        <v>BOOL</v>
      </c>
      <c r="P771" t="str">
        <f t="shared" ref="P771:P834" si="111">_xlfn.CONCAT(D771," ",E771)</f>
        <v>PORTA SOS 8</v>
      </c>
      <c r="R771" t="str">
        <f t="shared" ref="R771:R834" si="112">IF(J771="","",J771)</f>
        <v>MANICHETTA PRELEVATA</v>
      </c>
      <c r="U771" t="str">
        <f t="shared" ref="U771:U834" si="113">IF(G771="","",G771)</f>
        <v>Allarme</v>
      </c>
      <c r="V771" t="str">
        <f t="shared" ref="V771:V834" si="114">IF(C771="","",C771)</f>
        <v>SOS 8</v>
      </c>
      <c r="W771" t="str">
        <f t="shared" ref="W771:W834" si="115">IF(B771="","",B771)</f>
        <v>GALLERIA SAN GIULIANO</v>
      </c>
      <c r="Z771" t="str">
        <f t="shared" ref="Z771:Z834" si="116">IF(A771="","",A771)</f>
        <v>10.220.80.16</v>
      </c>
    </row>
    <row r="772" spans="1:26" x14ac:dyDescent="0.25">
      <c r="A772" t="s">
        <v>10</v>
      </c>
      <c r="B772" t="s">
        <v>1063</v>
      </c>
      <c r="C772" t="s">
        <v>2552</v>
      </c>
      <c r="D772" t="s">
        <v>1368</v>
      </c>
      <c r="E772" t="s">
        <v>2552</v>
      </c>
      <c r="F772" t="s">
        <v>14</v>
      </c>
      <c r="G772" t="s">
        <v>28</v>
      </c>
      <c r="H772" t="s">
        <v>22</v>
      </c>
      <c r="I772" t="s">
        <v>1490</v>
      </c>
      <c r="J772" t="s">
        <v>1372</v>
      </c>
      <c r="K772" t="str">
        <f t="shared" si="108"/>
        <v>1207.7</v>
      </c>
      <c r="N772" t="str">
        <f t="shared" si="109"/>
        <v>HOLDING REGISTER</v>
      </c>
      <c r="O772" t="str">
        <f t="shared" si="110"/>
        <v>BOOL</v>
      </c>
      <c r="P772" t="str">
        <f t="shared" si="111"/>
        <v>PORTA SOS 8</v>
      </c>
      <c r="R772" t="str">
        <f t="shared" si="112"/>
        <v>PORTA TELEFONO VOIP APERTA</v>
      </c>
      <c r="U772" t="str">
        <f t="shared" si="113"/>
        <v>Allarme</v>
      </c>
      <c r="V772" t="str">
        <f t="shared" si="114"/>
        <v>SOS 8</v>
      </c>
      <c r="W772" t="str">
        <f t="shared" si="115"/>
        <v>GALLERIA SAN GIULIANO</v>
      </c>
      <c r="Z772" t="str">
        <f t="shared" si="116"/>
        <v>10.220.80.16</v>
      </c>
    </row>
    <row r="773" spans="1:26" x14ac:dyDescent="0.25">
      <c r="A773" t="s">
        <v>10</v>
      </c>
      <c r="B773" t="s">
        <v>1063</v>
      </c>
      <c r="C773" t="s">
        <v>2552</v>
      </c>
      <c r="D773" t="s">
        <v>1368</v>
      </c>
      <c r="E773" t="s">
        <v>2552</v>
      </c>
      <c r="F773" t="s">
        <v>14</v>
      </c>
      <c r="G773" t="s">
        <v>28</v>
      </c>
      <c r="H773" t="s">
        <v>22</v>
      </c>
      <c r="I773" t="s">
        <v>1491</v>
      </c>
      <c r="J773" t="s">
        <v>1374</v>
      </c>
      <c r="K773" t="str">
        <f t="shared" si="108"/>
        <v>1207.8</v>
      </c>
      <c r="N773" t="str">
        <f t="shared" si="109"/>
        <v>HOLDING REGISTER</v>
      </c>
      <c r="O773" t="str">
        <f t="shared" si="110"/>
        <v>BOOL</v>
      </c>
      <c r="P773" t="str">
        <f t="shared" si="111"/>
        <v>PORTA SOS 8</v>
      </c>
      <c r="R773" t="str">
        <f t="shared" si="112"/>
        <v>PORTA VANO TECNICO APERTA</v>
      </c>
      <c r="U773" t="str">
        <f t="shared" si="113"/>
        <v>Allarme</v>
      </c>
      <c r="V773" t="str">
        <f t="shared" si="114"/>
        <v>SOS 8</v>
      </c>
      <c r="W773" t="str">
        <f t="shared" si="115"/>
        <v>GALLERIA SAN GIULIANO</v>
      </c>
      <c r="Z773" t="str">
        <f t="shared" si="116"/>
        <v>10.220.80.16</v>
      </c>
    </row>
    <row r="774" spans="1:26" x14ac:dyDescent="0.25">
      <c r="A774" t="s">
        <v>10</v>
      </c>
      <c r="B774" t="s">
        <v>1063</v>
      </c>
      <c r="C774" t="s">
        <v>2552</v>
      </c>
      <c r="D774" t="s">
        <v>1375</v>
      </c>
      <c r="E774" t="s">
        <v>2552</v>
      </c>
      <c r="F774" t="s">
        <v>14</v>
      </c>
      <c r="G774" t="s">
        <v>1375</v>
      </c>
      <c r="H774" t="s">
        <v>22</v>
      </c>
      <c r="I774" t="s">
        <v>1492</v>
      </c>
      <c r="J774" t="s">
        <v>1375</v>
      </c>
      <c r="K774" t="str">
        <f t="shared" si="108"/>
        <v>1207.9</v>
      </c>
      <c r="N774" t="str">
        <f t="shared" si="109"/>
        <v>HOLDING REGISTER</v>
      </c>
      <c r="O774" t="str">
        <f t="shared" si="110"/>
        <v>BOOL</v>
      </c>
      <c r="P774" t="str">
        <f t="shared" si="111"/>
        <v>disponibile SOS 8</v>
      </c>
      <c r="R774" t="str">
        <f t="shared" si="112"/>
        <v>disponibile</v>
      </c>
      <c r="U774" t="str">
        <f t="shared" si="113"/>
        <v>disponibile</v>
      </c>
      <c r="V774" t="str">
        <f t="shared" si="114"/>
        <v>SOS 8</v>
      </c>
      <c r="W774" t="str">
        <f t="shared" si="115"/>
        <v>GALLERIA SAN GIULIANO</v>
      </c>
      <c r="Z774" t="str">
        <f t="shared" si="116"/>
        <v>10.220.80.16</v>
      </c>
    </row>
    <row r="775" spans="1:26" x14ac:dyDescent="0.25">
      <c r="A775" t="s">
        <v>10</v>
      </c>
      <c r="B775" t="s">
        <v>1063</v>
      </c>
      <c r="C775" t="s">
        <v>2552</v>
      </c>
      <c r="D775" t="s">
        <v>1375</v>
      </c>
      <c r="E775" t="s">
        <v>2552</v>
      </c>
      <c r="F775" t="s">
        <v>14</v>
      </c>
      <c r="G775" t="s">
        <v>1375</v>
      </c>
      <c r="H775" t="s">
        <v>22</v>
      </c>
      <c r="I775" t="s">
        <v>1493</v>
      </c>
      <c r="J775" t="s">
        <v>1375</v>
      </c>
      <c r="K775" t="str">
        <f t="shared" si="108"/>
        <v>1207.10</v>
      </c>
      <c r="N775" t="str">
        <f t="shared" si="109"/>
        <v>HOLDING REGISTER</v>
      </c>
      <c r="O775" t="str">
        <f t="shared" si="110"/>
        <v>BOOL</v>
      </c>
      <c r="P775" t="str">
        <f t="shared" si="111"/>
        <v>disponibile SOS 8</v>
      </c>
      <c r="R775" t="str">
        <f t="shared" si="112"/>
        <v>disponibile</v>
      </c>
      <c r="U775" t="str">
        <f t="shared" si="113"/>
        <v>disponibile</v>
      </c>
      <c r="V775" t="str">
        <f t="shared" si="114"/>
        <v>SOS 8</v>
      </c>
      <c r="W775" t="str">
        <f t="shared" si="115"/>
        <v>GALLERIA SAN GIULIANO</v>
      </c>
      <c r="Z775" t="str">
        <f t="shared" si="116"/>
        <v>10.220.80.16</v>
      </c>
    </row>
    <row r="776" spans="1:26" x14ac:dyDescent="0.25">
      <c r="A776" t="s">
        <v>10</v>
      </c>
      <c r="B776" t="s">
        <v>1063</v>
      </c>
      <c r="C776" t="s">
        <v>2552</v>
      </c>
      <c r="D776" t="s">
        <v>1375</v>
      </c>
      <c r="E776" t="s">
        <v>2552</v>
      </c>
      <c r="F776" t="s">
        <v>14</v>
      </c>
      <c r="G776" t="s">
        <v>1375</v>
      </c>
      <c r="H776" t="s">
        <v>22</v>
      </c>
      <c r="I776" t="s">
        <v>1494</v>
      </c>
      <c r="J776" t="s">
        <v>1375</v>
      </c>
      <c r="K776" t="str">
        <f t="shared" si="108"/>
        <v>1207.11</v>
      </c>
      <c r="N776" t="str">
        <f t="shared" si="109"/>
        <v>HOLDING REGISTER</v>
      </c>
      <c r="O776" t="str">
        <f t="shared" si="110"/>
        <v>BOOL</v>
      </c>
      <c r="P776" t="str">
        <f t="shared" si="111"/>
        <v>disponibile SOS 8</v>
      </c>
      <c r="R776" t="str">
        <f t="shared" si="112"/>
        <v>disponibile</v>
      </c>
      <c r="U776" t="str">
        <f t="shared" si="113"/>
        <v>disponibile</v>
      </c>
      <c r="V776" t="str">
        <f t="shared" si="114"/>
        <v>SOS 8</v>
      </c>
      <c r="W776" t="str">
        <f t="shared" si="115"/>
        <v>GALLERIA SAN GIULIANO</v>
      </c>
      <c r="Z776" t="str">
        <f t="shared" si="116"/>
        <v>10.220.80.16</v>
      </c>
    </row>
    <row r="777" spans="1:26" x14ac:dyDescent="0.25">
      <c r="A777" t="s">
        <v>10</v>
      </c>
      <c r="B777" t="s">
        <v>1063</v>
      </c>
      <c r="C777" t="s">
        <v>2552</v>
      </c>
      <c r="D777" t="s">
        <v>1375</v>
      </c>
      <c r="E777" t="s">
        <v>2552</v>
      </c>
      <c r="F777" t="s">
        <v>14</v>
      </c>
      <c r="G777" t="s">
        <v>1375</v>
      </c>
      <c r="H777" t="s">
        <v>22</v>
      </c>
      <c r="I777" t="s">
        <v>1495</v>
      </c>
      <c r="J777" t="s">
        <v>1375</v>
      </c>
      <c r="K777" t="str">
        <f t="shared" si="108"/>
        <v>1207.12</v>
      </c>
      <c r="N777" t="str">
        <f t="shared" si="109"/>
        <v>HOLDING REGISTER</v>
      </c>
      <c r="O777" t="str">
        <f t="shared" si="110"/>
        <v>BOOL</v>
      </c>
      <c r="P777" t="str">
        <f t="shared" si="111"/>
        <v>disponibile SOS 8</v>
      </c>
      <c r="R777" t="str">
        <f t="shared" si="112"/>
        <v>disponibile</v>
      </c>
      <c r="U777" t="str">
        <f t="shared" si="113"/>
        <v>disponibile</v>
      </c>
      <c r="V777" t="str">
        <f t="shared" si="114"/>
        <v>SOS 8</v>
      </c>
      <c r="W777" t="str">
        <f t="shared" si="115"/>
        <v>GALLERIA SAN GIULIANO</v>
      </c>
      <c r="Z777" t="str">
        <f t="shared" si="116"/>
        <v>10.220.80.16</v>
      </c>
    </row>
    <row r="778" spans="1:26" x14ac:dyDescent="0.25">
      <c r="A778" t="s">
        <v>10</v>
      </c>
      <c r="B778" t="s">
        <v>1063</v>
      </c>
      <c r="C778" t="s">
        <v>2552</v>
      </c>
      <c r="D778" t="s">
        <v>12</v>
      </c>
      <c r="E778" t="s">
        <v>2552</v>
      </c>
      <c r="F778" t="s">
        <v>14</v>
      </c>
      <c r="G778" t="s">
        <v>28</v>
      </c>
      <c r="H778" t="s">
        <v>22</v>
      </c>
      <c r="I778" t="s">
        <v>1496</v>
      </c>
      <c r="J778" t="s">
        <v>1381</v>
      </c>
      <c r="K778" t="str">
        <f t="shared" si="108"/>
        <v>1207.13</v>
      </c>
      <c r="N778" t="str">
        <f t="shared" si="109"/>
        <v>HOLDING REGISTER</v>
      </c>
      <c r="O778" t="str">
        <f t="shared" si="110"/>
        <v>BOOL</v>
      </c>
      <c r="P778" t="str">
        <f t="shared" si="111"/>
        <v>PLC SOS 8</v>
      </c>
      <c r="R778" t="str">
        <f t="shared" si="112"/>
        <v>PLC IN STOP</v>
      </c>
      <c r="U778" t="str">
        <f t="shared" si="113"/>
        <v>Allarme</v>
      </c>
      <c r="V778" t="str">
        <f t="shared" si="114"/>
        <v>SOS 8</v>
      </c>
      <c r="W778" t="str">
        <f t="shared" si="115"/>
        <v>GALLERIA SAN GIULIANO</v>
      </c>
      <c r="Z778" t="str">
        <f t="shared" si="116"/>
        <v>10.220.80.16</v>
      </c>
    </row>
    <row r="779" spans="1:26" x14ac:dyDescent="0.25">
      <c r="A779" t="s">
        <v>10</v>
      </c>
      <c r="B779" t="s">
        <v>1063</v>
      </c>
      <c r="C779" t="s">
        <v>2552</v>
      </c>
      <c r="D779" t="s">
        <v>12</v>
      </c>
      <c r="E779" t="s">
        <v>2552</v>
      </c>
      <c r="F779" t="s">
        <v>14</v>
      </c>
      <c r="G779" t="s">
        <v>28</v>
      </c>
      <c r="H779" t="s">
        <v>22</v>
      </c>
      <c r="I779" t="s">
        <v>1497</v>
      </c>
      <c r="J779" t="s">
        <v>1383</v>
      </c>
      <c r="K779" t="str">
        <f t="shared" si="108"/>
        <v>1207.14</v>
      </c>
      <c r="N779" t="str">
        <f t="shared" si="109"/>
        <v>HOLDING REGISTER</v>
      </c>
      <c r="O779" t="str">
        <f t="shared" si="110"/>
        <v>BOOL</v>
      </c>
      <c r="P779" t="str">
        <f t="shared" si="111"/>
        <v>PLC SOS 8</v>
      </c>
      <c r="R779" t="str">
        <f t="shared" si="112"/>
        <v>FAULT COMUNICAZIONE ETHERNET</v>
      </c>
      <c r="U779" t="str">
        <f t="shared" si="113"/>
        <v>Allarme</v>
      </c>
      <c r="V779" t="str">
        <f t="shared" si="114"/>
        <v>SOS 8</v>
      </c>
      <c r="W779" t="str">
        <f t="shared" si="115"/>
        <v>GALLERIA SAN GIULIANO</v>
      </c>
      <c r="Z779" t="str">
        <f t="shared" si="116"/>
        <v>10.220.80.16</v>
      </c>
    </row>
    <row r="780" spans="1:26" x14ac:dyDescent="0.25">
      <c r="A780" t="s">
        <v>10</v>
      </c>
      <c r="B780" t="s">
        <v>1063</v>
      </c>
      <c r="C780" t="s">
        <v>2552</v>
      </c>
      <c r="D780" t="s">
        <v>1384</v>
      </c>
      <c r="E780" t="s">
        <v>2552</v>
      </c>
      <c r="F780" t="s">
        <v>14</v>
      </c>
      <c r="G780" t="s">
        <v>21</v>
      </c>
      <c r="H780" t="s">
        <v>22</v>
      </c>
      <c r="I780" t="s">
        <v>1498</v>
      </c>
      <c r="J780" t="s">
        <v>1386</v>
      </c>
      <c r="K780" t="str">
        <f t="shared" si="108"/>
        <v>1207.15</v>
      </c>
      <c r="N780" t="str">
        <f t="shared" si="109"/>
        <v>HOLDING REGISTER</v>
      </c>
      <c r="O780" t="str">
        <f t="shared" si="110"/>
        <v>BOOL</v>
      </c>
      <c r="P780" t="str">
        <f t="shared" si="111"/>
        <v xml:space="preserve">  SOS 8</v>
      </c>
      <c r="R780" t="str">
        <f t="shared" si="112"/>
        <v>FEEDBACK RESET DA RMT</v>
      </c>
      <c r="U780" t="str">
        <f t="shared" si="113"/>
        <v>Stato</v>
      </c>
      <c r="V780" t="str">
        <f t="shared" si="114"/>
        <v>SOS 8</v>
      </c>
      <c r="W780" t="str">
        <f t="shared" si="115"/>
        <v>GALLERIA SAN GIULIANO</v>
      </c>
      <c r="Z780" t="str">
        <f t="shared" si="116"/>
        <v>10.220.80.16</v>
      </c>
    </row>
    <row r="781" spans="1:26" x14ac:dyDescent="0.25">
      <c r="A781" t="s">
        <v>10</v>
      </c>
      <c r="B781" t="s">
        <v>1063</v>
      </c>
      <c r="C781" t="s">
        <v>2555</v>
      </c>
      <c r="D781" t="s">
        <v>1354</v>
      </c>
      <c r="E781" t="s">
        <v>2555</v>
      </c>
      <c r="F781" t="s">
        <v>14</v>
      </c>
      <c r="G781" t="s">
        <v>28</v>
      </c>
      <c r="H781" t="s">
        <v>22</v>
      </c>
      <c r="I781" t="s">
        <v>1499</v>
      </c>
      <c r="J781" t="s">
        <v>1356</v>
      </c>
      <c r="K781" t="str">
        <f t="shared" si="108"/>
        <v>1208.0</v>
      </c>
      <c r="N781" t="str">
        <f t="shared" si="109"/>
        <v>HOLDING REGISTER</v>
      </c>
      <c r="O781" t="str">
        <f t="shared" si="110"/>
        <v>BOOL</v>
      </c>
      <c r="P781" t="str">
        <f t="shared" si="111"/>
        <v>PULSANTE CHIAMATA SOS 9</v>
      </c>
      <c r="R781" t="str">
        <f t="shared" si="112"/>
        <v>CHIAMATA 118 EFFETTUATA</v>
      </c>
      <c r="U781" t="str">
        <f t="shared" si="113"/>
        <v>Allarme</v>
      </c>
      <c r="V781" t="str">
        <f t="shared" si="114"/>
        <v>SOS 9</v>
      </c>
      <c r="W781" t="str">
        <f t="shared" si="115"/>
        <v>GALLERIA SAN GIULIANO</v>
      </c>
      <c r="Z781" t="str">
        <f t="shared" si="116"/>
        <v>10.220.80.16</v>
      </c>
    </row>
    <row r="782" spans="1:26" x14ac:dyDescent="0.25">
      <c r="A782" t="s">
        <v>10</v>
      </c>
      <c r="B782" t="s">
        <v>1063</v>
      </c>
      <c r="C782" t="s">
        <v>2555</v>
      </c>
      <c r="D782" t="s">
        <v>1354</v>
      </c>
      <c r="E782" t="s">
        <v>2555</v>
      </c>
      <c r="F782" t="s">
        <v>14</v>
      </c>
      <c r="G782" t="s">
        <v>28</v>
      </c>
      <c r="H782" t="s">
        <v>22</v>
      </c>
      <c r="I782" t="s">
        <v>1500</v>
      </c>
      <c r="J782" t="s">
        <v>1358</v>
      </c>
      <c r="K782" t="str">
        <f t="shared" si="108"/>
        <v>1208.1</v>
      </c>
      <c r="N782" t="str">
        <f t="shared" si="109"/>
        <v>HOLDING REGISTER</v>
      </c>
      <c r="O782" t="str">
        <f t="shared" si="110"/>
        <v>BOOL</v>
      </c>
      <c r="P782" t="str">
        <f t="shared" si="111"/>
        <v>PULSANTE CHIAMATA SOS 9</v>
      </c>
      <c r="R782" t="str">
        <f t="shared" si="112"/>
        <v>CHIAMATA 113 EFFETTUATA</v>
      </c>
      <c r="U782" t="str">
        <f t="shared" si="113"/>
        <v>Allarme</v>
      </c>
      <c r="V782" t="str">
        <f t="shared" si="114"/>
        <v>SOS 9</v>
      </c>
      <c r="W782" t="str">
        <f t="shared" si="115"/>
        <v>GALLERIA SAN GIULIANO</v>
      </c>
      <c r="Z782" t="str">
        <f t="shared" si="116"/>
        <v>10.220.80.16</v>
      </c>
    </row>
    <row r="783" spans="1:26" x14ac:dyDescent="0.25">
      <c r="A783" t="s">
        <v>10</v>
      </c>
      <c r="B783" t="s">
        <v>1063</v>
      </c>
      <c r="C783" t="s">
        <v>2555</v>
      </c>
      <c r="D783" t="s">
        <v>1354</v>
      </c>
      <c r="E783" t="s">
        <v>2555</v>
      </c>
      <c r="F783" t="s">
        <v>14</v>
      </c>
      <c r="G783" t="s">
        <v>28</v>
      </c>
      <c r="H783" t="s">
        <v>22</v>
      </c>
      <c r="I783" t="s">
        <v>1501</v>
      </c>
      <c r="J783" t="s">
        <v>1360</v>
      </c>
      <c r="K783" t="str">
        <f t="shared" si="108"/>
        <v>1208.2</v>
      </c>
      <c r="N783" t="str">
        <f t="shared" si="109"/>
        <v>HOLDING REGISTER</v>
      </c>
      <c r="O783" t="str">
        <f t="shared" si="110"/>
        <v>BOOL</v>
      </c>
      <c r="P783" t="str">
        <f t="shared" si="111"/>
        <v>PULSANTE CHIAMATA SOS 9</v>
      </c>
      <c r="R783" t="str">
        <f t="shared" si="112"/>
        <v>CHIAMATA 115 EFFETTUATA</v>
      </c>
      <c r="U783" t="str">
        <f t="shared" si="113"/>
        <v>Allarme</v>
      </c>
      <c r="V783" t="str">
        <f t="shared" si="114"/>
        <v>SOS 9</v>
      </c>
      <c r="W783" t="str">
        <f t="shared" si="115"/>
        <v>GALLERIA SAN GIULIANO</v>
      </c>
      <c r="Z783" t="str">
        <f t="shared" si="116"/>
        <v>10.220.80.16</v>
      </c>
    </row>
    <row r="784" spans="1:26" x14ac:dyDescent="0.25">
      <c r="A784" t="s">
        <v>10</v>
      </c>
      <c r="B784" t="s">
        <v>1063</v>
      </c>
      <c r="C784" t="s">
        <v>2555</v>
      </c>
      <c r="D784" t="s">
        <v>1354</v>
      </c>
      <c r="E784" t="s">
        <v>2555</v>
      </c>
      <c r="F784" t="s">
        <v>14</v>
      </c>
      <c r="G784" t="s">
        <v>28</v>
      </c>
      <c r="H784" t="s">
        <v>22</v>
      </c>
      <c r="I784" t="s">
        <v>1502</v>
      </c>
      <c r="J784" t="s">
        <v>1362</v>
      </c>
      <c r="K784" t="str">
        <f t="shared" si="108"/>
        <v>1208.3</v>
      </c>
      <c r="N784" t="str">
        <f t="shared" si="109"/>
        <v>HOLDING REGISTER</v>
      </c>
      <c r="O784" t="str">
        <f t="shared" si="110"/>
        <v>BOOL</v>
      </c>
      <c r="P784" t="str">
        <f t="shared" si="111"/>
        <v>PULSANTE CHIAMATA SOS 9</v>
      </c>
      <c r="R784" t="str">
        <f t="shared" si="112"/>
        <v>CHIAMATA SALA CONTROLLO ANAS EFFETTUATA</v>
      </c>
      <c r="U784" t="str">
        <f t="shared" si="113"/>
        <v>Allarme</v>
      </c>
      <c r="V784" t="str">
        <f t="shared" si="114"/>
        <v>SOS 9</v>
      </c>
      <c r="W784" t="str">
        <f t="shared" si="115"/>
        <v>GALLERIA SAN GIULIANO</v>
      </c>
      <c r="Z784" t="str">
        <f t="shared" si="116"/>
        <v>10.220.80.16</v>
      </c>
    </row>
    <row r="785" spans="1:26" x14ac:dyDescent="0.25">
      <c r="A785" t="s">
        <v>10</v>
      </c>
      <c r="B785" t="s">
        <v>1063</v>
      </c>
      <c r="C785" t="s">
        <v>2555</v>
      </c>
      <c r="D785" t="s">
        <v>1363</v>
      </c>
      <c r="E785" t="s">
        <v>2555</v>
      </c>
      <c r="F785" t="s">
        <v>14</v>
      </c>
      <c r="G785" t="s">
        <v>28</v>
      </c>
      <c r="H785" t="s">
        <v>22</v>
      </c>
      <c r="I785" t="s">
        <v>1503</v>
      </c>
      <c r="J785" t="s">
        <v>1365</v>
      </c>
      <c r="K785" t="str">
        <f t="shared" si="108"/>
        <v>1208.4</v>
      </c>
      <c r="N785" t="str">
        <f t="shared" si="109"/>
        <v>HOLDING REGISTER</v>
      </c>
      <c r="O785" t="str">
        <f t="shared" si="110"/>
        <v>BOOL</v>
      </c>
      <c r="P785" t="str">
        <f t="shared" si="111"/>
        <v>ESTINTORE SOS 9</v>
      </c>
      <c r="R785" t="str">
        <f t="shared" si="112"/>
        <v>ESTINTORE PRELEVATO 1</v>
      </c>
      <c r="U785" t="str">
        <f t="shared" si="113"/>
        <v>Allarme</v>
      </c>
      <c r="V785" t="str">
        <f t="shared" si="114"/>
        <v>SOS 9</v>
      </c>
      <c r="W785" t="str">
        <f t="shared" si="115"/>
        <v>GALLERIA SAN GIULIANO</v>
      </c>
      <c r="Z785" t="str">
        <f t="shared" si="116"/>
        <v>10.220.80.16</v>
      </c>
    </row>
    <row r="786" spans="1:26" x14ac:dyDescent="0.25">
      <c r="A786" t="s">
        <v>10</v>
      </c>
      <c r="B786" t="s">
        <v>1063</v>
      </c>
      <c r="C786" t="s">
        <v>2555</v>
      </c>
      <c r="D786" t="s">
        <v>1363</v>
      </c>
      <c r="E786" t="s">
        <v>2555</v>
      </c>
      <c r="F786" t="s">
        <v>14</v>
      </c>
      <c r="G786" t="s">
        <v>28</v>
      </c>
      <c r="H786" t="s">
        <v>22</v>
      </c>
      <c r="I786" t="s">
        <v>1504</v>
      </c>
      <c r="J786" t="s">
        <v>1367</v>
      </c>
      <c r="K786" t="str">
        <f t="shared" si="108"/>
        <v>1208.5</v>
      </c>
      <c r="N786" t="str">
        <f t="shared" si="109"/>
        <v>HOLDING REGISTER</v>
      </c>
      <c r="O786" t="str">
        <f t="shared" si="110"/>
        <v>BOOL</v>
      </c>
      <c r="P786" t="str">
        <f t="shared" si="111"/>
        <v>ESTINTORE SOS 9</v>
      </c>
      <c r="R786" t="str">
        <f t="shared" si="112"/>
        <v>ESTINTORE PRELEVATO 2</v>
      </c>
      <c r="U786" t="str">
        <f t="shared" si="113"/>
        <v>Allarme</v>
      </c>
      <c r="V786" t="str">
        <f t="shared" si="114"/>
        <v>SOS 9</v>
      </c>
      <c r="W786" t="str">
        <f t="shared" si="115"/>
        <v>GALLERIA SAN GIULIANO</v>
      </c>
      <c r="Z786" t="str">
        <f t="shared" si="116"/>
        <v>10.220.80.16</v>
      </c>
    </row>
    <row r="787" spans="1:26" x14ac:dyDescent="0.25">
      <c r="A787" t="s">
        <v>10</v>
      </c>
      <c r="B787" t="s">
        <v>1063</v>
      </c>
      <c r="C787" t="s">
        <v>2555</v>
      </c>
      <c r="D787" t="s">
        <v>1368</v>
      </c>
      <c r="E787" t="s">
        <v>2555</v>
      </c>
      <c r="F787" t="s">
        <v>14</v>
      </c>
      <c r="G787" t="s">
        <v>28</v>
      </c>
      <c r="H787" t="s">
        <v>22</v>
      </c>
      <c r="I787" t="s">
        <v>1505</v>
      </c>
      <c r="J787" t="s">
        <v>1370</v>
      </c>
      <c r="K787" t="str">
        <f t="shared" si="108"/>
        <v>1208.6</v>
      </c>
      <c r="N787" t="str">
        <f t="shared" si="109"/>
        <v>HOLDING REGISTER</v>
      </c>
      <c r="O787" t="str">
        <f t="shared" si="110"/>
        <v>BOOL</v>
      </c>
      <c r="P787" t="str">
        <f t="shared" si="111"/>
        <v>PORTA SOS 9</v>
      </c>
      <c r="R787" t="str">
        <f t="shared" si="112"/>
        <v>MANICHETTA PRELEVATA</v>
      </c>
      <c r="U787" t="str">
        <f t="shared" si="113"/>
        <v>Allarme</v>
      </c>
      <c r="V787" t="str">
        <f t="shared" si="114"/>
        <v>SOS 9</v>
      </c>
      <c r="W787" t="str">
        <f t="shared" si="115"/>
        <v>GALLERIA SAN GIULIANO</v>
      </c>
      <c r="Z787" t="str">
        <f t="shared" si="116"/>
        <v>10.220.80.16</v>
      </c>
    </row>
    <row r="788" spans="1:26" x14ac:dyDescent="0.25">
      <c r="A788" t="s">
        <v>10</v>
      </c>
      <c r="B788" t="s">
        <v>1063</v>
      </c>
      <c r="C788" t="s">
        <v>2555</v>
      </c>
      <c r="D788" t="s">
        <v>1368</v>
      </c>
      <c r="E788" t="s">
        <v>2555</v>
      </c>
      <c r="F788" t="s">
        <v>14</v>
      </c>
      <c r="G788" t="s">
        <v>28</v>
      </c>
      <c r="H788" t="s">
        <v>22</v>
      </c>
      <c r="I788" t="s">
        <v>1506</v>
      </c>
      <c r="J788" t="s">
        <v>1372</v>
      </c>
      <c r="K788" t="str">
        <f t="shared" si="108"/>
        <v>1208.7</v>
      </c>
      <c r="N788" t="str">
        <f t="shared" si="109"/>
        <v>HOLDING REGISTER</v>
      </c>
      <c r="O788" t="str">
        <f t="shared" si="110"/>
        <v>BOOL</v>
      </c>
      <c r="P788" t="str">
        <f t="shared" si="111"/>
        <v>PORTA SOS 9</v>
      </c>
      <c r="R788" t="str">
        <f t="shared" si="112"/>
        <v>PORTA TELEFONO VOIP APERTA</v>
      </c>
      <c r="U788" t="str">
        <f t="shared" si="113"/>
        <v>Allarme</v>
      </c>
      <c r="V788" t="str">
        <f t="shared" si="114"/>
        <v>SOS 9</v>
      </c>
      <c r="W788" t="str">
        <f t="shared" si="115"/>
        <v>GALLERIA SAN GIULIANO</v>
      </c>
      <c r="Z788" t="str">
        <f t="shared" si="116"/>
        <v>10.220.80.16</v>
      </c>
    </row>
    <row r="789" spans="1:26" x14ac:dyDescent="0.25">
      <c r="A789" t="s">
        <v>10</v>
      </c>
      <c r="B789" t="s">
        <v>1063</v>
      </c>
      <c r="C789" t="s">
        <v>2555</v>
      </c>
      <c r="D789" t="s">
        <v>1368</v>
      </c>
      <c r="E789" t="s">
        <v>2555</v>
      </c>
      <c r="F789" t="s">
        <v>14</v>
      </c>
      <c r="G789" t="s">
        <v>28</v>
      </c>
      <c r="H789" t="s">
        <v>22</v>
      </c>
      <c r="I789" t="s">
        <v>1507</v>
      </c>
      <c r="J789" t="s">
        <v>1374</v>
      </c>
      <c r="K789" t="str">
        <f t="shared" si="108"/>
        <v>1208.8</v>
      </c>
      <c r="N789" t="str">
        <f t="shared" si="109"/>
        <v>HOLDING REGISTER</v>
      </c>
      <c r="O789" t="str">
        <f t="shared" si="110"/>
        <v>BOOL</v>
      </c>
      <c r="P789" t="str">
        <f t="shared" si="111"/>
        <v>PORTA SOS 9</v>
      </c>
      <c r="R789" t="str">
        <f t="shared" si="112"/>
        <v>PORTA VANO TECNICO APERTA</v>
      </c>
      <c r="U789" t="str">
        <f t="shared" si="113"/>
        <v>Allarme</v>
      </c>
      <c r="V789" t="str">
        <f t="shared" si="114"/>
        <v>SOS 9</v>
      </c>
      <c r="W789" t="str">
        <f t="shared" si="115"/>
        <v>GALLERIA SAN GIULIANO</v>
      </c>
      <c r="Z789" t="str">
        <f t="shared" si="116"/>
        <v>10.220.80.16</v>
      </c>
    </row>
    <row r="790" spans="1:26" x14ac:dyDescent="0.25">
      <c r="A790" t="s">
        <v>10</v>
      </c>
      <c r="B790" t="s">
        <v>1063</v>
      </c>
      <c r="C790" t="s">
        <v>2555</v>
      </c>
      <c r="D790" t="s">
        <v>1375</v>
      </c>
      <c r="E790" t="s">
        <v>2555</v>
      </c>
      <c r="F790" t="s">
        <v>14</v>
      </c>
      <c r="G790" t="s">
        <v>1375</v>
      </c>
      <c r="H790" t="s">
        <v>22</v>
      </c>
      <c r="I790" t="s">
        <v>1508</v>
      </c>
      <c r="J790" t="s">
        <v>1375</v>
      </c>
      <c r="K790" t="str">
        <f t="shared" si="108"/>
        <v>1208.9</v>
      </c>
      <c r="N790" t="str">
        <f t="shared" si="109"/>
        <v>HOLDING REGISTER</v>
      </c>
      <c r="O790" t="str">
        <f t="shared" si="110"/>
        <v>BOOL</v>
      </c>
      <c r="P790" t="str">
        <f t="shared" si="111"/>
        <v>disponibile SOS 9</v>
      </c>
      <c r="R790" t="str">
        <f t="shared" si="112"/>
        <v>disponibile</v>
      </c>
      <c r="U790" t="str">
        <f t="shared" si="113"/>
        <v>disponibile</v>
      </c>
      <c r="V790" t="str">
        <f t="shared" si="114"/>
        <v>SOS 9</v>
      </c>
      <c r="W790" t="str">
        <f t="shared" si="115"/>
        <v>GALLERIA SAN GIULIANO</v>
      </c>
      <c r="Z790" t="str">
        <f t="shared" si="116"/>
        <v>10.220.80.16</v>
      </c>
    </row>
    <row r="791" spans="1:26" x14ac:dyDescent="0.25">
      <c r="A791" t="s">
        <v>10</v>
      </c>
      <c r="B791" t="s">
        <v>1063</v>
      </c>
      <c r="C791" t="s">
        <v>2555</v>
      </c>
      <c r="D791" t="s">
        <v>1375</v>
      </c>
      <c r="E791" t="s">
        <v>2555</v>
      </c>
      <c r="F791" t="s">
        <v>14</v>
      </c>
      <c r="G791" t="s">
        <v>1375</v>
      </c>
      <c r="H791" t="s">
        <v>22</v>
      </c>
      <c r="I791" t="s">
        <v>1509</v>
      </c>
      <c r="J791" t="s">
        <v>1375</v>
      </c>
      <c r="K791" t="str">
        <f t="shared" si="108"/>
        <v>1208.10</v>
      </c>
      <c r="N791" t="str">
        <f t="shared" si="109"/>
        <v>HOLDING REGISTER</v>
      </c>
      <c r="O791" t="str">
        <f t="shared" si="110"/>
        <v>BOOL</v>
      </c>
      <c r="P791" t="str">
        <f t="shared" si="111"/>
        <v>disponibile SOS 9</v>
      </c>
      <c r="R791" t="str">
        <f t="shared" si="112"/>
        <v>disponibile</v>
      </c>
      <c r="U791" t="str">
        <f t="shared" si="113"/>
        <v>disponibile</v>
      </c>
      <c r="V791" t="str">
        <f t="shared" si="114"/>
        <v>SOS 9</v>
      </c>
      <c r="W791" t="str">
        <f t="shared" si="115"/>
        <v>GALLERIA SAN GIULIANO</v>
      </c>
      <c r="Z791" t="str">
        <f t="shared" si="116"/>
        <v>10.220.80.16</v>
      </c>
    </row>
    <row r="792" spans="1:26" x14ac:dyDescent="0.25">
      <c r="A792" t="s">
        <v>10</v>
      </c>
      <c r="B792" t="s">
        <v>1063</v>
      </c>
      <c r="C792" t="s">
        <v>2555</v>
      </c>
      <c r="D792" t="s">
        <v>1375</v>
      </c>
      <c r="E792" t="s">
        <v>2555</v>
      </c>
      <c r="F792" t="s">
        <v>14</v>
      </c>
      <c r="G792" t="s">
        <v>1375</v>
      </c>
      <c r="H792" t="s">
        <v>22</v>
      </c>
      <c r="I792" t="s">
        <v>1510</v>
      </c>
      <c r="J792" t="s">
        <v>1375</v>
      </c>
      <c r="K792" t="str">
        <f t="shared" si="108"/>
        <v>1208.11</v>
      </c>
      <c r="N792" t="str">
        <f t="shared" si="109"/>
        <v>HOLDING REGISTER</v>
      </c>
      <c r="O792" t="str">
        <f t="shared" si="110"/>
        <v>BOOL</v>
      </c>
      <c r="P792" t="str">
        <f t="shared" si="111"/>
        <v>disponibile SOS 9</v>
      </c>
      <c r="R792" t="str">
        <f t="shared" si="112"/>
        <v>disponibile</v>
      </c>
      <c r="U792" t="str">
        <f t="shared" si="113"/>
        <v>disponibile</v>
      </c>
      <c r="V792" t="str">
        <f t="shared" si="114"/>
        <v>SOS 9</v>
      </c>
      <c r="W792" t="str">
        <f t="shared" si="115"/>
        <v>GALLERIA SAN GIULIANO</v>
      </c>
      <c r="Z792" t="str">
        <f t="shared" si="116"/>
        <v>10.220.80.16</v>
      </c>
    </row>
    <row r="793" spans="1:26" x14ac:dyDescent="0.25">
      <c r="A793" t="s">
        <v>10</v>
      </c>
      <c r="B793" t="s">
        <v>1063</v>
      </c>
      <c r="C793" t="s">
        <v>2555</v>
      </c>
      <c r="D793" t="s">
        <v>1375</v>
      </c>
      <c r="E793" t="s">
        <v>2555</v>
      </c>
      <c r="F793" t="s">
        <v>14</v>
      </c>
      <c r="G793" t="s">
        <v>1375</v>
      </c>
      <c r="H793" t="s">
        <v>22</v>
      </c>
      <c r="I793" t="s">
        <v>1511</v>
      </c>
      <c r="J793" t="s">
        <v>1375</v>
      </c>
      <c r="K793" t="str">
        <f t="shared" si="108"/>
        <v>1208.12</v>
      </c>
      <c r="N793" t="str">
        <f t="shared" si="109"/>
        <v>HOLDING REGISTER</v>
      </c>
      <c r="O793" t="str">
        <f t="shared" si="110"/>
        <v>BOOL</v>
      </c>
      <c r="P793" t="str">
        <f t="shared" si="111"/>
        <v>disponibile SOS 9</v>
      </c>
      <c r="R793" t="str">
        <f t="shared" si="112"/>
        <v>disponibile</v>
      </c>
      <c r="U793" t="str">
        <f t="shared" si="113"/>
        <v>disponibile</v>
      </c>
      <c r="V793" t="str">
        <f t="shared" si="114"/>
        <v>SOS 9</v>
      </c>
      <c r="W793" t="str">
        <f t="shared" si="115"/>
        <v>GALLERIA SAN GIULIANO</v>
      </c>
      <c r="Z793" t="str">
        <f t="shared" si="116"/>
        <v>10.220.80.16</v>
      </c>
    </row>
    <row r="794" spans="1:26" x14ac:dyDescent="0.25">
      <c r="A794" t="s">
        <v>10</v>
      </c>
      <c r="B794" t="s">
        <v>1063</v>
      </c>
      <c r="C794" t="s">
        <v>2555</v>
      </c>
      <c r="D794" t="s">
        <v>12</v>
      </c>
      <c r="E794" t="s">
        <v>2555</v>
      </c>
      <c r="F794" t="s">
        <v>14</v>
      </c>
      <c r="G794" t="s">
        <v>28</v>
      </c>
      <c r="H794" t="s">
        <v>22</v>
      </c>
      <c r="I794" t="s">
        <v>1512</v>
      </c>
      <c r="J794" t="s">
        <v>1381</v>
      </c>
      <c r="K794" t="str">
        <f t="shared" si="108"/>
        <v>1208.13</v>
      </c>
      <c r="N794" t="str">
        <f t="shared" si="109"/>
        <v>HOLDING REGISTER</v>
      </c>
      <c r="O794" t="str">
        <f t="shared" si="110"/>
        <v>BOOL</v>
      </c>
      <c r="P794" t="str">
        <f t="shared" si="111"/>
        <v>PLC SOS 9</v>
      </c>
      <c r="R794" t="str">
        <f t="shared" si="112"/>
        <v>PLC IN STOP</v>
      </c>
      <c r="U794" t="str">
        <f t="shared" si="113"/>
        <v>Allarme</v>
      </c>
      <c r="V794" t="str">
        <f t="shared" si="114"/>
        <v>SOS 9</v>
      </c>
      <c r="W794" t="str">
        <f t="shared" si="115"/>
        <v>GALLERIA SAN GIULIANO</v>
      </c>
      <c r="Z794" t="str">
        <f t="shared" si="116"/>
        <v>10.220.80.16</v>
      </c>
    </row>
    <row r="795" spans="1:26" x14ac:dyDescent="0.25">
      <c r="A795" t="s">
        <v>10</v>
      </c>
      <c r="B795" t="s">
        <v>1063</v>
      </c>
      <c r="C795" t="s">
        <v>2555</v>
      </c>
      <c r="D795" t="s">
        <v>12</v>
      </c>
      <c r="E795" t="s">
        <v>2555</v>
      </c>
      <c r="F795" t="s">
        <v>14</v>
      </c>
      <c r="G795" t="s">
        <v>28</v>
      </c>
      <c r="H795" t="s">
        <v>22</v>
      </c>
      <c r="I795" t="s">
        <v>1513</v>
      </c>
      <c r="J795" t="s">
        <v>1383</v>
      </c>
      <c r="K795" t="str">
        <f t="shared" si="108"/>
        <v>1208.14</v>
      </c>
      <c r="N795" t="str">
        <f t="shared" si="109"/>
        <v>HOLDING REGISTER</v>
      </c>
      <c r="O795" t="str">
        <f t="shared" si="110"/>
        <v>BOOL</v>
      </c>
      <c r="P795" t="str">
        <f t="shared" si="111"/>
        <v>PLC SOS 9</v>
      </c>
      <c r="R795" t="str">
        <f t="shared" si="112"/>
        <v>FAULT COMUNICAZIONE ETHERNET</v>
      </c>
      <c r="U795" t="str">
        <f t="shared" si="113"/>
        <v>Allarme</v>
      </c>
      <c r="V795" t="str">
        <f t="shared" si="114"/>
        <v>SOS 9</v>
      </c>
      <c r="W795" t="str">
        <f t="shared" si="115"/>
        <v>GALLERIA SAN GIULIANO</v>
      </c>
      <c r="Z795" t="str">
        <f t="shared" si="116"/>
        <v>10.220.80.16</v>
      </c>
    </row>
    <row r="796" spans="1:26" x14ac:dyDescent="0.25">
      <c r="A796" t="s">
        <v>10</v>
      </c>
      <c r="B796" t="s">
        <v>1063</v>
      </c>
      <c r="C796" t="s">
        <v>2555</v>
      </c>
      <c r="D796" t="s">
        <v>1384</v>
      </c>
      <c r="E796" t="s">
        <v>2555</v>
      </c>
      <c r="F796" t="s">
        <v>14</v>
      </c>
      <c r="G796" t="s">
        <v>21</v>
      </c>
      <c r="H796" t="s">
        <v>22</v>
      </c>
      <c r="I796" t="s">
        <v>1514</v>
      </c>
      <c r="J796" t="s">
        <v>1386</v>
      </c>
      <c r="K796" t="str">
        <f t="shared" si="108"/>
        <v>1208.15</v>
      </c>
      <c r="N796" t="str">
        <f t="shared" si="109"/>
        <v>HOLDING REGISTER</v>
      </c>
      <c r="O796" t="str">
        <f t="shared" si="110"/>
        <v>BOOL</v>
      </c>
      <c r="P796" t="str">
        <f t="shared" si="111"/>
        <v xml:space="preserve">  SOS 9</v>
      </c>
      <c r="R796" t="str">
        <f t="shared" si="112"/>
        <v>FEEDBACK RESET DA RMT</v>
      </c>
      <c r="U796" t="str">
        <f t="shared" si="113"/>
        <v>Stato</v>
      </c>
      <c r="V796" t="str">
        <f t="shared" si="114"/>
        <v>SOS 9</v>
      </c>
      <c r="W796" t="str">
        <f t="shared" si="115"/>
        <v>GALLERIA SAN GIULIANO</v>
      </c>
      <c r="Z796" t="str">
        <f t="shared" si="116"/>
        <v>10.220.80.16</v>
      </c>
    </row>
    <row r="797" spans="1:26" x14ac:dyDescent="0.25">
      <c r="A797" t="s">
        <v>10</v>
      </c>
      <c r="B797" t="s">
        <v>1063</v>
      </c>
      <c r="C797" t="s">
        <v>2558</v>
      </c>
      <c r="D797" t="s">
        <v>1354</v>
      </c>
      <c r="E797" t="s">
        <v>2558</v>
      </c>
      <c r="F797" t="s">
        <v>14</v>
      </c>
      <c r="G797" t="s">
        <v>28</v>
      </c>
      <c r="H797" t="s">
        <v>22</v>
      </c>
      <c r="I797" t="s">
        <v>1515</v>
      </c>
      <c r="J797" t="s">
        <v>1356</v>
      </c>
      <c r="K797" t="str">
        <f t="shared" si="108"/>
        <v>1209.0</v>
      </c>
      <c r="N797" t="str">
        <f t="shared" si="109"/>
        <v>HOLDING REGISTER</v>
      </c>
      <c r="O797" t="str">
        <f t="shared" si="110"/>
        <v>BOOL</v>
      </c>
      <c r="P797" t="str">
        <f t="shared" si="111"/>
        <v>PULSANTE CHIAMATA SOS 10</v>
      </c>
      <c r="R797" t="str">
        <f t="shared" si="112"/>
        <v>CHIAMATA 118 EFFETTUATA</v>
      </c>
      <c r="U797" t="str">
        <f t="shared" si="113"/>
        <v>Allarme</v>
      </c>
      <c r="V797" t="str">
        <f t="shared" si="114"/>
        <v>SOS 10</v>
      </c>
      <c r="W797" t="str">
        <f t="shared" si="115"/>
        <v>GALLERIA SAN GIULIANO</v>
      </c>
      <c r="Z797" t="str">
        <f t="shared" si="116"/>
        <v>10.220.80.16</v>
      </c>
    </row>
    <row r="798" spans="1:26" x14ac:dyDescent="0.25">
      <c r="A798" t="s">
        <v>10</v>
      </c>
      <c r="B798" t="s">
        <v>1063</v>
      </c>
      <c r="C798" t="s">
        <v>2558</v>
      </c>
      <c r="D798" t="s">
        <v>1354</v>
      </c>
      <c r="E798" t="s">
        <v>2558</v>
      </c>
      <c r="F798" t="s">
        <v>14</v>
      </c>
      <c r="G798" t="s">
        <v>28</v>
      </c>
      <c r="H798" t="s">
        <v>22</v>
      </c>
      <c r="I798" t="s">
        <v>1516</v>
      </c>
      <c r="J798" t="s">
        <v>1358</v>
      </c>
      <c r="K798" t="str">
        <f t="shared" si="108"/>
        <v>1209.1</v>
      </c>
      <c r="N798" t="str">
        <f t="shared" si="109"/>
        <v>HOLDING REGISTER</v>
      </c>
      <c r="O798" t="str">
        <f t="shared" si="110"/>
        <v>BOOL</v>
      </c>
      <c r="P798" t="str">
        <f t="shared" si="111"/>
        <v>PULSANTE CHIAMATA SOS 10</v>
      </c>
      <c r="R798" t="str">
        <f t="shared" si="112"/>
        <v>CHIAMATA 113 EFFETTUATA</v>
      </c>
      <c r="U798" t="str">
        <f t="shared" si="113"/>
        <v>Allarme</v>
      </c>
      <c r="V798" t="str">
        <f t="shared" si="114"/>
        <v>SOS 10</v>
      </c>
      <c r="W798" t="str">
        <f t="shared" si="115"/>
        <v>GALLERIA SAN GIULIANO</v>
      </c>
      <c r="Z798" t="str">
        <f t="shared" si="116"/>
        <v>10.220.80.16</v>
      </c>
    </row>
    <row r="799" spans="1:26" x14ac:dyDescent="0.25">
      <c r="A799" t="s">
        <v>10</v>
      </c>
      <c r="B799" t="s">
        <v>1063</v>
      </c>
      <c r="C799" t="s">
        <v>2558</v>
      </c>
      <c r="D799" t="s">
        <v>1354</v>
      </c>
      <c r="E799" t="s">
        <v>2558</v>
      </c>
      <c r="F799" t="s">
        <v>14</v>
      </c>
      <c r="G799" t="s">
        <v>28</v>
      </c>
      <c r="H799" t="s">
        <v>22</v>
      </c>
      <c r="I799" t="s">
        <v>1517</v>
      </c>
      <c r="J799" t="s">
        <v>1360</v>
      </c>
      <c r="K799" t="str">
        <f t="shared" si="108"/>
        <v>1209.2</v>
      </c>
      <c r="N799" t="str">
        <f t="shared" si="109"/>
        <v>HOLDING REGISTER</v>
      </c>
      <c r="O799" t="str">
        <f t="shared" si="110"/>
        <v>BOOL</v>
      </c>
      <c r="P799" t="str">
        <f t="shared" si="111"/>
        <v>PULSANTE CHIAMATA SOS 10</v>
      </c>
      <c r="R799" t="str">
        <f t="shared" si="112"/>
        <v>CHIAMATA 115 EFFETTUATA</v>
      </c>
      <c r="U799" t="str">
        <f t="shared" si="113"/>
        <v>Allarme</v>
      </c>
      <c r="V799" t="str">
        <f t="shared" si="114"/>
        <v>SOS 10</v>
      </c>
      <c r="W799" t="str">
        <f t="shared" si="115"/>
        <v>GALLERIA SAN GIULIANO</v>
      </c>
      <c r="Z799" t="str">
        <f t="shared" si="116"/>
        <v>10.220.80.16</v>
      </c>
    </row>
    <row r="800" spans="1:26" x14ac:dyDescent="0.25">
      <c r="A800" t="s">
        <v>10</v>
      </c>
      <c r="B800" t="s">
        <v>1063</v>
      </c>
      <c r="C800" t="s">
        <v>2558</v>
      </c>
      <c r="D800" t="s">
        <v>1354</v>
      </c>
      <c r="E800" t="s">
        <v>2558</v>
      </c>
      <c r="F800" t="s">
        <v>14</v>
      </c>
      <c r="G800" t="s">
        <v>28</v>
      </c>
      <c r="H800" t="s">
        <v>22</v>
      </c>
      <c r="I800" t="s">
        <v>1518</v>
      </c>
      <c r="J800" t="s">
        <v>1362</v>
      </c>
      <c r="K800" t="str">
        <f t="shared" si="108"/>
        <v>1209.3</v>
      </c>
      <c r="N800" t="str">
        <f t="shared" si="109"/>
        <v>HOLDING REGISTER</v>
      </c>
      <c r="O800" t="str">
        <f t="shared" si="110"/>
        <v>BOOL</v>
      </c>
      <c r="P800" t="str">
        <f t="shared" si="111"/>
        <v>PULSANTE CHIAMATA SOS 10</v>
      </c>
      <c r="R800" t="str">
        <f t="shared" si="112"/>
        <v>CHIAMATA SALA CONTROLLO ANAS EFFETTUATA</v>
      </c>
      <c r="U800" t="str">
        <f t="shared" si="113"/>
        <v>Allarme</v>
      </c>
      <c r="V800" t="str">
        <f t="shared" si="114"/>
        <v>SOS 10</v>
      </c>
      <c r="W800" t="str">
        <f t="shared" si="115"/>
        <v>GALLERIA SAN GIULIANO</v>
      </c>
      <c r="Z800" t="str">
        <f t="shared" si="116"/>
        <v>10.220.80.16</v>
      </c>
    </row>
    <row r="801" spans="1:26" x14ac:dyDescent="0.25">
      <c r="A801" t="s">
        <v>10</v>
      </c>
      <c r="B801" t="s">
        <v>1063</v>
      </c>
      <c r="C801" t="s">
        <v>2558</v>
      </c>
      <c r="D801" t="s">
        <v>1363</v>
      </c>
      <c r="E801" t="s">
        <v>2558</v>
      </c>
      <c r="F801" t="s">
        <v>14</v>
      </c>
      <c r="G801" t="s">
        <v>28</v>
      </c>
      <c r="H801" t="s">
        <v>22</v>
      </c>
      <c r="I801" t="s">
        <v>1519</v>
      </c>
      <c r="J801" t="s">
        <v>1365</v>
      </c>
      <c r="K801" t="str">
        <f t="shared" si="108"/>
        <v>1209.4</v>
      </c>
      <c r="N801" t="str">
        <f t="shared" si="109"/>
        <v>HOLDING REGISTER</v>
      </c>
      <c r="O801" t="str">
        <f t="shared" si="110"/>
        <v>BOOL</v>
      </c>
      <c r="P801" t="str">
        <f t="shared" si="111"/>
        <v>ESTINTORE SOS 10</v>
      </c>
      <c r="R801" t="str">
        <f t="shared" si="112"/>
        <v>ESTINTORE PRELEVATO 1</v>
      </c>
      <c r="U801" t="str">
        <f t="shared" si="113"/>
        <v>Allarme</v>
      </c>
      <c r="V801" t="str">
        <f t="shared" si="114"/>
        <v>SOS 10</v>
      </c>
      <c r="W801" t="str">
        <f t="shared" si="115"/>
        <v>GALLERIA SAN GIULIANO</v>
      </c>
      <c r="Z801" t="str">
        <f t="shared" si="116"/>
        <v>10.220.80.16</v>
      </c>
    </row>
    <row r="802" spans="1:26" x14ac:dyDescent="0.25">
      <c r="A802" t="s">
        <v>10</v>
      </c>
      <c r="B802" t="s">
        <v>1063</v>
      </c>
      <c r="C802" t="s">
        <v>2558</v>
      </c>
      <c r="D802" t="s">
        <v>1363</v>
      </c>
      <c r="E802" t="s">
        <v>2558</v>
      </c>
      <c r="F802" t="s">
        <v>14</v>
      </c>
      <c r="G802" t="s">
        <v>28</v>
      </c>
      <c r="H802" t="s">
        <v>22</v>
      </c>
      <c r="I802" t="s">
        <v>1520</v>
      </c>
      <c r="J802" t="s">
        <v>1367</v>
      </c>
      <c r="K802" t="str">
        <f t="shared" si="108"/>
        <v>1209.5</v>
      </c>
      <c r="N802" t="str">
        <f t="shared" si="109"/>
        <v>HOLDING REGISTER</v>
      </c>
      <c r="O802" t="str">
        <f t="shared" si="110"/>
        <v>BOOL</v>
      </c>
      <c r="P802" t="str">
        <f t="shared" si="111"/>
        <v>ESTINTORE SOS 10</v>
      </c>
      <c r="R802" t="str">
        <f t="shared" si="112"/>
        <v>ESTINTORE PRELEVATO 2</v>
      </c>
      <c r="U802" t="str">
        <f t="shared" si="113"/>
        <v>Allarme</v>
      </c>
      <c r="V802" t="str">
        <f t="shared" si="114"/>
        <v>SOS 10</v>
      </c>
      <c r="W802" t="str">
        <f t="shared" si="115"/>
        <v>GALLERIA SAN GIULIANO</v>
      </c>
      <c r="Z802" t="str">
        <f t="shared" si="116"/>
        <v>10.220.80.16</v>
      </c>
    </row>
    <row r="803" spans="1:26" x14ac:dyDescent="0.25">
      <c r="A803" t="s">
        <v>10</v>
      </c>
      <c r="B803" t="s">
        <v>1063</v>
      </c>
      <c r="C803" t="s">
        <v>2558</v>
      </c>
      <c r="D803" t="s">
        <v>1368</v>
      </c>
      <c r="E803" t="s">
        <v>2558</v>
      </c>
      <c r="F803" t="s">
        <v>14</v>
      </c>
      <c r="G803" t="s">
        <v>28</v>
      </c>
      <c r="H803" t="s">
        <v>22</v>
      </c>
      <c r="I803" t="s">
        <v>1521</v>
      </c>
      <c r="J803" t="s">
        <v>1370</v>
      </c>
      <c r="K803" t="str">
        <f t="shared" si="108"/>
        <v>1209.6</v>
      </c>
      <c r="N803" t="str">
        <f t="shared" si="109"/>
        <v>HOLDING REGISTER</v>
      </c>
      <c r="O803" t="str">
        <f t="shared" si="110"/>
        <v>BOOL</v>
      </c>
      <c r="P803" t="str">
        <f t="shared" si="111"/>
        <v>PORTA SOS 10</v>
      </c>
      <c r="R803" t="str">
        <f t="shared" si="112"/>
        <v>MANICHETTA PRELEVATA</v>
      </c>
      <c r="U803" t="str">
        <f t="shared" si="113"/>
        <v>Allarme</v>
      </c>
      <c r="V803" t="str">
        <f t="shared" si="114"/>
        <v>SOS 10</v>
      </c>
      <c r="W803" t="str">
        <f t="shared" si="115"/>
        <v>GALLERIA SAN GIULIANO</v>
      </c>
      <c r="Z803" t="str">
        <f t="shared" si="116"/>
        <v>10.220.80.16</v>
      </c>
    </row>
    <row r="804" spans="1:26" x14ac:dyDescent="0.25">
      <c r="A804" t="s">
        <v>10</v>
      </c>
      <c r="B804" t="s">
        <v>1063</v>
      </c>
      <c r="C804" t="s">
        <v>2558</v>
      </c>
      <c r="D804" t="s">
        <v>1368</v>
      </c>
      <c r="E804" t="s">
        <v>2558</v>
      </c>
      <c r="F804" t="s">
        <v>14</v>
      </c>
      <c r="G804" t="s">
        <v>28</v>
      </c>
      <c r="H804" t="s">
        <v>22</v>
      </c>
      <c r="I804" t="s">
        <v>1522</v>
      </c>
      <c r="J804" t="s">
        <v>1372</v>
      </c>
      <c r="K804" t="str">
        <f t="shared" si="108"/>
        <v>1209.7</v>
      </c>
      <c r="N804" t="str">
        <f t="shared" si="109"/>
        <v>HOLDING REGISTER</v>
      </c>
      <c r="O804" t="str">
        <f t="shared" si="110"/>
        <v>BOOL</v>
      </c>
      <c r="P804" t="str">
        <f t="shared" si="111"/>
        <v>PORTA SOS 10</v>
      </c>
      <c r="R804" t="str">
        <f t="shared" si="112"/>
        <v>PORTA TELEFONO VOIP APERTA</v>
      </c>
      <c r="U804" t="str">
        <f t="shared" si="113"/>
        <v>Allarme</v>
      </c>
      <c r="V804" t="str">
        <f t="shared" si="114"/>
        <v>SOS 10</v>
      </c>
      <c r="W804" t="str">
        <f t="shared" si="115"/>
        <v>GALLERIA SAN GIULIANO</v>
      </c>
      <c r="Z804" t="str">
        <f t="shared" si="116"/>
        <v>10.220.80.16</v>
      </c>
    </row>
    <row r="805" spans="1:26" x14ac:dyDescent="0.25">
      <c r="A805" t="s">
        <v>10</v>
      </c>
      <c r="B805" t="s">
        <v>1063</v>
      </c>
      <c r="C805" t="s">
        <v>2558</v>
      </c>
      <c r="D805" t="s">
        <v>1368</v>
      </c>
      <c r="E805" t="s">
        <v>2558</v>
      </c>
      <c r="F805" t="s">
        <v>14</v>
      </c>
      <c r="G805" t="s">
        <v>28</v>
      </c>
      <c r="H805" t="s">
        <v>22</v>
      </c>
      <c r="I805" t="s">
        <v>1523</v>
      </c>
      <c r="J805" t="s">
        <v>1374</v>
      </c>
      <c r="K805" t="str">
        <f t="shared" si="108"/>
        <v>1209.8</v>
      </c>
      <c r="N805" t="str">
        <f t="shared" si="109"/>
        <v>HOLDING REGISTER</v>
      </c>
      <c r="O805" t="str">
        <f t="shared" si="110"/>
        <v>BOOL</v>
      </c>
      <c r="P805" t="str">
        <f t="shared" si="111"/>
        <v>PORTA SOS 10</v>
      </c>
      <c r="R805" t="str">
        <f t="shared" si="112"/>
        <v>PORTA VANO TECNICO APERTA</v>
      </c>
      <c r="U805" t="str">
        <f t="shared" si="113"/>
        <v>Allarme</v>
      </c>
      <c r="V805" t="str">
        <f t="shared" si="114"/>
        <v>SOS 10</v>
      </c>
      <c r="W805" t="str">
        <f t="shared" si="115"/>
        <v>GALLERIA SAN GIULIANO</v>
      </c>
      <c r="Z805" t="str">
        <f t="shared" si="116"/>
        <v>10.220.80.16</v>
      </c>
    </row>
    <row r="806" spans="1:26" x14ac:dyDescent="0.25">
      <c r="A806" t="s">
        <v>10</v>
      </c>
      <c r="B806" t="s">
        <v>1063</v>
      </c>
      <c r="C806" t="s">
        <v>2558</v>
      </c>
      <c r="D806" t="s">
        <v>1375</v>
      </c>
      <c r="E806" t="s">
        <v>2558</v>
      </c>
      <c r="F806" t="s">
        <v>14</v>
      </c>
      <c r="G806" t="s">
        <v>1375</v>
      </c>
      <c r="H806" t="s">
        <v>22</v>
      </c>
      <c r="I806" t="s">
        <v>1524</v>
      </c>
      <c r="J806" t="s">
        <v>1375</v>
      </c>
      <c r="K806" t="str">
        <f t="shared" si="108"/>
        <v>1209.9</v>
      </c>
      <c r="N806" t="str">
        <f t="shared" si="109"/>
        <v>HOLDING REGISTER</v>
      </c>
      <c r="O806" t="str">
        <f t="shared" si="110"/>
        <v>BOOL</v>
      </c>
      <c r="P806" t="str">
        <f t="shared" si="111"/>
        <v>disponibile SOS 10</v>
      </c>
      <c r="R806" t="str">
        <f t="shared" si="112"/>
        <v>disponibile</v>
      </c>
      <c r="U806" t="str">
        <f t="shared" si="113"/>
        <v>disponibile</v>
      </c>
      <c r="V806" t="str">
        <f t="shared" si="114"/>
        <v>SOS 10</v>
      </c>
      <c r="W806" t="str">
        <f t="shared" si="115"/>
        <v>GALLERIA SAN GIULIANO</v>
      </c>
      <c r="Z806" t="str">
        <f t="shared" si="116"/>
        <v>10.220.80.16</v>
      </c>
    </row>
    <row r="807" spans="1:26" x14ac:dyDescent="0.25">
      <c r="A807" t="s">
        <v>10</v>
      </c>
      <c r="B807" t="s">
        <v>1063</v>
      </c>
      <c r="C807" t="s">
        <v>2558</v>
      </c>
      <c r="D807" t="s">
        <v>1375</v>
      </c>
      <c r="E807" t="s">
        <v>2558</v>
      </c>
      <c r="F807" t="s">
        <v>14</v>
      </c>
      <c r="G807" t="s">
        <v>1375</v>
      </c>
      <c r="H807" t="s">
        <v>22</v>
      </c>
      <c r="I807" t="s">
        <v>1525</v>
      </c>
      <c r="J807" t="s">
        <v>1375</v>
      </c>
      <c r="K807" t="str">
        <f t="shared" si="108"/>
        <v>1209.10</v>
      </c>
      <c r="N807" t="str">
        <f t="shared" si="109"/>
        <v>HOLDING REGISTER</v>
      </c>
      <c r="O807" t="str">
        <f t="shared" si="110"/>
        <v>BOOL</v>
      </c>
      <c r="P807" t="str">
        <f t="shared" si="111"/>
        <v>disponibile SOS 10</v>
      </c>
      <c r="R807" t="str">
        <f t="shared" si="112"/>
        <v>disponibile</v>
      </c>
      <c r="U807" t="str">
        <f t="shared" si="113"/>
        <v>disponibile</v>
      </c>
      <c r="V807" t="str">
        <f t="shared" si="114"/>
        <v>SOS 10</v>
      </c>
      <c r="W807" t="str">
        <f t="shared" si="115"/>
        <v>GALLERIA SAN GIULIANO</v>
      </c>
      <c r="Z807" t="str">
        <f t="shared" si="116"/>
        <v>10.220.80.16</v>
      </c>
    </row>
    <row r="808" spans="1:26" x14ac:dyDescent="0.25">
      <c r="A808" t="s">
        <v>10</v>
      </c>
      <c r="B808" t="s">
        <v>1063</v>
      </c>
      <c r="C808" t="s">
        <v>2558</v>
      </c>
      <c r="D808" t="s">
        <v>1375</v>
      </c>
      <c r="E808" t="s">
        <v>2558</v>
      </c>
      <c r="F808" t="s">
        <v>14</v>
      </c>
      <c r="G808" t="s">
        <v>1375</v>
      </c>
      <c r="H808" t="s">
        <v>22</v>
      </c>
      <c r="I808" t="s">
        <v>1526</v>
      </c>
      <c r="J808" t="s">
        <v>1375</v>
      </c>
      <c r="K808" t="str">
        <f t="shared" si="108"/>
        <v>1209.11</v>
      </c>
      <c r="N808" t="str">
        <f t="shared" si="109"/>
        <v>HOLDING REGISTER</v>
      </c>
      <c r="O808" t="str">
        <f t="shared" si="110"/>
        <v>BOOL</v>
      </c>
      <c r="P808" t="str">
        <f t="shared" si="111"/>
        <v>disponibile SOS 10</v>
      </c>
      <c r="R808" t="str">
        <f t="shared" si="112"/>
        <v>disponibile</v>
      </c>
      <c r="U808" t="str">
        <f t="shared" si="113"/>
        <v>disponibile</v>
      </c>
      <c r="V808" t="str">
        <f t="shared" si="114"/>
        <v>SOS 10</v>
      </c>
      <c r="W808" t="str">
        <f t="shared" si="115"/>
        <v>GALLERIA SAN GIULIANO</v>
      </c>
      <c r="Z808" t="str">
        <f t="shared" si="116"/>
        <v>10.220.80.16</v>
      </c>
    </row>
    <row r="809" spans="1:26" x14ac:dyDescent="0.25">
      <c r="A809" t="s">
        <v>10</v>
      </c>
      <c r="B809" t="s">
        <v>1063</v>
      </c>
      <c r="C809" t="s">
        <v>2558</v>
      </c>
      <c r="D809" t="s">
        <v>1375</v>
      </c>
      <c r="E809" t="s">
        <v>2558</v>
      </c>
      <c r="F809" t="s">
        <v>14</v>
      </c>
      <c r="G809" t="s">
        <v>1375</v>
      </c>
      <c r="H809" t="s">
        <v>22</v>
      </c>
      <c r="I809" t="s">
        <v>1527</v>
      </c>
      <c r="J809" t="s">
        <v>1375</v>
      </c>
      <c r="K809" t="str">
        <f t="shared" si="108"/>
        <v>1209.12</v>
      </c>
      <c r="N809" t="str">
        <f t="shared" si="109"/>
        <v>HOLDING REGISTER</v>
      </c>
      <c r="O809" t="str">
        <f t="shared" si="110"/>
        <v>BOOL</v>
      </c>
      <c r="P809" t="str">
        <f t="shared" si="111"/>
        <v>disponibile SOS 10</v>
      </c>
      <c r="R809" t="str">
        <f t="shared" si="112"/>
        <v>disponibile</v>
      </c>
      <c r="U809" t="str">
        <f t="shared" si="113"/>
        <v>disponibile</v>
      </c>
      <c r="V809" t="str">
        <f t="shared" si="114"/>
        <v>SOS 10</v>
      </c>
      <c r="W809" t="str">
        <f t="shared" si="115"/>
        <v>GALLERIA SAN GIULIANO</v>
      </c>
      <c r="Z809" t="str">
        <f t="shared" si="116"/>
        <v>10.220.80.16</v>
      </c>
    </row>
    <row r="810" spans="1:26" x14ac:dyDescent="0.25">
      <c r="A810" t="s">
        <v>10</v>
      </c>
      <c r="B810" t="s">
        <v>1063</v>
      </c>
      <c r="C810" t="s">
        <v>2558</v>
      </c>
      <c r="D810" t="s">
        <v>12</v>
      </c>
      <c r="E810" t="s">
        <v>2558</v>
      </c>
      <c r="F810" t="s">
        <v>14</v>
      </c>
      <c r="G810" t="s">
        <v>28</v>
      </c>
      <c r="H810" t="s">
        <v>22</v>
      </c>
      <c r="I810" t="s">
        <v>1528</v>
      </c>
      <c r="J810" t="s">
        <v>1381</v>
      </c>
      <c r="K810" t="str">
        <f t="shared" si="108"/>
        <v>1209.13</v>
      </c>
      <c r="N810" t="str">
        <f t="shared" si="109"/>
        <v>HOLDING REGISTER</v>
      </c>
      <c r="O810" t="str">
        <f t="shared" si="110"/>
        <v>BOOL</v>
      </c>
      <c r="P810" t="str">
        <f t="shared" si="111"/>
        <v>PLC SOS 10</v>
      </c>
      <c r="R810" t="str">
        <f t="shared" si="112"/>
        <v>PLC IN STOP</v>
      </c>
      <c r="U810" t="str">
        <f t="shared" si="113"/>
        <v>Allarme</v>
      </c>
      <c r="V810" t="str">
        <f t="shared" si="114"/>
        <v>SOS 10</v>
      </c>
      <c r="W810" t="str">
        <f t="shared" si="115"/>
        <v>GALLERIA SAN GIULIANO</v>
      </c>
      <c r="Z810" t="str">
        <f t="shared" si="116"/>
        <v>10.220.80.16</v>
      </c>
    </row>
    <row r="811" spans="1:26" x14ac:dyDescent="0.25">
      <c r="A811" t="s">
        <v>10</v>
      </c>
      <c r="B811" t="s">
        <v>1063</v>
      </c>
      <c r="C811" t="s">
        <v>2558</v>
      </c>
      <c r="D811" t="s">
        <v>12</v>
      </c>
      <c r="E811" t="s">
        <v>2558</v>
      </c>
      <c r="F811" t="s">
        <v>14</v>
      </c>
      <c r="G811" t="s">
        <v>28</v>
      </c>
      <c r="H811" t="s">
        <v>22</v>
      </c>
      <c r="I811" t="s">
        <v>1529</v>
      </c>
      <c r="J811" t="s">
        <v>1383</v>
      </c>
      <c r="K811" t="str">
        <f t="shared" si="108"/>
        <v>1209.14</v>
      </c>
      <c r="N811" t="str">
        <f t="shared" si="109"/>
        <v>HOLDING REGISTER</v>
      </c>
      <c r="O811" t="str">
        <f t="shared" si="110"/>
        <v>BOOL</v>
      </c>
      <c r="P811" t="str">
        <f t="shared" si="111"/>
        <v>PLC SOS 10</v>
      </c>
      <c r="R811" t="str">
        <f t="shared" si="112"/>
        <v>FAULT COMUNICAZIONE ETHERNET</v>
      </c>
      <c r="U811" t="str">
        <f t="shared" si="113"/>
        <v>Allarme</v>
      </c>
      <c r="V811" t="str">
        <f t="shared" si="114"/>
        <v>SOS 10</v>
      </c>
      <c r="W811" t="str">
        <f t="shared" si="115"/>
        <v>GALLERIA SAN GIULIANO</v>
      </c>
      <c r="Z811" t="str">
        <f t="shared" si="116"/>
        <v>10.220.80.16</v>
      </c>
    </row>
    <row r="812" spans="1:26" x14ac:dyDescent="0.25">
      <c r="A812" t="s">
        <v>10</v>
      </c>
      <c r="B812" t="s">
        <v>1063</v>
      </c>
      <c r="C812" t="s">
        <v>2558</v>
      </c>
      <c r="D812" t="s">
        <v>1384</v>
      </c>
      <c r="E812" t="s">
        <v>2558</v>
      </c>
      <c r="F812" t="s">
        <v>14</v>
      </c>
      <c r="G812" t="s">
        <v>21</v>
      </c>
      <c r="H812" t="s">
        <v>22</v>
      </c>
      <c r="I812" t="s">
        <v>1530</v>
      </c>
      <c r="J812" t="s">
        <v>1386</v>
      </c>
      <c r="K812" t="str">
        <f t="shared" si="108"/>
        <v>1209.15</v>
      </c>
      <c r="N812" t="str">
        <f t="shared" si="109"/>
        <v>HOLDING REGISTER</v>
      </c>
      <c r="O812" t="str">
        <f t="shared" si="110"/>
        <v>BOOL</v>
      </c>
      <c r="P812" t="str">
        <f t="shared" si="111"/>
        <v xml:space="preserve">  SOS 10</v>
      </c>
      <c r="R812" t="str">
        <f t="shared" si="112"/>
        <v>FEEDBACK RESET DA RMT</v>
      </c>
      <c r="U812" t="str">
        <f t="shared" si="113"/>
        <v>Stato</v>
      </c>
      <c r="V812" t="str">
        <f t="shared" si="114"/>
        <v>SOS 10</v>
      </c>
      <c r="W812" t="str">
        <f t="shared" si="115"/>
        <v>GALLERIA SAN GIULIANO</v>
      </c>
      <c r="Z812" t="str">
        <f t="shared" si="116"/>
        <v>10.220.80.16</v>
      </c>
    </row>
    <row r="813" spans="1:26" x14ac:dyDescent="0.25">
      <c r="A813" t="s">
        <v>10</v>
      </c>
      <c r="B813" t="s">
        <v>1063</v>
      </c>
      <c r="C813" t="s">
        <v>2561</v>
      </c>
      <c r="D813" t="s">
        <v>1354</v>
      </c>
      <c r="E813" t="s">
        <v>2561</v>
      </c>
      <c r="F813" t="s">
        <v>14</v>
      </c>
      <c r="G813" t="s">
        <v>28</v>
      </c>
      <c r="H813" t="s">
        <v>22</v>
      </c>
      <c r="I813" t="s">
        <v>1531</v>
      </c>
      <c r="J813" t="s">
        <v>1356</v>
      </c>
      <c r="K813" t="str">
        <f t="shared" si="108"/>
        <v>1210.0</v>
      </c>
      <c r="N813" t="str">
        <f t="shared" si="109"/>
        <v>HOLDING REGISTER</v>
      </c>
      <c r="O813" t="str">
        <f t="shared" si="110"/>
        <v>BOOL</v>
      </c>
      <c r="P813" t="str">
        <f t="shared" si="111"/>
        <v>PULSANTE CHIAMATA SOS 11</v>
      </c>
      <c r="R813" t="str">
        <f t="shared" si="112"/>
        <v>CHIAMATA 118 EFFETTUATA</v>
      </c>
      <c r="U813" t="str">
        <f t="shared" si="113"/>
        <v>Allarme</v>
      </c>
      <c r="V813" t="str">
        <f t="shared" si="114"/>
        <v>SOS 11</v>
      </c>
      <c r="W813" t="str">
        <f t="shared" si="115"/>
        <v>GALLERIA SAN GIULIANO</v>
      </c>
      <c r="Z813" t="str">
        <f t="shared" si="116"/>
        <v>10.220.80.16</v>
      </c>
    </row>
    <row r="814" spans="1:26" x14ac:dyDescent="0.25">
      <c r="A814" t="s">
        <v>10</v>
      </c>
      <c r="B814" t="s">
        <v>1063</v>
      </c>
      <c r="C814" t="s">
        <v>2561</v>
      </c>
      <c r="D814" t="s">
        <v>1354</v>
      </c>
      <c r="E814" t="s">
        <v>2561</v>
      </c>
      <c r="F814" t="s">
        <v>14</v>
      </c>
      <c r="G814" t="s">
        <v>28</v>
      </c>
      <c r="H814" t="s">
        <v>22</v>
      </c>
      <c r="I814" t="s">
        <v>1532</v>
      </c>
      <c r="J814" t="s">
        <v>1358</v>
      </c>
      <c r="K814" t="str">
        <f t="shared" si="108"/>
        <v>1210.1</v>
      </c>
      <c r="N814" t="str">
        <f t="shared" si="109"/>
        <v>HOLDING REGISTER</v>
      </c>
      <c r="O814" t="str">
        <f t="shared" si="110"/>
        <v>BOOL</v>
      </c>
      <c r="P814" t="str">
        <f t="shared" si="111"/>
        <v>PULSANTE CHIAMATA SOS 11</v>
      </c>
      <c r="R814" t="str">
        <f t="shared" si="112"/>
        <v>CHIAMATA 113 EFFETTUATA</v>
      </c>
      <c r="U814" t="str">
        <f t="shared" si="113"/>
        <v>Allarme</v>
      </c>
      <c r="V814" t="str">
        <f t="shared" si="114"/>
        <v>SOS 11</v>
      </c>
      <c r="W814" t="str">
        <f t="shared" si="115"/>
        <v>GALLERIA SAN GIULIANO</v>
      </c>
      <c r="Z814" t="str">
        <f t="shared" si="116"/>
        <v>10.220.80.16</v>
      </c>
    </row>
    <row r="815" spans="1:26" x14ac:dyDescent="0.25">
      <c r="A815" t="s">
        <v>10</v>
      </c>
      <c r="B815" t="s">
        <v>1063</v>
      </c>
      <c r="C815" t="s">
        <v>2561</v>
      </c>
      <c r="D815" t="s">
        <v>1354</v>
      </c>
      <c r="E815" t="s">
        <v>2561</v>
      </c>
      <c r="F815" t="s">
        <v>14</v>
      </c>
      <c r="G815" t="s">
        <v>28</v>
      </c>
      <c r="H815" t="s">
        <v>22</v>
      </c>
      <c r="I815" t="s">
        <v>1533</v>
      </c>
      <c r="J815" t="s">
        <v>1360</v>
      </c>
      <c r="K815" t="str">
        <f t="shared" si="108"/>
        <v>1210.2</v>
      </c>
      <c r="N815" t="str">
        <f t="shared" si="109"/>
        <v>HOLDING REGISTER</v>
      </c>
      <c r="O815" t="str">
        <f t="shared" si="110"/>
        <v>BOOL</v>
      </c>
      <c r="P815" t="str">
        <f t="shared" si="111"/>
        <v>PULSANTE CHIAMATA SOS 11</v>
      </c>
      <c r="R815" t="str">
        <f t="shared" si="112"/>
        <v>CHIAMATA 115 EFFETTUATA</v>
      </c>
      <c r="U815" t="str">
        <f t="shared" si="113"/>
        <v>Allarme</v>
      </c>
      <c r="V815" t="str">
        <f t="shared" si="114"/>
        <v>SOS 11</v>
      </c>
      <c r="W815" t="str">
        <f t="shared" si="115"/>
        <v>GALLERIA SAN GIULIANO</v>
      </c>
      <c r="Z815" t="str">
        <f t="shared" si="116"/>
        <v>10.220.80.16</v>
      </c>
    </row>
    <row r="816" spans="1:26" x14ac:dyDescent="0.25">
      <c r="A816" t="s">
        <v>10</v>
      </c>
      <c r="B816" t="s">
        <v>1063</v>
      </c>
      <c r="C816" t="s">
        <v>2561</v>
      </c>
      <c r="D816" t="s">
        <v>1354</v>
      </c>
      <c r="E816" t="s">
        <v>2561</v>
      </c>
      <c r="F816" t="s">
        <v>14</v>
      </c>
      <c r="G816" t="s">
        <v>28</v>
      </c>
      <c r="H816" t="s">
        <v>22</v>
      </c>
      <c r="I816" t="s">
        <v>1534</v>
      </c>
      <c r="J816" t="s">
        <v>1362</v>
      </c>
      <c r="K816" t="str">
        <f t="shared" si="108"/>
        <v>1210.3</v>
      </c>
      <c r="N816" t="str">
        <f t="shared" si="109"/>
        <v>HOLDING REGISTER</v>
      </c>
      <c r="O816" t="str">
        <f t="shared" si="110"/>
        <v>BOOL</v>
      </c>
      <c r="P816" t="str">
        <f t="shared" si="111"/>
        <v>PULSANTE CHIAMATA SOS 11</v>
      </c>
      <c r="R816" t="str">
        <f t="shared" si="112"/>
        <v>CHIAMATA SALA CONTROLLO ANAS EFFETTUATA</v>
      </c>
      <c r="U816" t="str">
        <f t="shared" si="113"/>
        <v>Allarme</v>
      </c>
      <c r="V816" t="str">
        <f t="shared" si="114"/>
        <v>SOS 11</v>
      </c>
      <c r="W816" t="str">
        <f t="shared" si="115"/>
        <v>GALLERIA SAN GIULIANO</v>
      </c>
      <c r="Z816" t="str">
        <f t="shared" si="116"/>
        <v>10.220.80.16</v>
      </c>
    </row>
    <row r="817" spans="1:26" x14ac:dyDescent="0.25">
      <c r="A817" t="s">
        <v>10</v>
      </c>
      <c r="B817" t="s">
        <v>1063</v>
      </c>
      <c r="C817" t="s">
        <v>2561</v>
      </c>
      <c r="D817" t="s">
        <v>1363</v>
      </c>
      <c r="E817" t="s">
        <v>2561</v>
      </c>
      <c r="F817" t="s">
        <v>14</v>
      </c>
      <c r="G817" t="s">
        <v>28</v>
      </c>
      <c r="H817" t="s">
        <v>22</v>
      </c>
      <c r="I817" t="s">
        <v>1535</v>
      </c>
      <c r="J817" t="s">
        <v>1365</v>
      </c>
      <c r="K817" t="str">
        <f t="shared" si="108"/>
        <v>1210.4</v>
      </c>
      <c r="N817" t="str">
        <f t="shared" si="109"/>
        <v>HOLDING REGISTER</v>
      </c>
      <c r="O817" t="str">
        <f t="shared" si="110"/>
        <v>BOOL</v>
      </c>
      <c r="P817" t="str">
        <f t="shared" si="111"/>
        <v>ESTINTORE SOS 11</v>
      </c>
      <c r="R817" t="str">
        <f t="shared" si="112"/>
        <v>ESTINTORE PRELEVATO 1</v>
      </c>
      <c r="U817" t="str">
        <f t="shared" si="113"/>
        <v>Allarme</v>
      </c>
      <c r="V817" t="str">
        <f t="shared" si="114"/>
        <v>SOS 11</v>
      </c>
      <c r="W817" t="str">
        <f t="shared" si="115"/>
        <v>GALLERIA SAN GIULIANO</v>
      </c>
      <c r="Z817" t="str">
        <f t="shared" si="116"/>
        <v>10.220.80.16</v>
      </c>
    </row>
    <row r="818" spans="1:26" x14ac:dyDescent="0.25">
      <c r="A818" t="s">
        <v>10</v>
      </c>
      <c r="B818" t="s">
        <v>1063</v>
      </c>
      <c r="C818" t="s">
        <v>2561</v>
      </c>
      <c r="D818" t="s">
        <v>1363</v>
      </c>
      <c r="E818" t="s">
        <v>2561</v>
      </c>
      <c r="F818" t="s">
        <v>14</v>
      </c>
      <c r="G818" t="s">
        <v>28</v>
      </c>
      <c r="H818" t="s">
        <v>22</v>
      </c>
      <c r="I818" t="s">
        <v>1536</v>
      </c>
      <c r="J818" t="s">
        <v>1367</v>
      </c>
      <c r="K818" t="str">
        <f t="shared" si="108"/>
        <v>1210.5</v>
      </c>
      <c r="N818" t="str">
        <f t="shared" si="109"/>
        <v>HOLDING REGISTER</v>
      </c>
      <c r="O818" t="str">
        <f t="shared" si="110"/>
        <v>BOOL</v>
      </c>
      <c r="P818" t="str">
        <f t="shared" si="111"/>
        <v>ESTINTORE SOS 11</v>
      </c>
      <c r="R818" t="str">
        <f t="shared" si="112"/>
        <v>ESTINTORE PRELEVATO 2</v>
      </c>
      <c r="U818" t="str">
        <f t="shared" si="113"/>
        <v>Allarme</v>
      </c>
      <c r="V818" t="str">
        <f t="shared" si="114"/>
        <v>SOS 11</v>
      </c>
      <c r="W818" t="str">
        <f t="shared" si="115"/>
        <v>GALLERIA SAN GIULIANO</v>
      </c>
      <c r="Z818" t="str">
        <f t="shared" si="116"/>
        <v>10.220.80.16</v>
      </c>
    </row>
    <row r="819" spans="1:26" x14ac:dyDescent="0.25">
      <c r="A819" t="s">
        <v>10</v>
      </c>
      <c r="B819" t="s">
        <v>1063</v>
      </c>
      <c r="C819" t="s">
        <v>2561</v>
      </c>
      <c r="D819" t="s">
        <v>1368</v>
      </c>
      <c r="E819" t="s">
        <v>2561</v>
      </c>
      <c r="F819" t="s">
        <v>14</v>
      </c>
      <c r="G819" t="s">
        <v>28</v>
      </c>
      <c r="H819" t="s">
        <v>22</v>
      </c>
      <c r="I819" t="s">
        <v>1537</v>
      </c>
      <c r="J819" t="s">
        <v>1370</v>
      </c>
      <c r="K819" t="str">
        <f t="shared" si="108"/>
        <v>1210.6</v>
      </c>
      <c r="N819" t="str">
        <f t="shared" si="109"/>
        <v>HOLDING REGISTER</v>
      </c>
      <c r="O819" t="str">
        <f t="shared" si="110"/>
        <v>BOOL</v>
      </c>
      <c r="P819" t="str">
        <f t="shared" si="111"/>
        <v>PORTA SOS 11</v>
      </c>
      <c r="R819" t="str">
        <f t="shared" si="112"/>
        <v>MANICHETTA PRELEVATA</v>
      </c>
      <c r="U819" t="str">
        <f t="shared" si="113"/>
        <v>Allarme</v>
      </c>
      <c r="V819" t="str">
        <f t="shared" si="114"/>
        <v>SOS 11</v>
      </c>
      <c r="W819" t="str">
        <f t="shared" si="115"/>
        <v>GALLERIA SAN GIULIANO</v>
      </c>
      <c r="Z819" t="str">
        <f t="shared" si="116"/>
        <v>10.220.80.16</v>
      </c>
    </row>
    <row r="820" spans="1:26" x14ac:dyDescent="0.25">
      <c r="A820" t="s">
        <v>10</v>
      </c>
      <c r="B820" t="s">
        <v>1063</v>
      </c>
      <c r="C820" t="s">
        <v>2561</v>
      </c>
      <c r="D820" t="s">
        <v>1368</v>
      </c>
      <c r="E820" t="s">
        <v>2561</v>
      </c>
      <c r="F820" t="s">
        <v>14</v>
      </c>
      <c r="G820" t="s">
        <v>28</v>
      </c>
      <c r="H820" t="s">
        <v>22</v>
      </c>
      <c r="I820" t="s">
        <v>1538</v>
      </c>
      <c r="J820" t="s">
        <v>1372</v>
      </c>
      <c r="K820" t="str">
        <f t="shared" si="108"/>
        <v>1210.7</v>
      </c>
      <c r="N820" t="str">
        <f t="shared" si="109"/>
        <v>HOLDING REGISTER</v>
      </c>
      <c r="O820" t="str">
        <f t="shared" si="110"/>
        <v>BOOL</v>
      </c>
      <c r="P820" t="str">
        <f t="shared" si="111"/>
        <v>PORTA SOS 11</v>
      </c>
      <c r="R820" t="str">
        <f t="shared" si="112"/>
        <v>PORTA TELEFONO VOIP APERTA</v>
      </c>
      <c r="U820" t="str">
        <f t="shared" si="113"/>
        <v>Allarme</v>
      </c>
      <c r="V820" t="str">
        <f t="shared" si="114"/>
        <v>SOS 11</v>
      </c>
      <c r="W820" t="str">
        <f t="shared" si="115"/>
        <v>GALLERIA SAN GIULIANO</v>
      </c>
      <c r="Z820" t="str">
        <f t="shared" si="116"/>
        <v>10.220.80.16</v>
      </c>
    </row>
    <row r="821" spans="1:26" x14ac:dyDescent="0.25">
      <c r="A821" t="s">
        <v>10</v>
      </c>
      <c r="B821" t="s">
        <v>1063</v>
      </c>
      <c r="C821" t="s">
        <v>2561</v>
      </c>
      <c r="D821" t="s">
        <v>1368</v>
      </c>
      <c r="E821" t="s">
        <v>2561</v>
      </c>
      <c r="F821" t="s">
        <v>14</v>
      </c>
      <c r="G821" t="s">
        <v>28</v>
      </c>
      <c r="H821" t="s">
        <v>22</v>
      </c>
      <c r="I821" t="s">
        <v>1539</v>
      </c>
      <c r="J821" t="s">
        <v>1374</v>
      </c>
      <c r="K821" t="str">
        <f t="shared" si="108"/>
        <v>1210.8</v>
      </c>
      <c r="N821" t="str">
        <f t="shared" si="109"/>
        <v>HOLDING REGISTER</v>
      </c>
      <c r="O821" t="str">
        <f t="shared" si="110"/>
        <v>BOOL</v>
      </c>
      <c r="P821" t="str">
        <f t="shared" si="111"/>
        <v>PORTA SOS 11</v>
      </c>
      <c r="R821" t="str">
        <f t="shared" si="112"/>
        <v>PORTA VANO TECNICO APERTA</v>
      </c>
      <c r="U821" t="str">
        <f t="shared" si="113"/>
        <v>Allarme</v>
      </c>
      <c r="V821" t="str">
        <f t="shared" si="114"/>
        <v>SOS 11</v>
      </c>
      <c r="W821" t="str">
        <f t="shared" si="115"/>
        <v>GALLERIA SAN GIULIANO</v>
      </c>
      <c r="Z821" t="str">
        <f t="shared" si="116"/>
        <v>10.220.80.16</v>
      </c>
    </row>
    <row r="822" spans="1:26" x14ac:dyDescent="0.25">
      <c r="A822" t="s">
        <v>10</v>
      </c>
      <c r="B822" t="s">
        <v>1063</v>
      </c>
      <c r="C822" t="s">
        <v>2561</v>
      </c>
      <c r="D822" t="s">
        <v>1375</v>
      </c>
      <c r="E822" t="s">
        <v>2561</v>
      </c>
      <c r="F822" t="s">
        <v>14</v>
      </c>
      <c r="G822" t="s">
        <v>1375</v>
      </c>
      <c r="H822" t="s">
        <v>22</v>
      </c>
      <c r="I822" t="s">
        <v>1540</v>
      </c>
      <c r="J822" t="s">
        <v>1375</v>
      </c>
      <c r="K822" t="str">
        <f t="shared" si="108"/>
        <v>1210.9</v>
      </c>
      <c r="N822" t="str">
        <f t="shared" si="109"/>
        <v>HOLDING REGISTER</v>
      </c>
      <c r="O822" t="str">
        <f t="shared" si="110"/>
        <v>BOOL</v>
      </c>
      <c r="P822" t="str">
        <f t="shared" si="111"/>
        <v>disponibile SOS 11</v>
      </c>
      <c r="R822" t="str">
        <f t="shared" si="112"/>
        <v>disponibile</v>
      </c>
      <c r="U822" t="str">
        <f t="shared" si="113"/>
        <v>disponibile</v>
      </c>
      <c r="V822" t="str">
        <f t="shared" si="114"/>
        <v>SOS 11</v>
      </c>
      <c r="W822" t="str">
        <f t="shared" si="115"/>
        <v>GALLERIA SAN GIULIANO</v>
      </c>
      <c r="Z822" t="str">
        <f t="shared" si="116"/>
        <v>10.220.80.16</v>
      </c>
    </row>
    <row r="823" spans="1:26" x14ac:dyDescent="0.25">
      <c r="A823" t="s">
        <v>10</v>
      </c>
      <c r="B823" t="s">
        <v>1063</v>
      </c>
      <c r="C823" t="s">
        <v>2561</v>
      </c>
      <c r="D823" t="s">
        <v>1375</v>
      </c>
      <c r="E823" t="s">
        <v>2561</v>
      </c>
      <c r="F823" t="s">
        <v>14</v>
      </c>
      <c r="G823" t="s">
        <v>1375</v>
      </c>
      <c r="H823" t="s">
        <v>22</v>
      </c>
      <c r="I823" t="s">
        <v>1541</v>
      </c>
      <c r="J823" t="s">
        <v>1375</v>
      </c>
      <c r="K823" t="str">
        <f t="shared" si="108"/>
        <v>1210.10</v>
      </c>
      <c r="N823" t="str">
        <f t="shared" si="109"/>
        <v>HOLDING REGISTER</v>
      </c>
      <c r="O823" t="str">
        <f t="shared" si="110"/>
        <v>BOOL</v>
      </c>
      <c r="P823" t="str">
        <f t="shared" si="111"/>
        <v>disponibile SOS 11</v>
      </c>
      <c r="R823" t="str">
        <f t="shared" si="112"/>
        <v>disponibile</v>
      </c>
      <c r="U823" t="str">
        <f t="shared" si="113"/>
        <v>disponibile</v>
      </c>
      <c r="V823" t="str">
        <f t="shared" si="114"/>
        <v>SOS 11</v>
      </c>
      <c r="W823" t="str">
        <f t="shared" si="115"/>
        <v>GALLERIA SAN GIULIANO</v>
      </c>
      <c r="Z823" t="str">
        <f t="shared" si="116"/>
        <v>10.220.80.16</v>
      </c>
    </row>
    <row r="824" spans="1:26" x14ac:dyDescent="0.25">
      <c r="A824" t="s">
        <v>10</v>
      </c>
      <c r="B824" t="s">
        <v>1063</v>
      </c>
      <c r="C824" t="s">
        <v>2561</v>
      </c>
      <c r="D824" t="s">
        <v>1375</v>
      </c>
      <c r="E824" t="s">
        <v>2561</v>
      </c>
      <c r="F824" t="s">
        <v>14</v>
      </c>
      <c r="G824" t="s">
        <v>1375</v>
      </c>
      <c r="H824" t="s">
        <v>22</v>
      </c>
      <c r="I824" t="s">
        <v>1542</v>
      </c>
      <c r="J824" t="s">
        <v>1375</v>
      </c>
      <c r="K824" t="str">
        <f t="shared" si="108"/>
        <v>1210.11</v>
      </c>
      <c r="N824" t="str">
        <f t="shared" si="109"/>
        <v>HOLDING REGISTER</v>
      </c>
      <c r="O824" t="str">
        <f t="shared" si="110"/>
        <v>BOOL</v>
      </c>
      <c r="P824" t="str">
        <f t="shared" si="111"/>
        <v>disponibile SOS 11</v>
      </c>
      <c r="R824" t="str">
        <f t="shared" si="112"/>
        <v>disponibile</v>
      </c>
      <c r="U824" t="str">
        <f t="shared" si="113"/>
        <v>disponibile</v>
      </c>
      <c r="V824" t="str">
        <f t="shared" si="114"/>
        <v>SOS 11</v>
      </c>
      <c r="W824" t="str">
        <f t="shared" si="115"/>
        <v>GALLERIA SAN GIULIANO</v>
      </c>
      <c r="Z824" t="str">
        <f t="shared" si="116"/>
        <v>10.220.80.16</v>
      </c>
    </row>
    <row r="825" spans="1:26" x14ac:dyDescent="0.25">
      <c r="A825" t="s">
        <v>10</v>
      </c>
      <c r="B825" t="s">
        <v>1063</v>
      </c>
      <c r="C825" t="s">
        <v>2561</v>
      </c>
      <c r="D825" t="s">
        <v>1375</v>
      </c>
      <c r="E825" t="s">
        <v>2561</v>
      </c>
      <c r="F825" t="s">
        <v>14</v>
      </c>
      <c r="G825" t="s">
        <v>1375</v>
      </c>
      <c r="H825" t="s">
        <v>22</v>
      </c>
      <c r="I825" t="s">
        <v>1543</v>
      </c>
      <c r="J825" t="s">
        <v>1375</v>
      </c>
      <c r="K825" t="str">
        <f t="shared" si="108"/>
        <v>1210.12</v>
      </c>
      <c r="N825" t="str">
        <f t="shared" si="109"/>
        <v>HOLDING REGISTER</v>
      </c>
      <c r="O825" t="str">
        <f t="shared" si="110"/>
        <v>BOOL</v>
      </c>
      <c r="P825" t="str">
        <f t="shared" si="111"/>
        <v>disponibile SOS 11</v>
      </c>
      <c r="R825" t="str">
        <f t="shared" si="112"/>
        <v>disponibile</v>
      </c>
      <c r="U825" t="str">
        <f t="shared" si="113"/>
        <v>disponibile</v>
      </c>
      <c r="V825" t="str">
        <f t="shared" si="114"/>
        <v>SOS 11</v>
      </c>
      <c r="W825" t="str">
        <f t="shared" si="115"/>
        <v>GALLERIA SAN GIULIANO</v>
      </c>
      <c r="Z825" t="str">
        <f t="shared" si="116"/>
        <v>10.220.80.16</v>
      </c>
    </row>
    <row r="826" spans="1:26" x14ac:dyDescent="0.25">
      <c r="A826" t="s">
        <v>10</v>
      </c>
      <c r="B826" t="s">
        <v>1063</v>
      </c>
      <c r="C826" t="s">
        <v>2561</v>
      </c>
      <c r="D826" t="s">
        <v>12</v>
      </c>
      <c r="E826" t="s">
        <v>2561</v>
      </c>
      <c r="F826" t="s">
        <v>14</v>
      </c>
      <c r="G826" t="s">
        <v>28</v>
      </c>
      <c r="H826" t="s">
        <v>22</v>
      </c>
      <c r="I826" t="s">
        <v>1544</v>
      </c>
      <c r="J826" t="s">
        <v>1381</v>
      </c>
      <c r="K826" t="str">
        <f t="shared" si="108"/>
        <v>1210.13</v>
      </c>
      <c r="N826" t="str">
        <f t="shared" si="109"/>
        <v>HOLDING REGISTER</v>
      </c>
      <c r="O826" t="str">
        <f t="shared" si="110"/>
        <v>BOOL</v>
      </c>
      <c r="P826" t="str">
        <f t="shared" si="111"/>
        <v>PLC SOS 11</v>
      </c>
      <c r="R826" t="str">
        <f t="shared" si="112"/>
        <v>PLC IN STOP</v>
      </c>
      <c r="U826" t="str">
        <f t="shared" si="113"/>
        <v>Allarme</v>
      </c>
      <c r="V826" t="str">
        <f t="shared" si="114"/>
        <v>SOS 11</v>
      </c>
      <c r="W826" t="str">
        <f t="shared" si="115"/>
        <v>GALLERIA SAN GIULIANO</v>
      </c>
      <c r="Z826" t="str">
        <f t="shared" si="116"/>
        <v>10.220.80.16</v>
      </c>
    </row>
    <row r="827" spans="1:26" x14ac:dyDescent="0.25">
      <c r="A827" t="s">
        <v>10</v>
      </c>
      <c r="B827" t="s">
        <v>1063</v>
      </c>
      <c r="C827" t="s">
        <v>2561</v>
      </c>
      <c r="D827" t="s">
        <v>12</v>
      </c>
      <c r="E827" t="s">
        <v>2561</v>
      </c>
      <c r="F827" t="s">
        <v>14</v>
      </c>
      <c r="G827" t="s">
        <v>28</v>
      </c>
      <c r="H827" t="s">
        <v>22</v>
      </c>
      <c r="I827" t="s">
        <v>1545</v>
      </c>
      <c r="J827" t="s">
        <v>1383</v>
      </c>
      <c r="K827" t="str">
        <f t="shared" si="108"/>
        <v>1210.14</v>
      </c>
      <c r="N827" t="str">
        <f t="shared" si="109"/>
        <v>HOLDING REGISTER</v>
      </c>
      <c r="O827" t="str">
        <f t="shared" si="110"/>
        <v>BOOL</v>
      </c>
      <c r="P827" t="str">
        <f t="shared" si="111"/>
        <v>PLC SOS 11</v>
      </c>
      <c r="R827" t="str">
        <f t="shared" si="112"/>
        <v>FAULT COMUNICAZIONE ETHERNET</v>
      </c>
      <c r="U827" t="str">
        <f t="shared" si="113"/>
        <v>Allarme</v>
      </c>
      <c r="V827" t="str">
        <f t="shared" si="114"/>
        <v>SOS 11</v>
      </c>
      <c r="W827" t="str">
        <f t="shared" si="115"/>
        <v>GALLERIA SAN GIULIANO</v>
      </c>
      <c r="Z827" t="str">
        <f t="shared" si="116"/>
        <v>10.220.80.16</v>
      </c>
    </row>
    <row r="828" spans="1:26" x14ac:dyDescent="0.25">
      <c r="A828" t="s">
        <v>10</v>
      </c>
      <c r="B828" t="s">
        <v>1063</v>
      </c>
      <c r="C828" t="s">
        <v>2561</v>
      </c>
      <c r="D828" t="s">
        <v>1384</v>
      </c>
      <c r="E828" t="s">
        <v>2561</v>
      </c>
      <c r="F828" t="s">
        <v>14</v>
      </c>
      <c r="G828" t="s">
        <v>21</v>
      </c>
      <c r="H828" t="s">
        <v>22</v>
      </c>
      <c r="I828" t="s">
        <v>1546</v>
      </c>
      <c r="J828" t="s">
        <v>1386</v>
      </c>
      <c r="K828" t="str">
        <f t="shared" si="108"/>
        <v>1210.15</v>
      </c>
      <c r="N828" t="str">
        <f t="shared" si="109"/>
        <v>HOLDING REGISTER</v>
      </c>
      <c r="O828" t="str">
        <f t="shared" si="110"/>
        <v>BOOL</v>
      </c>
      <c r="P828" t="str">
        <f t="shared" si="111"/>
        <v xml:space="preserve">  SOS 11</v>
      </c>
      <c r="R828" t="str">
        <f t="shared" si="112"/>
        <v>FEEDBACK RESET DA RMT</v>
      </c>
      <c r="U828" t="str">
        <f t="shared" si="113"/>
        <v>Stato</v>
      </c>
      <c r="V828" t="str">
        <f t="shared" si="114"/>
        <v>SOS 11</v>
      </c>
      <c r="W828" t="str">
        <f t="shared" si="115"/>
        <v>GALLERIA SAN GIULIANO</v>
      </c>
      <c r="Z828" t="str">
        <f t="shared" si="116"/>
        <v>10.220.80.16</v>
      </c>
    </row>
    <row r="829" spans="1:26" x14ac:dyDescent="0.25">
      <c r="A829" t="s">
        <v>10</v>
      </c>
      <c r="B829" t="s">
        <v>1063</v>
      </c>
      <c r="C829" t="s">
        <v>2564</v>
      </c>
      <c r="D829" t="s">
        <v>1354</v>
      </c>
      <c r="E829" t="s">
        <v>2564</v>
      </c>
      <c r="F829" t="s">
        <v>14</v>
      </c>
      <c r="G829" t="s">
        <v>28</v>
      </c>
      <c r="H829" t="s">
        <v>22</v>
      </c>
      <c r="I829" t="s">
        <v>1547</v>
      </c>
      <c r="J829" t="s">
        <v>1356</v>
      </c>
      <c r="K829" t="str">
        <f t="shared" si="108"/>
        <v>1211.0</v>
      </c>
      <c r="N829" t="str">
        <f t="shared" si="109"/>
        <v>HOLDING REGISTER</v>
      </c>
      <c r="O829" t="str">
        <f t="shared" si="110"/>
        <v>BOOL</v>
      </c>
      <c r="P829" t="str">
        <f t="shared" si="111"/>
        <v>PULSANTE CHIAMATA SOS 12</v>
      </c>
      <c r="R829" t="str">
        <f t="shared" si="112"/>
        <v>CHIAMATA 118 EFFETTUATA</v>
      </c>
      <c r="U829" t="str">
        <f t="shared" si="113"/>
        <v>Allarme</v>
      </c>
      <c r="V829" t="str">
        <f t="shared" si="114"/>
        <v>SOS 12</v>
      </c>
      <c r="W829" t="str">
        <f t="shared" si="115"/>
        <v>GALLERIA SAN GIULIANO</v>
      </c>
      <c r="Z829" t="str">
        <f t="shared" si="116"/>
        <v>10.220.80.16</v>
      </c>
    </row>
    <row r="830" spans="1:26" x14ac:dyDescent="0.25">
      <c r="A830" t="s">
        <v>10</v>
      </c>
      <c r="B830" t="s">
        <v>1063</v>
      </c>
      <c r="C830" t="s">
        <v>2564</v>
      </c>
      <c r="D830" t="s">
        <v>1354</v>
      </c>
      <c r="E830" t="s">
        <v>2564</v>
      </c>
      <c r="F830" t="s">
        <v>14</v>
      </c>
      <c r="G830" t="s">
        <v>28</v>
      </c>
      <c r="H830" t="s">
        <v>22</v>
      </c>
      <c r="I830" t="s">
        <v>1548</v>
      </c>
      <c r="J830" t="s">
        <v>1358</v>
      </c>
      <c r="K830" t="str">
        <f t="shared" si="108"/>
        <v>1211.1</v>
      </c>
      <c r="N830" t="str">
        <f t="shared" si="109"/>
        <v>HOLDING REGISTER</v>
      </c>
      <c r="O830" t="str">
        <f t="shared" si="110"/>
        <v>BOOL</v>
      </c>
      <c r="P830" t="str">
        <f t="shared" si="111"/>
        <v>PULSANTE CHIAMATA SOS 12</v>
      </c>
      <c r="R830" t="str">
        <f t="shared" si="112"/>
        <v>CHIAMATA 113 EFFETTUATA</v>
      </c>
      <c r="U830" t="str">
        <f t="shared" si="113"/>
        <v>Allarme</v>
      </c>
      <c r="V830" t="str">
        <f t="shared" si="114"/>
        <v>SOS 12</v>
      </c>
      <c r="W830" t="str">
        <f t="shared" si="115"/>
        <v>GALLERIA SAN GIULIANO</v>
      </c>
      <c r="Z830" t="str">
        <f t="shared" si="116"/>
        <v>10.220.80.16</v>
      </c>
    </row>
    <row r="831" spans="1:26" x14ac:dyDescent="0.25">
      <c r="A831" t="s">
        <v>10</v>
      </c>
      <c r="B831" t="s">
        <v>1063</v>
      </c>
      <c r="C831" t="s">
        <v>2564</v>
      </c>
      <c r="D831" t="s">
        <v>1354</v>
      </c>
      <c r="E831" t="s">
        <v>2564</v>
      </c>
      <c r="F831" t="s">
        <v>14</v>
      </c>
      <c r="G831" t="s">
        <v>28</v>
      </c>
      <c r="H831" t="s">
        <v>22</v>
      </c>
      <c r="I831" t="s">
        <v>1549</v>
      </c>
      <c r="J831" t="s">
        <v>1360</v>
      </c>
      <c r="K831" t="str">
        <f t="shared" si="108"/>
        <v>1211.2</v>
      </c>
      <c r="N831" t="str">
        <f t="shared" si="109"/>
        <v>HOLDING REGISTER</v>
      </c>
      <c r="O831" t="str">
        <f t="shared" si="110"/>
        <v>BOOL</v>
      </c>
      <c r="P831" t="str">
        <f t="shared" si="111"/>
        <v>PULSANTE CHIAMATA SOS 12</v>
      </c>
      <c r="R831" t="str">
        <f t="shared" si="112"/>
        <v>CHIAMATA 115 EFFETTUATA</v>
      </c>
      <c r="U831" t="str">
        <f t="shared" si="113"/>
        <v>Allarme</v>
      </c>
      <c r="V831" t="str">
        <f t="shared" si="114"/>
        <v>SOS 12</v>
      </c>
      <c r="W831" t="str">
        <f t="shared" si="115"/>
        <v>GALLERIA SAN GIULIANO</v>
      </c>
      <c r="Z831" t="str">
        <f t="shared" si="116"/>
        <v>10.220.80.16</v>
      </c>
    </row>
    <row r="832" spans="1:26" x14ac:dyDescent="0.25">
      <c r="A832" t="s">
        <v>10</v>
      </c>
      <c r="B832" t="s">
        <v>1063</v>
      </c>
      <c r="C832" t="s">
        <v>2564</v>
      </c>
      <c r="D832" t="s">
        <v>1354</v>
      </c>
      <c r="E832" t="s">
        <v>2564</v>
      </c>
      <c r="F832" t="s">
        <v>14</v>
      </c>
      <c r="G832" t="s">
        <v>28</v>
      </c>
      <c r="H832" t="s">
        <v>22</v>
      </c>
      <c r="I832" t="s">
        <v>1550</v>
      </c>
      <c r="J832" t="s">
        <v>1362</v>
      </c>
      <c r="K832" t="str">
        <f t="shared" si="108"/>
        <v>1211.3</v>
      </c>
      <c r="N832" t="str">
        <f t="shared" si="109"/>
        <v>HOLDING REGISTER</v>
      </c>
      <c r="O832" t="str">
        <f t="shared" si="110"/>
        <v>BOOL</v>
      </c>
      <c r="P832" t="str">
        <f t="shared" si="111"/>
        <v>PULSANTE CHIAMATA SOS 12</v>
      </c>
      <c r="R832" t="str">
        <f t="shared" si="112"/>
        <v>CHIAMATA SALA CONTROLLO ANAS EFFETTUATA</v>
      </c>
      <c r="U832" t="str">
        <f t="shared" si="113"/>
        <v>Allarme</v>
      </c>
      <c r="V832" t="str">
        <f t="shared" si="114"/>
        <v>SOS 12</v>
      </c>
      <c r="W832" t="str">
        <f t="shared" si="115"/>
        <v>GALLERIA SAN GIULIANO</v>
      </c>
      <c r="Z832" t="str">
        <f t="shared" si="116"/>
        <v>10.220.80.16</v>
      </c>
    </row>
    <row r="833" spans="1:26" x14ac:dyDescent="0.25">
      <c r="A833" t="s">
        <v>10</v>
      </c>
      <c r="B833" t="s">
        <v>1063</v>
      </c>
      <c r="C833" t="s">
        <v>2564</v>
      </c>
      <c r="D833" t="s">
        <v>1363</v>
      </c>
      <c r="E833" t="s">
        <v>2564</v>
      </c>
      <c r="F833" t="s">
        <v>14</v>
      </c>
      <c r="G833" t="s">
        <v>28</v>
      </c>
      <c r="H833" t="s">
        <v>22</v>
      </c>
      <c r="I833" t="s">
        <v>1551</v>
      </c>
      <c r="J833" t="s">
        <v>1365</v>
      </c>
      <c r="K833" t="str">
        <f t="shared" si="108"/>
        <v>1211.4</v>
      </c>
      <c r="N833" t="str">
        <f t="shared" si="109"/>
        <v>HOLDING REGISTER</v>
      </c>
      <c r="O833" t="str">
        <f t="shared" si="110"/>
        <v>BOOL</v>
      </c>
      <c r="P833" t="str">
        <f t="shared" si="111"/>
        <v>ESTINTORE SOS 12</v>
      </c>
      <c r="R833" t="str">
        <f t="shared" si="112"/>
        <v>ESTINTORE PRELEVATO 1</v>
      </c>
      <c r="U833" t="str">
        <f t="shared" si="113"/>
        <v>Allarme</v>
      </c>
      <c r="V833" t="str">
        <f t="shared" si="114"/>
        <v>SOS 12</v>
      </c>
      <c r="W833" t="str">
        <f t="shared" si="115"/>
        <v>GALLERIA SAN GIULIANO</v>
      </c>
      <c r="Z833" t="str">
        <f t="shared" si="116"/>
        <v>10.220.80.16</v>
      </c>
    </row>
    <row r="834" spans="1:26" x14ac:dyDescent="0.25">
      <c r="A834" t="s">
        <v>10</v>
      </c>
      <c r="B834" t="s">
        <v>1063</v>
      </c>
      <c r="C834" t="s">
        <v>2564</v>
      </c>
      <c r="D834" t="s">
        <v>1363</v>
      </c>
      <c r="E834" t="s">
        <v>2564</v>
      </c>
      <c r="F834" t="s">
        <v>14</v>
      </c>
      <c r="G834" t="s">
        <v>28</v>
      </c>
      <c r="H834" t="s">
        <v>22</v>
      </c>
      <c r="I834" t="s">
        <v>1552</v>
      </c>
      <c r="J834" t="s">
        <v>1367</v>
      </c>
      <c r="K834" t="str">
        <f t="shared" si="108"/>
        <v>1211.5</v>
      </c>
      <c r="N834" t="str">
        <f t="shared" si="109"/>
        <v>HOLDING REGISTER</v>
      </c>
      <c r="O834" t="str">
        <f t="shared" si="110"/>
        <v>BOOL</v>
      </c>
      <c r="P834" t="str">
        <f t="shared" si="111"/>
        <v>ESTINTORE SOS 12</v>
      </c>
      <c r="R834" t="str">
        <f t="shared" si="112"/>
        <v>ESTINTORE PRELEVATO 2</v>
      </c>
      <c r="U834" t="str">
        <f t="shared" si="113"/>
        <v>Allarme</v>
      </c>
      <c r="V834" t="str">
        <f t="shared" si="114"/>
        <v>SOS 12</v>
      </c>
      <c r="W834" t="str">
        <f t="shared" si="115"/>
        <v>GALLERIA SAN GIULIANO</v>
      </c>
      <c r="Z834" t="str">
        <f t="shared" si="116"/>
        <v>10.220.80.16</v>
      </c>
    </row>
    <row r="835" spans="1:26" x14ac:dyDescent="0.25">
      <c r="A835" t="s">
        <v>10</v>
      </c>
      <c r="B835" t="s">
        <v>1063</v>
      </c>
      <c r="C835" t="s">
        <v>2564</v>
      </c>
      <c r="D835" t="s">
        <v>1368</v>
      </c>
      <c r="E835" t="s">
        <v>2564</v>
      </c>
      <c r="F835" t="s">
        <v>14</v>
      </c>
      <c r="G835" t="s">
        <v>28</v>
      </c>
      <c r="H835" t="s">
        <v>22</v>
      </c>
      <c r="I835" t="s">
        <v>1553</v>
      </c>
      <c r="J835" t="s">
        <v>1370</v>
      </c>
      <c r="K835" t="str">
        <f t="shared" ref="K835:K898" si="117">IF(I835="","",I835)</f>
        <v>1211.6</v>
      </c>
      <c r="N835" t="str">
        <f t="shared" ref="N835:N898" si="118">IF(F835="","",F835)</f>
        <v>HOLDING REGISTER</v>
      </c>
      <c r="O835" t="str">
        <f t="shared" ref="O835:O898" si="119">IF(H835="","",H835)</f>
        <v>BOOL</v>
      </c>
      <c r="P835" t="str">
        <f t="shared" ref="P835:P898" si="120">_xlfn.CONCAT(D835," ",E835)</f>
        <v>PORTA SOS 12</v>
      </c>
      <c r="R835" t="str">
        <f t="shared" ref="R835:R898" si="121">IF(J835="","",J835)</f>
        <v>MANICHETTA PRELEVATA</v>
      </c>
      <c r="U835" t="str">
        <f t="shared" ref="U835:U898" si="122">IF(G835="","",G835)</f>
        <v>Allarme</v>
      </c>
      <c r="V835" t="str">
        <f t="shared" ref="V835:V898" si="123">IF(C835="","",C835)</f>
        <v>SOS 12</v>
      </c>
      <c r="W835" t="str">
        <f t="shared" ref="W835:W898" si="124">IF(B835="","",B835)</f>
        <v>GALLERIA SAN GIULIANO</v>
      </c>
      <c r="Z835" t="str">
        <f t="shared" ref="Z835:Z898" si="125">IF(A835="","",A835)</f>
        <v>10.220.80.16</v>
      </c>
    </row>
    <row r="836" spans="1:26" x14ac:dyDescent="0.25">
      <c r="A836" t="s">
        <v>10</v>
      </c>
      <c r="B836" t="s">
        <v>1063</v>
      </c>
      <c r="C836" t="s">
        <v>2564</v>
      </c>
      <c r="D836" t="s">
        <v>1368</v>
      </c>
      <c r="E836" t="s">
        <v>2564</v>
      </c>
      <c r="F836" t="s">
        <v>14</v>
      </c>
      <c r="G836" t="s">
        <v>28</v>
      </c>
      <c r="H836" t="s">
        <v>22</v>
      </c>
      <c r="I836" t="s">
        <v>1554</v>
      </c>
      <c r="J836" t="s">
        <v>1372</v>
      </c>
      <c r="K836" t="str">
        <f t="shared" si="117"/>
        <v>1211.7</v>
      </c>
      <c r="N836" t="str">
        <f t="shared" si="118"/>
        <v>HOLDING REGISTER</v>
      </c>
      <c r="O836" t="str">
        <f t="shared" si="119"/>
        <v>BOOL</v>
      </c>
      <c r="P836" t="str">
        <f t="shared" si="120"/>
        <v>PORTA SOS 12</v>
      </c>
      <c r="R836" t="str">
        <f t="shared" si="121"/>
        <v>PORTA TELEFONO VOIP APERTA</v>
      </c>
      <c r="U836" t="str">
        <f t="shared" si="122"/>
        <v>Allarme</v>
      </c>
      <c r="V836" t="str">
        <f t="shared" si="123"/>
        <v>SOS 12</v>
      </c>
      <c r="W836" t="str">
        <f t="shared" si="124"/>
        <v>GALLERIA SAN GIULIANO</v>
      </c>
      <c r="Z836" t="str">
        <f t="shared" si="125"/>
        <v>10.220.80.16</v>
      </c>
    </row>
    <row r="837" spans="1:26" x14ac:dyDescent="0.25">
      <c r="A837" t="s">
        <v>10</v>
      </c>
      <c r="B837" t="s">
        <v>1063</v>
      </c>
      <c r="C837" t="s">
        <v>2564</v>
      </c>
      <c r="D837" t="s">
        <v>1368</v>
      </c>
      <c r="E837" t="s">
        <v>2564</v>
      </c>
      <c r="F837" t="s">
        <v>14</v>
      </c>
      <c r="G837" t="s">
        <v>28</v>
      </c>
      <c r="H837" t="s">
        <v>22</v>
      </c>
      <c r="I837" t="s">
        <v>1555</v>
      </c>
      <c r="J837" t="s">
        <v>1374</v>
      </c>
      <c r="K837" t="str">
        <f t="shared" si="117"/>
        <v>1211.8</v>
      </c>
      <c r="N837" t="str">
        <f t="shared" si="118"/>
        <v>HOLDING REGISTER</v>
      </c>
      <c r="O837" t="str">
        <f t="shared" si="119"/>
        <v>BOOL</v>
      </c>
      <c r="P837" t="str">
        <f t="shared" si="120"/>
        <v>PORTA SOS 12</v>
      </c>
      <c r="R837" t="str">
        <f t="shared" si="121"/>
        <v>PORTA VANO TECNICO APERTA</v>
      </c>
      <c r="U837" t="str">
        <f t="shared" si="122"/>
        <v>Allarme</v>
      </c>
      <c r="V837" t="str">
        <f t="shared" si="123"/>
        <v>SOS 12</v>
      </c>
      <c r="W837" t="str">
        <f t="shared" si="124"/>
        <v>GALLERIA SAN GIULIANO</v>
      </c>
      <c r="Z837" t="str">
        <f t="shared" si="125"/>
        <v>10.220.80.16</v>
      </c>
    </row>
    <row r="838" spans="1:26" x14ac:dyDescent="0.25">
      <c r="A838" t="s">
        <v>10</v>
      </c>
      <c r="B838" t="s">
        <v>1063</v>
      </c>
      <c r="C838" t="s">
        <v>2564</v>
      </c>
      <c r="D838" t="s">
        <v>1375</v>
      </c>
      <c r="E838" t="s">
        <v>2564</v>
      </c>
      <c r="F838" t="s">
        <v>14</v>
      </c>
      <c r="G838" t="s">
        <v>1375</v>
      </c>
      <c r="H838" t="s">
        <v>22</v>
      </c>
      <c r="I838" t="s">
        <v>1556</v>
      </c>
      <c r="J838" t="s">
        <v>1375</v>
      </c>
      <c r="K838" t="str">
        <f t="shared" si="117"/>
        <v>1211.9</v>
      </c>
      <c r="N838" t="str">
        <f t="shared" si="118"/>
        <v>HOLDING REGISTER</v>
      </c>
      <c r="O838" t="str">
        <f t="shared" si="119"/>
        <v>BOOL</v>
      </c>
      <c r="P838" t="str">
        <f t="shared" si="120"/>
        <v>disponibile SOS 12</v>
      </c>
      <c r="R838" t="str">
        <f t="shared" si="121"/>
        <v>disponibile</v>
      </c>
      <c r="U838" t="str">
        <f t="shared" si="122"/>
        <v>disponibile</v>
      </c>
      <c r="V838" t="str">
        <f t="shared" si="123"/>
        <v>SOS 12</v>
      </c>
      <c r="W838" t="str">
        <f t="shared" si="124"/>
        <v>GALLERIA SAN GIULIANO</v>
      </c>
      <c r="Z838" t="str">
        <f t="shared" si="125"/>
        <v>10.220.80.16</v>
      </c>
    </row>
    <row r="839" spans="1:26" x14ac:dyDescent="0.25">
      <c r="A839" t="s">
        <v>10</v>
      </c>
      <c r="B839" t="s">
        <v>1063</v>
      </c>
      <c r="C839" t="s">
        <v>2564</v>
      </c>
      <c r="D839" t="s">
        <v>1375</v>
      </c>
      <c r="E839" t="s">
        <v>2564</v>
      </c>
      <c r="F839" t="s">
        <v>14</v>
      </c>
      <c r="G839" t="s">
        <v>1375</v>
      </c>
      <c r="H839" t="s">
        <v>22</v>
      </c>
      <c r="I839" t="s">
        <v>1557</v>
      </c>
      <c r="J839" t="s">
        <v>1375</v>
      </c>
      <c r="K839" t="str">
        <f t="shared" si="117"/>
        <v>1211.10</v>
      </c>
      <c r="N839" t="str">
        <f t="shared" si="118"/>
        <v>HOLDING REGISTER</v>
      </c>
      <c r="O839" t="str">
        <f t="shared" si="119"/>
        <v>BOOL</v>
      </c>
      <c r="P839" t="str">
        <f t="shared" si="120"/>
        <v>disponibile SOS 12</v>
      </c>
      <c r="R839" t="str">
        <f t="shared" si="121"/>
        <v>disponibile</v>
      </c>
      <c r="U839" t="str">
        <f t="shared" si="122"/>
        <v>disponibile</v>
      </c>
      <c r="V839" t="str">
        <f t="shared" si="123"/>
        <v>SOS 12</v>
      </c>
      <c r="W839" t="str">
        <f t="shared" si="124"/>
        <v>GALLERIA SAN GIULIANO</v>
      </c>
      <c r="Z839" t="str">
        <f t="shared" si="125"/>
        <v>10.220.80.16</v>
      </c>
    </row>
    <row r="840" spans="1:26" x14ac:dyDescent="0.25">
      <c r="A840" t="s">
        <v>10</v>
      </c>
      <c r="B840" t="s">
        <v>1063</v>
      </c>
      <c r="C840" t="s">
        <v>2564</v>
      </c>
      <c r="D840" t="s">
        <v>1375</v>
      </c>
      <c r="E840" t="s">
        <v>2564</v>
      </c>
      <c r="F840" t="s">
        <v>14</v>
      </c>
      <c r="G840" t="s">
        <v>1375</v>
      </c>
      <c r="H840" t="s">
        <v>22</v>
      </c>
      <c r="I840" t="s">
        <v>1558</v>
      </c>
      <c r="J840" t="s">
        <v>1375</v>
      </c>
      <c r="K840" t="str">
        <f t="shared" si="117"/>
        <v>1211.11</v>
      </c>
      <c r="N840" t="str">
        <f t="shared" si="118"/>
        <v>HOLDING REGISTER</v>
      </c>
      <c r="O840" t="str">
        <f t="shared" si="119"/>
        <v>BOOL</v>
      </c>
      <c r="P840" t="str">
        <f t="shared" si="120"/>
        <v>disponibile SOS 12</v>
      </c>
      <c r="R840" t="str">
        <f t="shared" si="121"/>
        <v>disponibile</v>
      </c>
      <c r="U840" t="str">
        <f t="shared" si="122"/>
        <v>disponibile</v>
      </c>
      <c r="V840" t="str">
        <f t="shared" si="123"/>
        <v>SOS 12</v>
      </c>
      <c r="W840" t="str">
        <f t="shared" si="124"/>
        <v>GALLERIA SAN GIULIANO</v>
      </c>
      <c r="Z840" t="str">
        <f t="shared" si="125"/>
        <v>10.220.80.16</v>
      </c>
    </row>
    <row r="841" spans="1:26" x14ac:dyDescent="0.25">
      <c r="A841" t="s">
        <v>10</v>
      </c>
      <c r="B841" t="s">
        <v>1063</v>
      </c>
      <c r="C841" t="s">
        <v>2564</v>
      </c>
      <c r="D841" t="s">
        <v>1375</v>
      </c>
      <c r="E841" t="s">
        <v>2564</v>
      </c>
      <c r="F841" t="s">
        <v>14</v>
      </c>
      <c r="G841" t="s">
        <v>1375</v>
      </c>
      <c r="H841" t="s">
        <v>22</v>
      </c>
      <c r="I841" t="s">
        <v>1559</v>
      </c>
      <c r="J841" t="s">
        <v>1375</v>
      </c>
      <c r="K841" t="str">
        <f t="shared" si="117"/>
        <v>1211.12</v>
      </c>
      <c r="N841" t="str">
        <f t="shared" si="118"/>
        <v>HOLDING REGISTER</v>
      </c>
      <c r="O841" t="str">
        <f t="shared" si="119"/>
        <v>BOOL</v>
      </c>
      <c r="P841" t="str">
        <f t="shared" si="120"/>
        <v>disponibile SOS 12</v>
      </c>
      <c r="R841" t="str">
        <f t="shared" si="121"/>
        <v>disponibile</v>
      </c>
      <c r="U841" t="str">
        <f t="shared" si="122"/>
        <v>disponibile</v>
      </c>
      <c r="V841" t="str">
        <f t="shared" si="123"/>
        <v>SOS 12</v>
      </c>
      <c r="W841" t="str">
        <f t="shared" si="124"/>
        <v>GALLERIA SAN GIULIANO</v>
      </c>
      <c r="Z841" t="str">
        <f t="shared" si="125"/>
        <v>10.220.80.16</v>
      </c>
    </row>
    <row r="842" spans="1:26" x14ac:dyDescent="0.25">
      <c r="A842" t="s">
        <v>10</v>
      </c>
      <c r="B842" t="s">
        <v>1063</v>
      </c>
      <c r="C842" t="s">
        <v>2564</v>
      </c>
      <c r="D842" t="s">
        <v>12</v>
      </c>
      <c r="E842" t="s">
        <v>2564</v>
      </c>
      <c r="F842" t="s">
        <v>14</v>
      </c>
      <c r="G842" t="s">
        <v>28</v>
      </c>
      <c r="H842" t="s">
        <v>22</v>
      </c>
      <c r="I842" t="s">
        <v>1560</v>
      </c>
      <c r="J842" t="s">
        <v>1381</v>
      </c>
      <c r="K842" t="str">
        <f t="shared" si="117"/>
        <v>1211.13</v>
      </c>
      <c r="N842" t="str">
        <f t="shared" si="118"/>
        <v>HOLDING REGISTER</v>
      </c>
      <c r="O842" t="str">
        <f t="shared" si="119"/>
        <v>BOOL</v>
      </c>
      <c r="P842" t="str">
        <f t="shared" si="120"/>
        <v>PLC SOS 12</v>
      </c>
      <c r="R842" t="str">
        <f t="shared" si="121"/>
        <v>PLC IN STOP</v>
      </c>
      <c r="U842" t="str">
        <f t="shared" si="122"/>
        <v>Allarme</v>
      </c>
      <c r="V842" t="str">
        <f t="shared" si="123"/>
        <v>SOS 12</v>
      </c>
      <c r="W842" t="str">
        <f t="shared" si="124"/>
        <v>GALLERIA SAN GIULIANO</v>
      </c>
      <c r="Z842" t="str">
        <f t="shared" si="125"/>
        <v>10.220.80.16</v>
      </c>
    </row>
    <row r="843" spans="1:26" x14ac:dyDescent="0.25">
      <c r="A843" t="s">
        <v>10</v>
      </c>
      <c r="B843" t="s">
        <v>1063</v>
      </c>
      <c r="C843" t="s">
        <v>2564</v>
      </c>
      <c r="D843" t="s">
        <v>12</v>
      </c>
      <c r="E843" t="s">
        <v>2564</v>
      </c>
      <c r="F843" t="s">
        <v>14</v>
      </c>
      <c r="G843" t="s">
        <v>28</v>
      </c>
      <c r="H843" t="s">
        <v>22</v>
      </c>
      <c r="I843" t="s">
        <v>1561</v>
      </c>
      <c r="J843" t="s">
        <v>1383</v>
      </c>
      <c r="K843" t="str">
        <f t="shared" si="117"/>
        <v>1211.14</v>
      </c>
      <c r="N843" t="str">
        <f t="shared" si="118"/>
        <v>HOLDING REGISTER</v>
      </c>
      <c r="O843" t="str">
        <f t="shared" si="119"/>
        <v>BOOL</v>
      </c>
      <c r="P843" t="str">
        <f t="shared" si="120"/>
        <v>PLC SOS 12</v>
      </c>
      <c r="R843" t="str">
        <f t="shared" si="121"/>
        <v>FAULT COMUNICAZIONE ETHERNET</v>
      </c>
      <c r="U843" t="str">
        <f t="shared" si="122"/>
        <v>Allarme</v>
      </c>
      <c r="V843" t="str">
        <f t="shared" si="123"/>
        <v>SOS 12</v>
      </c>
      <c r="W843" t="str">
        <f t="shared" si="124"/>
        <v>GALLERIA SAN GIULIANO</v>
      </c>
      <c r="Z843" t="str">
        <f t="shared" si="125"/>
        <v>10.220.80.16</v>
      </c>
    </row>
    <row r="844" spans="1:26" x14ac:dyDescent="0.25">
      <c r="A844" t="s">
        <v>10</v>
      </c>
      <c r="B844" t="s">
        <v>1063</v>
      </c>
      <c r="C844" t="s">
        <v>2564</v>
      </c>
      <c r="D844" t="s">
        <v>1384</v>
      </c>
      <c r="E844" t="s">
        <v>2564</v>
      </c>
      <c r="F844" t="s">
        <v>14</v>
      </c>
      <c r="G844" t="s">
        <v>21</v>
      </c>
      <c r="H844" t="s">
        <v>22</v>
      </c>
      <c r="I844" t="s">
        <v>1562</v>
      </c>
      <c r="J844" t="s">
        <v>1386</v>
      </c>
      <c r="K844" t="str">
        <f t="shared" si="117"/>
        <v>1211.15</v>
      </c>
      <c r="N844" t="str">
        <f t="shared" si="118"/>
        <v>HOLDING REGISTER</v>
      </c>
      <c r="O844" t="str">
        <f t="shared" si="119"/>
        <v>BOOL</v>
      </c>
      <c r="P844" t="str">
        <f t="shared" si="120"/>
        <v xml:space="preserve">  SOS 12</v>
      </c>
      <c r="R844" t="str">
        <f t="shared" si="121"/>
        <v>FEEDBACK RESET DA RMT</v>
      </c>
      <c r="U844" t="str">
        <f t="shared" si="122"/>
        <v>Stato</v>
      </c>
      <c r="V844" t="str">
        <f t="shared" si="123"/>
        <v>SOS 12</v>
      </c>
      <c r="W844" t="str">
        <f t="shared" si="124"/>
        <v>GALLERIA SAN GIULIANO</v>
      </c>
      <c r="Z844" t="str">
        <f t="shared" si="125"/>
        <v>10.220.80.16</v>
      </c>
    </row>
    <row r="845" spans="1:26" x14ac:dyDescent="0.25">
      <c r="A845" t="s">
        <v>10</v>
      </c>
      <c r="B845" t="s">
        <v>1063</v>
      </c>
      <c r="C845" t="s">
        <v>1563</v>
      </c>
      <c r="D845" t="s">
        <v>1354</v>
      </c>
      <c r="E845" t="s">
        <v>1563</v>
      </c>
      <c r="F845" t="s">
        <v>14</v>
      </c>
      <c r="G845" t="s">
        <v>28</v>
      </c>
      <c r="H845" t="s">
        <v>22</v>
      </c>
      <c r="I845" t="s">
        <v>1564</v>
      </c>
      <c r="J845" t="s">
        <v>1356</v>
      </c>
      <c r="K845" t="str">
        <f t="shared" si="117"/>
        <v>1212.0</v>
      </c>
      <c r="N845" t="str">
        <f t="shared" si="118"/>
        <v>HOLDING REGISTER</v>
      </c>
      <c r="O845" t="str">
        <f t="shared" si="119"/>
        <v>BOOL</v>
      </c>
      <c r="P845" t="str">
        <f t="shared" si="120"/>
        <v>PULSANTE CHIAMATA SOS ACC1</v>
      </c>
      <c r="R845" t="str">
        <f t="shared" si="121"/>
        <v>CHIAMATA 118 EFFETTUATA</v>
      </c>
      <c r="U845" t="str">
        <f t="shared" si="122"/>
        <v>Allarme</v>
      </c>
      <c r="V845" t="str">
        <f t="shared" si="123"/>
        <v>SOS ACC1</v>
      </c>
      <c r="W845" t="str">
        <f t="shared" si="124"/>
        <v>GALLERIA SAN GIULIANO</v>
      </c>
      <c r="Z845" t="str">
        <f t="shared" si="125"/>
        <v>10.220.80.16</v>
      </c>
    </row>
    <row r="846" spans="1:26" x14ac:dyDescent="0.25">
      <c r="A846" t="s">
        <v>10</v>
      </c>
      <c r="B846" t="s">
        <v>1063</v>
      </c>
      <c r="C846" t="s">
        <v>1563</v>
      </c>
      <c r="D846" t="s">
        <v>1354</v>
      </c>
      <c r="E846" t="s">
        <v>1563</v>
      </c>
      <c r="F846" t="s">
        <v>14</v>
      </c>
      <c r="G846" t="s">
        <v>28</v>
      </c>
      <c r="H846" t="s">
        <v>22</v>
      </c>
      <c r="I846" t="s">
        <v>1565</v>
      </c>
      <c r="J846" t="s">
        <v>1358</v>
      </c>
      <c r="K846" t="str">
        <f t="shared" si="117"/>
        <v>1212.1</v>
      </c>
      <c r="N846" t="str">
        <f t="shared" si="118"/>
        <v>HOLDING REGISTER</v>
      </c>
      <c r="O846" t="str">
        <f t="shared" si="119"/>
        <v>BOOL</v>
      </c>
      <c r="P846" t="str">
        <f t="shared" si="120"/>
        <v>PULSANTE CHIAMATA SOS ACC1</v>
      </c>
      <c r="R846" t="str">
        <f t="shared" si="121"/>
        <v>CHIAMATA 113 EFFETTUATA</v>
      </c>
      <c r="U846" t="str">
        <f t="shared" si="122"/>
        <v>Allarme</v>
      </c>
      <c r="V846" t="str">
        <f t="shared" si="123"/>
        <v>SOS ACC1</v>
      </c>
      <c r="W846" t="str">
        <f t="shared" si="124"/>
        <v>GALLERIA SAN GIULIANO</v>
      </c>
      <c r="Z846" t="str">
        <f t="shared" si="125"/>
        <v>10.220.80.16</v>
      </c>
    </row>
    <row r="847" spans="1:26" x14ac:dyDescent="0.25">
      <c r="A847" t="s">
        <v>10</v>
      </c>
      <c r="B847" t="s">
        <v>1063</v>
      </c>
      <c r="C847" t="s">
        <v>1563</v>
      </c>
      <c r="D847" t="s">
        <v>1354</v>
      </c>
      <c r="E847" t="s">
        <v>1563</v>
      </c>
      <c r="F847" t="s">
        <v>14</v>
      </c>
      <c r="G847" t="s">
        <v>28</v>
      </c>
      <c r="H847" t="s">
        <v>22</v>
      </c>
      <c r="I847" t="s">
        <v>1566</v>
      </c>
      <c r="J847" t="s">
        <v>1360</v>
      </c>
      <c r="K847" t="str">
        <f t="shared" si="117"/>
        <v>1212.2</v>
      </c>
      <c r="N847" t="str">
        <f t="shared" si="118"/>
        <v>HOLDING REGISTER</v>
      </c>
      <c r="O847" t="str">
        <f t="shared" si="119"/>
        <v>BOOL</v>
      </c>
      <c r="P847" t="str">
        <f t="shared" si="120"/>
        <v>PULSANTE CHIAMATA SOS ACC1</v>
      </c>
      <c r="R847" t="str">
        <f t="shared" si="121"/>
        <v>CHIAMATA 115 EFFETTUATA</v>
      </c>
      <c r="U847" t="str">
        <f t="shared" si="122"/>
        <v>Allarme</v>
      </c>
      <c r="V847" t="str">
        <f t="shared" si="123"/>
        <v>SOS ACC1</v>
      </c>
      <c r="W847" t="str">
        <f t="shared" si="124"/>
        <v>GALLERIA SAN GIULIANO</v>
      </c>
      <c r="Z847" t="str">
        <f t="shared" si="125"/>
        <v>10.220.80.16</v>
      </c>
    </row>
    <row r="848" spans="1:26" x14ac:dyDescent="0.25">
      <c r="A848" t="s">
        <v>10</v>
      </c>
      <c r="B848" t="s">
        <v>1063</v>
      </c>
      <c r="C848" t="s">
        <v>1563</v>
      </c>
      <c r="D848" t="s">
        <v>1354</v>
      </c>
      <c r="E848" t="s">
        <v>1563</v>
      </c>
      <c r="F848" t="s">
        <v>14</v>
      </c>
      <c r="G848" t="s">
        <v>28</v>
      </c>
      <c r="H848" t="s">
        <v>22</v>
      </c>
      <c r="I848" t="s">
        <v>1567</v>
      </c>
      <c r="J848" t="s">
        <v>1362</v>
      </c>
      <c r="K848" t="str">
        <f t="shared" si="117"/>
        <v>1212.3</v>
      </c>
      <c r="N848" t="str">
        <f t="shared" si="118"/>
        <v>HOLDING REGISTER</v>
      </c>
      <c r="O848" t="str">
        <f t="shared" si="119"/>
        <v>BOOL</v>
      </c>
      <c r="P848" t="str">
        <f t="shared" si="120"/>
        <v>PULSANTE CHIAMATA SOS ACC1</v>
      </c>
      <c r="R848" t="str">
        <f t="shared" si="121"/>
        <v>CHIAMATA SALA CONTROLLO ANAS EFFETTUATA</v>
      </c>
      <c r="U848" t="str">
        <f t="shared" si="122"/>
        <v>Allarme</v>
      </c>
      <c r="V848" t="str">
        <f t="shared" si="123"/>
        <v>SOS ACC1</v>
      </c>
      <c r="W848" t="str">
        <f t="shared" si="124"/>
        <v>GALLERIA SAN GIULIANO</v>
      </c>
      <c r="Z848" t="str">
        <f t="shared" si="125"/>
        <v>10.220.80.16</v>
      </c>
    </row>
    <row r="849" spans="1:26" x14ac:dyDescent="0.25">
      <c r="A849" t="s">
        <v>10</v>
      </c>
      <c r="B849" t="s">
        <v>1063</v>
      </c>
      <c r="C849" t="s">
        <v>1563</v>
      </c>
      <c r="D849" t="s">
        <v>1363</v>
      </c>
      <c r="E849" t="s">
        <v>1563</v>
      </c>
      <c r="F849" t="s">
        <v>14</v>
      </c>
      <c r="G849" t="s">
        <v>28</v>
      </c>
      <c r="H849" t="s">
        <v>22</v>
      </c>
      <c r="I849" t="s">
        <v>1568</v>
      </c>
      <c r="J849" t="s">
        <v>1365</v>
      </c>
      <c r="K849" t="str">
        <f t="shared" si="117"/>
        <v>1212.4</v>
      </c>
      <c r="N849" t="str">
        <f t="shared" si="118"/>
        <v>HOLDING REGISTER</v>
      </c>
      <c r="O849" t="str">
        <f t="shared" si="119"/>
        <v>BOOL</v>
      </c>
      <c r="P849" t="str">
        <f t="shared" si="120"/>
        <v>ESTINTORE SOS ACC1</v>
      </c>
      <c r="R849" t="str">
        <f t="shared" si="121"/>
        <v>ESTINTORE PRELEVATO 1</v>
      </c>
      <c r="U849" t="str">
        <f t="shared" si="122"/>
        <v>Allarme</v>
      </c>
      <c r="V849" t="str">
        <f t="shared" si="123"/>
        <v>SOS ACC1</v>
      </c>
      <c r="W849" t="str">
        <f t="shared" si="124"/>
        <v>GALLERIA SAN GIULIANO</v>
      </c>
      <c r="Z849" t="str">
        <f t="shared" si="125"/>
        <v>10.220.80.16</v>
      </c>
    </row>
    <row r="850" spans="1:26" x14ac:dyDescent="0.25">
      <c r="A850" t="s">
        <v>10</v>
      </c>
      <c r="B850" t="s">
        <v>1063</v>
      </c>
      <c r="C850" t="s">
        <v>1563</v>
      </c>
      <c r="D850" t="s">
        <v>1363</v>
      </c>
      <c r="E850" t="s">
        <v>1563</v>
      </c>
      <c r="F850" t="s">
        <v>14</v>
      </c>
      <c r="G850" t="s">
        <v>28</v>
      </c>
      <c r="H850" t="s">
        <v>22</v>
      </c>
      <c r="I850" t="s">
        <v>1569</v>
      </c>
      <c r="J850" t="s">
        <v>1367</v>
      </c>
      <c r="K850" t="str">
        <f t="shared" si="117"/>
        <v>1212.5</v>
      </c>
      <c r="N850" t="str">
        <f t="shared" si="118"/>
        <v>HOLDING REGISTER</v>
      </c>
      <c r="O850" t="str">
        <f t="shared" si="119"/>
        <v>BOOL</v>
      </c>
      <c r="P850" t="str">
        <f t="shared" si="120"/>
        <v>ESTINTORE SOS ACC1</v>
      </c>
      <c r="R850" t="str">
        <f t="shared" si="121"/>
        <v>ESTINTORE PRELEVATO 2</v>
      </c>
      <c r="U850" t="str">
        <f t="shared" si="122"/>
        <v>Allarme</v>
      </c>
      <c r="V850" t="str">
        <f t="shared" si="123"/>
        <v>SOS ACC1</v>
      </c>
      <c r="W850" t="str">
        <f t="shared" si="124"/>
        <v>GALLERIA SAN GIULIANO</v>
      </c>
      <c r="Z850" t="str">
        <f t="shared" si="125"/>
        <v>10.220.80.16</v>
      </c>
    </row>
    <row r="851" spans="1:26" x14ac:dyDescent="0.25">
      <c r="A851" t="s">
        <v>10</v>
      </c>
      <c r="B851" t="s">
        <v>1063</v>
      </c>
      <c r="C851" t="s">
        <v>1563</v>
      </c>
      <c r="D851" t="s">
        <v>1368</v>
      </c>
      <c r="E851" t="s">
        <v>1563</v>
      </c>
      <c r="F851" t="s">
        <v>14</v>
      </c>
      <c r="G851" t="s">
        <v>28</v>
      </c>
      <c r="H851" t="s">
        <v>22</v>
      </c>
      <c r="I851" t="s">
        <v>1570</v>
      </c>
      <c r="J851" t="s">
        <v>1370</v>
      </c>
      <c r="K851" t="str">
        <f t="shared" si="117"/>
        <v>1212.6</v>
      </c>
      <c r="N851" t="str">
        <f t="shared" si="118"/>
        <v>HOLDING REGISTER</v>
      </c>
      <c r="O851" t="str">
        <f t="shared" si="119"/>
        <v>BOOL</v>
      </c>
      <c r="P851" t="str">
        <f t="shared" si="120"/>
        <v>PORTA SOS ACC1</v>
      </c>
      <c r="R851" t="str">
        <f t="shared" si="121"/>
        <v>MANICHETTA PRELEVATA</v>
      </c>
      <c r="U851" t="str">
        <f t="shared" si="122"/>
        <v>Allarme</v>
      </c>
      <c r="V851" t="str">
        <f t="shared" si="123"/>
        <v>SOS ACC1</v>
      </c>
      <c r="W851" t="str">
        <f t="shared" si="124"/>
        <v>GALLERIA SAN GIULIANO</v>
      </c>
      <c r="Z851" t="str">
        <f t="shared" si="125"/>
        <v>10.220.80.16</v>
      </c>
    </row>
    <row r="852" spans="1:26" x14ac:dyDescent="0.25">
      <c r="A852" t="s">
        <v>10</v>
      </c>
      <c r="B852" t="s">
        <v>1063</v>
      </c>
      <c r="C852" t="s">
        <v>1563</v>
      </c>
      <c r="D852" t="s">
        <v>1368</v>
      </c>
      <c r="E852" t="s">
        <v>1563</v>
      </c>
      <c r="F852" t="s">
        <v>14</v>
      </c>
      <c r="G852" t="s">
        <v>28</v>
      </c>
      <c r="H852" t="s">
        <v>22</v>
      </c>
      <c r="I852" t="s">
        <v>1571</v>
      </c>
      <c r="J852" t="s">
        <v>1372</v>
      </c>
      <c r="K852" t="str">
        <f t="shared" si="117"/>
        <v>1212.7</v>
      </c>
      <c r="N852" t="str">
        <f t="shared" si="118"/>
        <v>HOLDING REGISTER</v>
      </c>
      <c r="O852" t="str">
        <f t="shared" si="119"/>
        <v>BOOL</v>
      </c>
      <c r="P852" t="str">
        <f t="shared" si="120"/>
        <v>PORTA SOS ACC1</v>
      </c>
      <c r="R852" t="str">
        <f t="shared" si="121"/>
        <v>PORTA TELEFONO VOIP APERTA</v>
      </c>
      <c r="U852" t="str">
        <f t="shared" si="122"/>
        <v>Allarme</v>
      </c>
      <c r="V852" t="str">
        <f t="shared" si="123"/>
        <v>SOS ACC1</v>
      </c>
      <c r="W852" t="str">
        <f t="shared" si="124"/>
        <v>GALLERIA SAN GIULIANO</v>
      </c>
      <c r="Z852" t="str">
        <f t="shared" si="125"/>
        <v>10.220.80.16</v>
      </c>
    </row>
    <row r="853" spans="1:26" x14ac:dyDescent="0.25">
      <c r="A853" t="s">
        <v>10</v>
      </c>
      <c r="B853" t="s">
        <v>1063</v>
      </c>
      <c r="C853" t="s">
        <v>1563</v>
      </c>
      <c r="D853" t="s">
        <v>1368</v>
      </c>
      <c r="E853" t="s">
        <v>1563</v>
      </c>
      <c r="F853" t="s">
        <v>14</v>
      </c>
      <c r="G853" t="s">
        <v>28</v>
      </c>
      <c r="H853" t="s">
        <v>22</v>
      </c>
      <c r="I853" t="s">
        <v>1572</v>
      </c>
      <c r="J853" t="s">
        <v>1374</v>
      </c>
      <c r="K853" t="str">
        <f t="shared" si="117"/>
        <v>1212.8</v>
      </c>
      <c r="N853" t="str">
        <f t="shared" si="118"/>
        <v>HOLDING REGISTER</v>
      </c>
      <c r="O853" t="str">
        <f t="shared" si="119"/>
        <v>BOOL</v>
      </c>
      <c r="P853" t="str">
        <f t="shared" si="120"/>
        <v>PORTA SOS ACC1</v>
      </c>
      <c r="R853" t="str">
        <f t="shared" si="121"/>
        <v>PORTA VANO TECNICO APERTA</v>
      </c>
      <c r="U853" t="str">
        <f t="shared" si="122"/>
        <v>Allarme</v>
      </c>
      <c r="V853" t="str">
        <f t="shared" si="123"/>
        <v>SOS ACC1</v>
      </c>
      <c r="W853" t="str">
        <f t="shared" si="124"/>
        <v>GALLERIA SAN GIULIANO</v>
      </c>
      <c r="Z853" t="str">
        <f t="shared" si="125"/>
        <v>10.220.80.16</v>
      </c>
    </row>
    <row r="854" spans="1:26" x14ac:dyDescent="0.25">
      <c r="A854" t="s">
        <v>10</v>
      </c>
      <c r="B854" t="s">
        <v>1063</v>
      </c>
      <c r="C854" t="s">
        <v>1563</v>
      </c>
      <c r="D854" t="s">
        <v>1375</v>
      </c>
      <c r="E854" t="s">
        <v>1563</v>
      </c>
      <c r="F854" t="s">
        <v>14</v>
      </c>
      <c r="G854" t="s">
        <v>1375</v>
      </c>
      <c r="H854" t="s">
        <v>22</v>
      </c>
      <c r="I854" t="s">
        <v>1573</v>
      </c>
      <c r="J854" t="s">
        <v>1375</v>
      </c>
      <c r="K854" t="str">
        <f t="shared" si="117"/>
        <v>1212.9</v>
      </c>
      <c r="N854" t="str">
        <f t="shared" si="118"/>
        <v>HOLDING REGISTER</v>
      </c>
      <c r="O854" t="str">
        <f t="shared" si="119"/>
        <v>BOOL</v>
      </c>
      <c r="P854" t="str">
        <f t="shared" si="120"/>
        <v>disponibile SOS ACC1</v>
      </c>
      <c r="R854" t="str">
        <f t="shared" si="121"/>
        <v>disponibile</v>
      </c>
      <c r="U854" t="str">
        <f t="shared" si="122"/>
        <v>disponibile</v>
      </c>
      <c r="V854" t="str">
        <f t="shared" si="123"/>
        <v>SOS ACC1</v>
      </c>
      <c r="W854" t="str">
        <f t="shared" si="124"/>
        <v>GALLERIA SAN GIULIANO</v>
      </c>
      <c r="Z854" t="str">
        <f t="shared" si="125"/>
        <v>10.220.80.16</v>
      </c>
    </row>
    <row r="855" spans="1:26" x14ac:dyDescent="0.25">
      <c r="A855" t="s">
        <v>10</v>
      </c>
      <c r="B855" t="s">
        <v>1063</v>
      </c>
      <c r="C855" t="s">
        <v>1563</v>
      </c>
      <c r="D855" t="s">
        <v>1375</v>
      </c>
      <c r="E855" t="s">
        <v>1563</v>
      </c>
      <c r="F855" t="s">
        <v>14</v>
      </c>
      <c r="G855" t="s">
        <v>1375</v>
      </c>
      <c r="H855" t="s">
        <v>22</v>
      </c>
      <c r="I855" t="s">
        <v>1574</v>
      </c>
      <c r="J855" t="s">
        <v>1375</v>
      </c>
      <c r="K855" t="str">
        <f t="shared" si="117"/>
        <v>1212.10</v>
      </c>
      <c r="N855" t="str">
        <f t="shared" si="118"/>
        <v>HOLDING REGISTER</v>
      </c>
      <c r="O855" t="str">
        <f t="shared" si="119"/>
        <v>BOOL</v>
      </c>
      <c r="P855" t="str">
        <f t="shared" si="120"/>
        <v>disponibile SOS ACC1</v>
      </c>
      <c r="R855" t="str">
        <f t="shared" si="121"/>
        <v>disponibile</v>
      </c>
      <c r="U855" t="str">
        <f t="shared" si="122"/>
        <v>disponibile</v>
      </c>
      <c r="V855" t="str">
        <f t="shared" si="123"/>
        <v>SOS ACC1</v>
      </c>
      <c r="W855" t="str">
        <f t="shared" si="124"/>
        <v>GALLERIA SAN GIULIANO</v>
      </c>
      <c r="Z855" t="str">
        <f t="shared" si="125"/>
        <v>10.220.80.16</v>
      </c>
    </row>
    <row r="856" spans="1:26" x14ac:dyDescent="0.25">
      <c r="A856" t="s">
        <v>10</v>
      </c>
      <c r="B856" t="s">
        <v>1063</v>
      </c>
      <c r="C856" t="s">
        <v>1563</v>
      </c>
      <c r="D856" t="s">
        <v>1375</v>
      </c>
      <c r="E856" t="s">
        <v>1563</v>
      </c>
      <c r="F856" t="s">
        <v>14</v>
      </c>
      <c r="G856" t="s">
        <v>1375</v>
      </c>
      <c r="H856" t="s">
        <v>22</v>
      </c>
      <c r="I856" t="s">
        <v>1575</v>
      </c>
      <c r="J856" t="s">
        <v>1375</v>
      </c>
      <c r="K856" t="str">
        <f t="shared" si="117"/>
        <v>1212.11</v>
      </c>
      <c r="N856" t="str">
        <f t="shared" si="118"/>
        <v>HOLDING REGISTER</v>
      </c>
      <c r="O856" t="str">
        <f t="shared" si="119"/>
        <v>BOOL</v>
      </c>
      <c r="P856" t="str">
        <f t="shared" si="120"/>
        <v>disponibile SOS ACC1</v>
      </c>
      <c r="R856" t="str">
        <f t="shared" si="121"/>
        <v>disponibile</v>
      </c>
      <c r="U856" t="str">
        <f t="shared" si="122"/>
        <v>disponibile</v>
      </c>
      <c r="V856" t="str">
        <f t="shared" si="123"/>
        <v>SOS ACC1</v>
      </c>
      <c r="W856" t="str">
        <f t="shared" si="124"/>
        <v>GALLERIA SAN GIULIANO</v>
      </c>
      <c r="Z856" t="str">
        <f t="shared" si="125"/>
        <v>10.220.80.16</v>
      </c>
    </row>
    <row r="857" spans="1:26" x14ac:dyDescent="0.25">
      <c r="A857" t="s">
        <v>10</v>
      </c>
      <c r="B857" t="s">
        <v>1063</v>
      </c>
      <c r="C857" t="s">
        <v>1563</v>
      </c>
      <c r="D857" t="s">
        <v>1375</v>
      </c>
      <c r="E857" t="s">
        <v>1563</v>
      </c>
      <c r="F857" t="s">
        <v>14</v>
      </c>
      <c r="G857" t="s">
        <v>1375</v>
      </c>
      <c r="H857" t="s">
        <v>22</v>
      </c>
      <c r="I857" t="s">
        <v>1576</v>
      </c>
      <c r="J857" t="s">
        <v>1375</v>
      </c>
      <c r="K857" t="str">
        <f t="shared" si="117"/>
        <v>1212.12</v>
      </c>
      <c r="N857" t="str">
        <f t="shared" si="118"/>
        <v>HOLDING REGISTER</v>
      </c>
      <c r="O857" t="str">
        <f t="shared" si="119"/>
        <v>BOOL</v>
      </c>
      <c r="P857" t="str">
        <f t="shared" si="120"/>
        <v>disponibile SOS ACC1</v>
      </c>
      <c r="R857" t="str">
        <f t="shared" si="121"/>
        <v>disponibile</v>
      </c>
      <c r="U857" t="str">
        <f t="shared" si="122"/>
        <v>disponibile</v>
      </c>
      <c r="V857" t="str">
        <f t="shared" si="123"/>
        <v>SOS ACC1</v>
      </c>
      <c r="W857" t="str">
        <f t="shared" si="124"/>
        <v>GALLERIA SAN GIULIANO</v>
      </c>
      <c r="Z857" t="str">
        <f t="shared" si="125"/>
        <v>10.220.80.16</v>
      </c>
    </row>
    <row r="858" spans="1:26" x14ac:dyDescent="0.25">
      <c r="A858" t="s">
        <v>10</v>
      </c>
      <c r="B858" t="s">
        <v>1063</v>
      </c>
      <c r="C858" t="s">
        <v>1563</v>
      </c>
      <c r="D858" t="s">
        <v>12</v>
      </c>
      <c r="E858" t="s">
        <v>1563</v>
      </c>
      <c r="F858" t="s">
        <v>14</v>
      </c>
      <c r="G858" t="s">
        <v>28</v>
      </c>
      <c r="H858" t="s">
        <v>22</v>
      </c>
      <c r="I858" t="s">
        <v>1577</v>
      </c>
      <c r="J858" t="s">
        <v>1381</v>
      </c>
      <c r="K858" t="str">
        <f t="shared" si="117"/>
        <v>1212.13</v>
      </c>
      <c r="N858" t="str">
        <f t="shared" si="118"/>
        <v>HOLDING REGISTER</v>
      </c>
      <c r="O858" t="str">
        <f t="shared" si="119"/>
        <v>BOOL</v>
      </c>
      <c r="P858" t="str">
        <f t="shared" si="120"/>
        <v>PLC SOS ACC1</v>
      </c>
      <c r="R858" t="str">
        <f t="shared" si="121"/>
        <v>PLC IN STOP</v>
      </c>
      <c r="U858" t="str">
        <f t="shared" si="122"/>
        <v>Allarme</v>
      </c>
      <c r="V858" t="str">
        <f t="shared" si="123"/>
        <v>SOS ACC1</v>
      </c>
      <c r="W858" t="str">
        <f t="shared" si="124"/>
        <v>GALLERIA SAN GIULIANO</v>
      </c>
      <c r="Z858" t="str">
        <f t="shared" si="125"/>
        <v>10.220.80.16</v>
      </c>
    </row>
    <row r="859" spans="1:26" x14ac:dyDescent="0.25">
      <c r="A859" t="s">
        <v>10</v>
      </c>
      <c r="B859" t="s">
        <v>1063</v>
      </c>
      <c r="C859" t="s">
        <v>1563</v>
      </c>
      <c r="D859" t="s">
        <v>12</v>
      </c>
      <c r="E859" t="s">
        <v>1563</v>
      </c>
      <c r="F859" t="s">
        <v>14</v>
      </c>
      <c r="G859" t="s">
        <v>28</v>
      </c>
      <c r="H859" t="s">
        <v>22</v>
      </c>
      <c r="I859" t="s">
        <v>1578</v>
      </c>
      <c r="J859" t="s">
        <v>1383</v>
      </c>
      <c r="K859" t="str">
        <f t="shared" si="117"/>
        <v>1212.14</v>
      </c>
      <c r="N859" t="str">
        <f t="shared" si="118"/>
        <v>HOLDING REGISTER</v>
      </c>
      <c r="O859" t="str">
        <f t="shared" si="119"/>
        <v>BOOL</v>
      </c>
      <c r="P859" t="str">
        <f t="shared" si="120"/>
        <v>PLC SOS ACC1</v>
      </c>
      <c r="R859" t="str">
        <f t="shared" si="121"/>
        <v>FAULT COMUNICAZIONE ETHERNET</v>
      </c>
      <c r="U859" t="str">
        <f t="shared" si="122"/>
        <v>Allarme</v>
      </c>
      <c r="V859" t="str">
        <f t="shared" si="123"/>
        <v>SOS ACC1</v>
      </c>
      <c r="W859" t="str">
        <f t="shared" si="124"/>
        <v>GALLERIA SAN GIULIANO</v>
      </c>
      <c r="Z859" t="str">
        <f t="shared" si="125"/>
        <v>10.220.80.16</v>
      </c>
    </row>
    <row r="860" spans="1:26" x14ac:dyDescent="0.25">
      <c r="A860" t="s">
        <v>10</v>
      </c>
      <c r="B860" t="s">
        <v>1063</v>
      </c>
      <c r="C860" t="s">
        <v>1563</v>
      </c>
      <c r="D860" t="s">
        <v>1384</v>
      </c>
      <c r="E860" t="s">
        <v>1563</v>
      </c>
      <c r="F860" t="s">
        <v>14</v>
      </c>
      <c r="G860" t="s">
        <v>21</v>
      </c>
      <c r="H860" t="s">
        <v>22</v>
      </c>
      <c r="I860" t="s">
        <v>1579</v>
      </c>
      <c r="J860" t="s">
        <v>1386</v>
      </c>
      <c r="K860" t="str">
        <f t="shared" si="117"/>
        <v>1212.15</v>
      </c>
      <c r="N860" t="str">
        <f t="shared" si="118"/>
        <v>HOLDING REGISTER</v>
      </c>
      <c r="O860" t="str">
        <f t="shared" si="119"/>
        <v>BOOL</v>
      </c>
      <c r="P860" t="str">
        <f t="shared" si="120"/>
        <v xml:space="preserve">  SOS ACC1</v>
      </c>
      <c r="R860" t="str">
        <f t="shared" si="121"/>
        <v>FEEDBACK RESET DA RMT</v>
      </c>
      <c r="U860" t="str">
        <f t="shared" si="122"/>
        <v>Stato</v>
      </c>
      <c r="V860" t="str">
        <f t="shared" si="123"/>
        <v>SOS ACC1</v>
      </c>
      <c r="W860" t="str">
        <f t="shared" si="124"/>
        <v>GALLERIA SAN GIULIANO</v>
      </c>
      <c r="Z860" t="str">
        <f t="shared" si="125"/>
        <v>10.220.80.16</v>
      </c>
    </row>
    <row r="861" spans="1:26" x14ac:dyDescent="0.25">
      <c r="A861" t="s">
        <v>10</v>
      </c>
      <c r="B861" t="s">
        <v>1063</v>
      </c>
      <c r="C861" t="s">
        <v>1580</v>
      </c>
      <c r="D861" t="s">
        <v>1354</v>
      </c>
      <c r="E861" t="s">
        <v>1580</v>
      </c>
      <c r="F861" t="s">
        <v>14</v>
      </c>
      <c r="G861" t="s">
        <v>28</v>
      </c>
      <c r="H861" t="s">
        <v>22</v>
      </c>
      <c r="I861" t="s">
        <v>1581</v>
      </c>
      <c r="J861" t="s">
        <v>1356</v>
      </c>
      <c r="K861" t="str">
        <f t="shared" si="117"/>
        <v>1213.0</v>
      </c>
      <c r="N861" t="str">
        <f t="shared" si="118"/>
        <v>HOLDING REGISTER</v>
      </c>
      <c r="O861" t="str">
        <f t="shared" si="119"/>
        <v>BOOL</v>
      </c>
      <c r="P861" t="str">
        <f t="shared" si="120"/>
        <v>PULSANTE CHIAMATA SOS ACC2</v>
      </c>
      <c r="R861" t="str">
        <f t="shared" si="121"/>
        <v>CHIAMATA 118 EFFETTUATA</v>
      </c>
      <c r="U861" t="str">
        <f t="shared" si="122"/>
        <v>Allarme</v>
      </c>
      <c r="V861" t="str">
        <f t="shared" si="123"/>
        <v>SOS ACC2</v>
      </c>
      <c r="W861" t="str">
        <f t="shared" si="124"/>
        <v>GALLERIA SAN GIULIANO</v>
      </c>
      <c r="Z861" t="str">
        <f t="shared" si="125"/>
        <v>10.220.80.16</v>
      </c>
    </row>
    <row r="862" spans="1:26" x14ac:dyDescent="0.25">
      <c r="A862" t="s">
        <v>10</v>
      </c>
      <c r="B862" t="s">
        <v>1063</v>
      </c>
      <c r="C862" t="s">
        <v>1580</v>
      </c>
      <c r="D862" t="s">
        <v>1354</v>
      </c>
      <c r="E862" t="s">
        <v>1580</v>
      </c>
      <c r="F862" t="s">
        <v>14</v>
      </c>
      <c r="G862" t="s">
        <v>28</v>
      </c>
      <c r="H862" t="s">
        <v>22</v>
      </c>
      <c r="I862" t="s">
        <v>1582</v>
      </c>
      <c r="J862" t="s">
        <v>1358</v>
      </c>
      <c r="K862" t="str">
        <f t="shared" si="117"/>
        <v>1213.1</v>
      </c>
      <c r="N862" t="str">
        <f t="shared" si="118"/>
        <v>HOLDING REGISTER</v>
      </c>
      <c r="O862" t="str">
        <f t="shared" si="119"/>
        <v>BOOL</v>
      </c>
      <c r="P862" t="str">
        <f t="shared" si="120"/>
        <v>PULSANTE CHIAMATA SOS ACC2</v>
      </c>
      <c r="R862" t="str">
        <f t="shared" si="121"/>
        <v>CHIAMATA 113 EFFETTUATA</v>
      </c>
      <c r="U862" t="str">
        <f t="shared" si="122"/>
        <v>Allarme</v>
      </c>
      <c r="V862" t="str">
        <f t="shared" si="123"/>
        <v>SOS ACC2</v>
      </c>
      <c r="W862" t="str">
        <f t="shared" si="124"/>
        <v>GALLERIA SAN GIULIANO</v>
      </c>
      <c r="Z862" t="str">
        <f t="shared" si="125"/>
        <v>10.220.80.16</v>
      </c>
    </row>
    <row r="863" spans="1:26" x14ac:dyDescent="0.25">
      <c r="A863" t="s">
        <v>10</v>
      </c>
      <c r="B863" t="s">
        <v>1063</v>
      </c>
      <c r="C863" t="s">
        <v>1580</v>
      </c>
      <c r="D863" t="s">
        <v>1354</v>
      </c>
      <c r="E863" t="s">
        <v>1580</v>
      </c>
      <c r="F863" t="s">
        <v>14</v>
      </c>
      <c r="G863" t="s">
        <v>28</v>
      </c>
      <c r="H863" t="s">
        <v>22</v>
      </c>
      <c r="I863" t="s">
        <v>1583</v>
      </c>
      <c r="J863" t="s">
        <v>1360</v>
      </c>
      <c r="K863" t="str">
        <f t="shared" si="117"/>
        <v>1213.2</v>
      </c>
      <c r="N863" t="str">
        <f t="shared" si="118"/>
        <v>HOLDING REGISTER</v>
      </c>
      <c r="O863" t="str">
        <f t="shared" si="119"/>
        <v>BOOL</v>
      </c>
      <c r="P863" t="str">
        <f t="shared" si="120"/>
        <v>PULSANTE CHIAMATA SOS ACC2</v>
      </c>
      <c r="R863" t="str">
        <f t="shared" si="121"/>
        <v>CHIAMATA 115 EFFETTUATA</v>
      </c>
      <c r="U863" t="str">
        <f t="shared" si="122"/>
        <v>Allarme</v>
      </c>
      <c r="V863" t="str">
        <f t="shared" si="123"/>
        <v>SOS ACC2</v>
      </c>
      <c r="W863" t="str">
        <f t="shared" si="124"/>
        <v>GALLERIA SAN GIULIANO</v>
      </c>
      <c r="Z863" t="str">
        <f t="shared" si="125"/>
        <v>10.220.80.16</v>
      </c>
    </row>
    <row r="864" spans="1:26" x14ac:dyDescent="0.25">
      <c r="A864" t="s">
        <v>10</v>
      </c>
      <c r="B864" t="s">
        <v>1063</v>
      </c>
      <c r="C864" t="s">
        <v>1580</v>
      </c>
      <c r="D864" t="s">
        <v>1354</v>
      </c>
      <c r="E864" t="s">
        <v>1580</v>
      </c>
      <c r="F864" t="s">
        <v>14</v>
      </c>
      <c r="G864" t="s">
        <v>28</v>
      </c>
      <c r="H864" t="s">
        <v>22</v>
      </c>
      <c r="I864" t="s">
        <v>1584</v>
      </c>
      <c r="J864" t="s">
        <v>1362</v>
      </c>
      <c r="K864" t="str">
        <f t="shared" si="117"/>
        <v>1213.3</v>
      </c>
      <c r="N864" t="str">
        <f t="shared" si="118"/>
        <v>HOLDING REGISTER</v>
      </c>
      <c r="O864" t="str">
        <f t="shared" si="119"/>
        <v>BOOL</v>
      </c>
      <c r="P864" t="str">
        <f t="shared" si="120"/>
        <v>PULSANTE CHIAMATA SOS ACC2</v>
      </c>
      <c r="R864" t="str">
        <f t="shared" si="121"/>
        <v>CHIAMATA SALA CONTROLLO ANAS EFFETTUATA</v>
      </c>
      <c r="U864" t="str">
        <f t="shared" si="122"/>
        <v>Allarme</v>
      </c>
      <c r="V864" t="str">
        <f t="shared" si="123"/>
        <v>SOS ACC2</v>
      </c>
      <c r="W864" t="str">
        <f t="shared" si="124"/>
        <v>GALLERIA SAN GIULIANO</v>
      </c>
      <c r="Z864" t="str">
        <f t="shared" si="125"/>
        <v>10.220.80.16</v>
      </c>
    </row>
    <row r="865" spans="1:26" x14ac:dyDescent="0.25">
      <c r="A865" t="s">
        <v>10</v>
      </c>
      <c r="B865" t="s">
        <v>1063</v>
      </c>
      <c r="C865" t="s">
        <v>1580</v>
      </c>
      <c r="D865" t="s">
        <v>1363</v>
      </c>
      <c r="E865" t="s">
        <v>1580</v>
      </c>
      <c r="F865" t="s">
        <v>14</v>
      </c>
      <c r="G865" t="s">
        <v>28</v>
      </c>
      <c r="H865" t="s">
        <v>22</v>
      </c>
      <c r="I865" t="s">
        <v>1585</v>
      </c>
      <c r="J865" t="s">
        <v>1365</v>
      </c>
      <c r="K865" t="str">
        <f t="shared" si="117"/>
        <v>1213.4</v>
      </c>
      <c r="N865" t="str">
        <f t="shared" si="118"/>
        <v>HOLDING REGISTER</v>
      </c>
      <c r="O865" t="str">
        <f t="shared" si="119"/>
        <v>BOOL</v>
      </c>
      <c r="P865" t="str">
        <f t="shared" si="120"/>
        <v>ESTINTORE SOS ACC2</v>
      </c>
      <c r="R865" t="str">
        <f t="shared" si="121"/>
        <v>ESTINTORE PRELEVATO 1</v>
      </c>
      <c r="U865" t="str">
        <f t="shared" si="122"/>
        <v>Allarme</v>
      </c>
      <c r="V865" t="str">
        <f t="shared" si="123"/>
        <v>SOS ACC2</v>
      </c>
      <c r="W865" t="str">
        <f t="shared" si="124"/>
        <v>GALLERIA SAN GIULIANO</v>
      </c>
      <c r="Z865" t="str">
        <f t="shared" si="125"/>
        <v>10.220.80.16</v>
      </c>
    </row>
    <row r="866" spans="1:26" x14ac:dyDescent="0.25">
      <c r="A866" t="s">
        <v>10</v>
      </c>
      <c r="B866" t="s">
        <v>1063</v>
      </c>
      <c r="C866" t="s">
        <v>1580</v>
      </c>
      <c r="D866" t="s">
        <v>1363</v>
      </c>
      <c r="E866" t="s">
        <v>1580</v>
      </c>
      <c r="F866" t="s">
        <v>14</v>
      </c>
      <c r="G866" t="s">
        <v>28</v>
      </c>
      <c r="H866" t="s">
        <v>22</v>
      </c>
      <c r="I866" t="s">
        <v>1586</v>
      </c>
      <c r="J866" t="s">
        <v>1367</v>
      </c>
      <c r="K866" t="str">
        <f t="shared" si="117"/>
        <v>1213.5</v>
      </c>
      <c r="N866" t="str">
        <f t="shared" si="118"/>
        <v>HOLDING REGISTER</v>
      </c>
      <c r="O866" t="str">
        <f t="shared" si="119"/>
        <v>BOOL</v>
      </c>
      <c r="P866" t="str">
        <f t="shared" si="120"/>
        <v>ESTINTORE SOS ACC2</v>
      </c>
      <c r="R866" t="str">
        <f t="shared" si="121"/>
        <v>ESTINTORE PRELEVATO 2</v>
      </c>
      <c r="U866" t="str">
        <f t="shared" si="122"/>
        <v>Allarme</v>
      </c>
      <c r="V866" t="str">
        <f t="shared" si="123"/>
        <v>SOS ACC2</v>
      </c>
      <c r="W866" t="str">
        <f t="shared" si="124"/>
        <v>GALLERIA SAN GIULIANO</v>
      </c>
      <c r="Z866" t="str">
        <f t="shared" si="125"/>
        <v>10.220.80.16</v>
      </c>
    </row>
    <row r="867" spans="1:26" x14ac:dyDescent="0.25">
      <c r="A867" t="s">
        <v>10</v>
      </c>
      <c r="B867" t="s">
        <v>1063</v>
      </c>
      <c r="C867" t="s">
        <v>1580</v>
      </c>
      <c r="D867" t="s">
        <v>1368</v>
      </c>
      <c r="E867" t="s">
        <v>1580</v>
      </c>
      <c r="F867" t="s">
        <v>14</v>
      </c>
      <c r="G867" t="s">
        <v>28</v>
      </c>
      <c r="H867" t="s">
        <v>22</v>
      </c>
      <c r="I867" t="s">
        <v>1587</v>
      </c>
      <c r="J867" t="s">
        <v>1370</v>
      </c>
      <c r="K867" t="str">
        <f t="shared" si="117"/>
        <v>1213.6</v>
      </c>
      <c r="N867" t="str">
        <f t="shared" si="118"/>
        <v>HOLDING REGISTER</v>
      </c>
      <c r="O867" t="str">
        <f t="shared" si="119"/>
        <v>BOOL</v>
      </c>
      <c r="P867" t="str">
        <f t="shared" si="120"/>
        <v>PORTA SOS ACC2</v>
      </c>
      <c r="R867" t="str">
        <f t="shared" si="121"/>
        <v>MANICHETTA PRELEVATA</v>
      </c>
      <c r="U867" t="str">
        <f t="shared" si="122"/>
        <v>Allarme</v>
      </c>
      <c r="V867" t="str">
        <f t="shared" si="123"/>
        <v>SOS ACC2</v>
      </c>
      <c r="W867" t="str">
        <f t="shared" si="124"/>
        <v>GALLERIA SAN GIULIANO</v>
      </c>
      <c r="Z867" t="str">
        <f t="shared" si="125"/>
        <v>10.220.80.16</v>
      </c>
    </row>
    <row r="868" spans="1:26" x14ac:dyDescent="0.25">
      <c r="A868" t="s">
        <v>10</v>
      </c>
      <c r="B868" t="s">
        <v>1063</v>
      </c>
      <c r="C868" t="s">
        <v>1580</v>
      </c>
      <c r="D868" t="s">
        <v>1368</v>
      </c>
      <c r="E868" t="s">
        <v>1580</v>
      </c>
      <c r="F868" t="s">
        <v>14</v>
      </c>
      <c r="G868" t="s">
        <v>28</v>
      </c>
      <c r="H868" t="s">
        <v>22</v>
      </c>
      <c r="I868" t="s">
        <v>1588</v>
      </c>
      <c r="J868" t="s">
        <v>1372</v>
      </c>
      <c r="K868" t="str">
        <f t="shared" si="117"/>
        <v>1213.7</v>
      </c>
      <c r="N868" t="str">
        <f t="shared" si="118"/>
        <v>HOLDING REGISTER</v>
      </c>
      <c r="O868" t="str">
        <f t="shared" si="119"/>
        <v>BOOL</v>
      </c>
      <c r="P868" t="str">
        <f t="shared" si="120"/>
        <v>PORTA SOS ACC2</v>
      </c>
      <c r="R868" t="str">
        <f t="shared" si="121"/>
        <v>PORTA TELEFONO VOIP APERTA</v>
      </c>
      <c r="U868" t="str">
        <f t="shared" si="122"/>
        <v>Allarme</v>
      </c>
      <c r="V868" t="str">
        <f t="shared" si="123"/>
        <v>SOS ACC2</v>
      </c>
      <c r="W868" t="str">
        <f t="shared" si="124"/>
        <v>GALLERIA SAN GIULIANO</v>
      </c>
      <c r="Z868" t="str">
        <f t="shared" si="125"/>
        <v>10.220.80.16</v>
      </c>
    </row>
    <row r="869" spans="1:26" x14ac:dyDescent="0.25">
      <c r="A869" t="s">
        <v>10</v>
      </c>
      <c r="B869" t="s">
        <v>1063</v>
      </c>
      <c r="C869" t="s">
        <v>1580</v>
      </c>
      <c r="D869" t="s">
        <v>1368</v>
      </c>
      <c r="E869" t="s">
        <v>1580</v>
      </c>
      <c r="F869" t="s">
        <v>14</v>
      </c>
      <c r="G869" t="s">
        <v>28</v>
      </c>
      <c r="H869" t="s">
        <v>22</v>
      </c>
      <c r="I869" t="s">
        <v>1589</v>
      </c>
      <c r="J869" t="s">
        <v>1374</v>
      </c>
      <c r="K869" t="str">
        <f t="shared" si="117"/>
        <v>1213.8</v>
      </c>
      <c r="N869" t="str">
        <f t="shared" si="118"/>
        <v>HOLDING REGISTER</v>
      </c>
      <c r="O869" t="str">
        <f t="shared" si="119"/>
        <v>BOOL</v>
      </c>
      <c r="P869" t="str">
        <f t="shared" si="120"/>
        <v>PORTA SOS ACC2</v>
      </c>
      <c r="R869" t="str">
        <f t="shared" si="121"/>
        <v>PORTA VANO TECNICO APERTA</v>
      </c>
      <c r="U869" t="str">
        <f t="shared" si="122"/>
        <v>Allarme</v>
      </c>
      <c r="V869" t="str">
        <f t="shared" si="123"/>
        <v>SOS ACC2</v>
      </c>
      <c r="W869" t="str">
        <f t="shared" si="124"/>
        <v>GALLERIA SAN GIULIANO</v>
      </c>
      <c r="Z869" t="str">
        <f t="shared" si="125"/>
        <v>10.220.80.16</v>
      </c>
    </row>
    <row r="870" spans="1:26" x14ac:dyDescent="0.25">
      <c r="A870" t="s">
        <v>10</v>
      </c>
      <c r="B870" t="s">
        <v>1063</v>
      </c>
      <c r="C870" t="s">
        <v>1580</v>
      </c>
      <c r="D870" t="s">
        <v>1375</v>
      </c>
      <c r="E870" t="s">
        <v>1580</v>
      </c>
      <c r="F870" t="s">
        <v>14</v>
      </c>
      <c r="G870" t="s">
        <v>1375</v>
      </c>
      <c r="H870" t="s">
        <v>22</v>
      </c>
      <c r="I870" t="s">
        <v>1590</v>
      </c>
      <c r="J870" t="s">
        <v>1375</v>
      </c>
      <c r="K870" t="str">
        <f t="shared" si="117"/>
        <v>1213.9</v>
      </c>
      <c r="N870" t="str">
        <f t="shared" si="118"/>
        <v>HOLDING REGISTER</v>
      </c>
      <c r="O870" t="str">
        <f t="shared" si="119"/>
        <v>BOOL</v>
      </c>
      <c r="P870" t="str">
        <f t="shared" si="120"/>
        <v>disponibile SOS ACC2</v>
      </c>
      <c r="R870" t="str">
        <f t="shared" si="121"/>
        <v>disponibile</v>
      </c>
      <c r="U870" t="str">
        <f t="shared" si="122"/>
        <v>disponibile</v>
      </c>
      <c r="V870" t="str">
        <f t="shared" si="123"/>
        <v>SOS ACC2</v>
      </c>
      <c r="W870" t="str">
        <f t="shared" si="124"/>
        <v>GALLERIA SAN GIULIANO</v>
      </c>
      <c r="Z870" t="str">
        <f t="shared" si="125"/>
        <v>10.220.80.16</v>
      </c>
    </row>
    <row r="871" spans="1:26" x14ac:dyDescent="0.25">
      <c r="A871" t="s">
        <v>10</v>
      </c>
      <c r="B871" t="s">
        <v>1063</v>
      </c>
      <c r="C871" t="s">
        <v>1580</v>
      </c>
      <c r="D871" t="s">
        <v>1375</v>
      </c>
      <c r="E871" t="s">
        <v>1580</v>
      </c>
      <c r="F871" t="s">
        <v>14</v>
      </c>
      <c r="G871" t="s">
        <v>1375</v>
      </c>
      <c r="H871" t="s">
        <v>22</v>
      </c>
      <c r="I871" t="s">
        <v>1591</v>
      </c>
      <c r="J871" t="s">
        <v>1375</v>
      </c>
      <c r="K871" t="str">
        <f t="shared" si="117"/>
        <v>1213.10</v>
      </c>
      <c r="N871" t="str">
        <f t="shared" si="118"/>
        <v>HOLDING REGISTER</v>
      </c>
      <c r="O871" t="str">
        <f t="shared" si="119"/>
        <v>BOOL</v>
      </c>
      <c r="P871" t="str">
        <f t="shared" si="120"/>
        <v>disponibile SOS ACC2</v>
      </c>
      <c r="R871" t="str">
        <f t="shared" si="121"/>
        <v>disponibile</v>
      </c>
      <c r="U871" t="str">
        <f t="shared" si="122"/>
        <v>disponibile</v>
      </c>
      <c r="V871" t="str">
        <f t="shared" si="123"/>
        <v>SOS ACC2</v>
      </c>
      <c r="W871" t="str">
        <f t="shared" si="124"/>
        <v>GALLERIA SAN GIULIANO</v>
      </c>
      <c r="Z871" t="str">
        <f t="shared" si="125"/>
        <v>10.220.80.16</v>
      </c>
    </row>
    <row r="872" spans="1:26" x14ac:dyDescent="0.25">
      <c r="A872" t="s">
        <v>10</v>
      </c>
      <c r="B872" t="s">
        <v>1063</v>
      </c>
      <c r="C872" t="s">
        <v>1580</v>
      </c>
      <c r="D872" t="s">
        <v>1375</v>
      </c>
      <c r="E872" t="s">
        <v>1580</v>
      </c>
      <c r="F872" t="s">
        <v>14</v>
      </c>
      <c r="G872" t="s">
        <v>1375</v>
      </c>
      <c r="H872" t="s">
        <v>22</v>
      </c>
      <c r="I872" t="s">
        <v>1592</v>
      </c>
      <c r="J872" t="s">
        <v>1375</v>
      </c>
      <c r="K872" t="str">
        <f t="shared" si="117"/>
        <v>1213.11</v>
      </c>
      <c r="N872" t="str">
        <f t="shared" si="118"/>
        <v>HOLDING REGISTER</v>
      </c>
      <c r="O872" t="str">
        <f t="shared" si="119"/>
        <v>BOOL</v>
      </c>
      <c r="P872" t="str">
        <f t="shared" si="120"/>
        <v>disponibile SOS ACC2</v>
      </c>
      <c r="R872" t="str">
        <f t="shared" si="121"/>
        <v>disponibile</v>
      </c>
      <c r="U872" t="str">
        <f t="shared" si="122"/>
        <v>disponibile</v>
      </c>
      <c r="V872" t="str">
        <f t="shared" si="123"/>
        <v>SOS ACC2</v>
      </c>
      <c r="W872" t="str">
        <f t="shared" si="124"/>
        <v>GALLERIA SAN GIULIANO</v>
      </c>
      <c r="Z872" t="str">
        <f t="shared" si="125"/>
        <v>10.220.80.16</v>
      </c>
    </row>
    <row r="873" spans="1:26" x14ac:dyDescent="0.25">
      <c r="A873" t="s">
        <v>10</v>
      </c>
      <c r="B873" t="s">
        <v>1063</v>
      </c>
      <c r="C873" t="s">
        <v>1580</v>
      </c>
      <c r="D873" t="s">
        <v>1375</v>
      </c>
      <c r="E873" t="s">
        <v>1580</v>
      </c>
      <c r="F873" t="s">
        <v>14</v>
      </c>
      <c r="G873" t="s">
        <v>1375</v>
      </c>
      <c r="H873" t="s">
        <v>22</v>
      </c>
      <c r="I873" t="s">
        <v>1593</v>
      </c>
      <c r="J873" t="s">
        <v>1375</v>
      </c>
      <c r="K873" t="str">
        <f t="shared" si="117"/>
        <v>1213.12</v>
      </c>
      <c r="N873" t="str">
        <f t="shared" si="118"/>
        <v>HOLDING REGISTER</v>
      </c>
      <c r="O873" t="str">
        <f t="shared" si="119"/>
        <v>BOOL</v>
      </c>
      <c r="P873" t="str">
        <f t="shared" si="120"/>
        <v>disponibile SOS ACC2</v>
      </c>
      <c r="R873" t="str">
        <f t="shared" si="121"/>
        <v>disponibile</v>
      </c>
      <c r="U873" t="str">
        <f t="shared" si="122"/>
        <v>disponibile</v>
      </c>
      <c r="V873" t="str">
        <f t="shared" si="123"/>
        <v>SOS ACC2</v>
      </c>
      <c r="W873" t="str">
        <f t="shared" si="124"/>
        <v>GALLERIA SAN GIULIANO</v>
      </c>
      <c r="Z873" t="str">
        <f t="shared" si="125"/>
        <v>10.220.80.16</v>
      </c>
    </row>
    <row r="874" spans="1:26" x14ac:dyDescent="0.25">
      <c r="A874" t="s">
        <v>10</v>
      </c>
      <c r="B874" t="s">
        <v>1063</v>
      </c>
      <c r="C874" t="s">
        <v>1580</v>
      </c>
      <c r="D874" t="s">
        <v>12</v>
      </c>
      <c r="E874" t="s">
        <v>1580</v>
      </c>
      <c r="F874" t="s">
        <v>14</v>
      </c>
      <c r="G874" t="s">
        <v>28</v>
      </c>
      <c r="H874" t="s">
        <v>22</v>
      </c>
      <c r="I874" t="s">
        <v>1594</v>
      </c>
      <c r="J874" t="s">
        <v>1381</v>
      </c>
      <c r="K874" t="str">
        <f t="shared" si="117"/>
        <v>1213.13</v>
      </c>
      <c r="N874" t="str">
        <f t="shared" si="118"/>
        <v>HOLDING REGISTER</v>
      </c>
      <c r="O874" t="str">
        <f t="shared" si="119"/>
        <v>BOOL</v>
      </c>
      <c r="P874" t="str">
        <f t="shared" si="120"/>
        <v>PLC SOS ACC2</v>
      </c>
      <c r="R874" t="str">
        <f t="shared" si="121"/>
        <v>PLC IN STOP</v>
      </c>
      <c r="U874" t="str">
        <f t="shared" si="122"/>
        <v>Allarme</v>
      </c>
      <c r="V874" t="str">
        <f t="shared" si="123"/>
        <v>SOS ACC2</v>
      </c>
      <c r="W874" t="str">
        <f t="shared" si="124"/>
        <v>GALLERIA SAN GIULIANO</v>
      </c>
      <c r="Z874" t="str">
        <f t="shared" si="125"/>
        <v>10.220.80.16</v>
      </c>
    </row>
    <row r="875" spans="1:26" x14ac:dyDescent="0.25">
      <c r="A875" t="s">
        <v>10</v>
      </c>
      <c r="B875" t="s">
        <v>1063</v>
      </c>
      <c r="C875" t="s">
        <v>1580</v>
      </c>
      <c r="D875" t="s">
        <v>12</v>
      </c>
      <c r="E875" t="s">
        <v>1580</v>
      </c>
      <c r="F875" t="s">
        <v>14</v>
      </c>
      <c r="G875" t="s">
        <v>28</v>
      </c>
      <c r="H875" t="s">
        <v>22</v>
      </c>
      <c r="I875" t="s">
        <v>1595</v>
      </c>
      <c r="J875" t="s">
        <v>1383</v>
      </c>
      <c r="K875" t="str">
        <f t="shared" si="117"/>
        <v>1213.14</v>
      </c>
      <c r="N875" t="str">
        <f t="shared" si="118"/>
        <v>HOLDING REGISTER</v>
      </c>
      <c r="O875" t="str">
        <f t="shared" si="119"/>
        <v>BOOL</v>
      </c>
      <c r="P875" t="str">
        <f t="shared" si="120"/>
        <v>PLC SOS ACC2</v>
      </c>
      <c r="R875" t="str">
        <f t="shared" si="121"/>
        <v>FAULT COMUNICAZIONE ETHERNET</v>
      </c>
      <c r="U875" t="str">
        <f t="shared" si="122"/>
        <v>Allarme</v>
      </c>
      <c r="V875" t="str">
        <f t="shared" si="123"/>
        <v>SOS ACC2</v>
      </c>
      <c r="W875" t="str">
        <f t="shared" si="124"/>
        <v>GALLERIA SAN GIULIANO</v>
      </c>
      <c r="Z875" t="str">
        <f t="shared" si="125"/>
        <v>10.220.80.16</v>
      </c>
    </row>
    <row r="876" spans="1:26" x14ac:dyDescent="0.25">
      <c r="A876" t="s">
        <v>10</v>
      </c>
      <c r="B876" t="s">
        <v>1063</v>
      </c>
      <c r="C876" t="s">
        <v>1580</v>
      </c>
      <c r="D876" t="s">
        <v>1384</v>
      </c>
      <c r="E876" t="s">
        <v>1580</v>
      </c>
      <c r="F876" t="s">
        <v>14</v>
      </c>
      <c r="G876" t="s">
        <v>21</v>
      </c>
      <c r="H876" t="s">
        <v>22</v>
      </c>
      <c r="I876" t="s">
        <v>1596</v>
      </c>
      <c r="J876" t="s">
        <v>1386</v>
      </c>
      <c r="K876" t="str">
        <f t="shared" si="117"/>
        <v>1213.15</v>
      </c>
      <c r="N876" t="str">
        <f t="shared" si="118"/>
        <v>HOLDING REGISTER</v>
      </c>
      <c r="O876" t="str">
        <f t="shared" si="119"/>
        <v>BOOL</v>
      </c>
      <c r="P876" t="str">
        <f t="shared" si="120"/>
        <v xml:space="preserve">  SOS ACC2</v>
      </c>
      <c r="R876" t="str">
        <f t="shared" si="121"/>
        <v>FEEDBACK RESET DA RMT</v>
      </c>
      <c r="U876" t="str">
        <f t="shared" si="122"/>
        <v>Stato</v>
      </c>
      <c r="V876" t="str">
        <f t="shared" si="123"/>
        <v>SOS ACC2</v>
      </c>
      <c r="W876" t="str">
        <f t="shared" si="124"/>
        <v>GALLERIA SAN GIULIANO</v>
      </c>
      <c r="Z876" t="str">
        <f t="shared" si="125"/>
        <v>10.220.80.16</v>
      </c>
    </row>
    <row r="877" spans="1:26" x14ac:dyDescent="0.25">
      <c r="A877" t="s">
        <v>10</v>
      </c>
      <c r="B877" t="s">
        <v>1063</v>
      </c>
      <c r="C877" t="s">
        <v>1597</v>
      </c>
      <c r="D877" t="s">
        <v>1354</v>
      </c>
      <c r="E877" t="s">
        <v>1597</v>
      </c>
      <c r="F877" t="s">
        <v>14</v>
      </c>
      <c r="G877" t="s">
        <v>28</v>
      </c>
      <c r="H877" t="s">
        <v>22</v>
      </c>
      <c r="I877" t="s">
        <v>1598</v>
      </c>
      <c r="J877" t="s">
        <v>1356</v>
      </c>
      <c r="K877" t="str">
        <f t="shared" si="117"/>
        <v>1214.0</v>
      </c>
      <c r="N877" t="str">
        <f t="shared" si="118"/>
        <v>HOLDING REGISTER</v>
      </c>
      <c r="O877" t="str">
        <f t="shared" si="119"/>
        <v>BOOL</v>
      </c>
      <c r="P877" t="str">
        <f t="shared" si="120"/>
        <v>PULSANTE CHIAMATA SOS PIAZZ</v>
      </c>
      <c r="R877" t="str">
        <f t="shared" si="121"/>
        <v>CHIAMATA 118 EFFETTUATA</v>
      </c>
      <c r="U877" t="str">
        <f t="shared" si="122"/>
        <v>Allarme</v>
      </c>
      <c r="V877" t="str">
        <f t="shared" si="123"/>
        <v>SOS PIAZZ</v>
      </c>
      <c r="W877" t="str">
        <f t="shared" si="124"/>
        <v>GALLERIA SAN GIULIANO</v>
      </c>
      <c r="Z877" t="str">
        <f t="shared" si="125"/>
        <v>10.220.80.16</v>
      </c>
    </row>
    <row r="878" spans="1:26" x14ac:dyDescent="0.25">
      <c r="A878" t="s">
        <v>10</v>
      </c>
      <c r="B878" t="s">
        <v>1063</v>
      </c>
      <c r="C878" t="s">
        <v>1597</v>
      </c>
      <c r="D878" t="s">
        <v>1354</v>
      </c>
      <c r="E878" t="s">
        <v>1597</v>
      </c>
      <c r="F878" t="s">
        <v>14</v>
      </c>
      <c r="G878" t="s">
        <v>28</v>
      </c>
      <c r="H878" t="s">
        <v>22</v>
      </c>
      <c r="I878" t="s">
        <v>1599</v>
      </c>
      <c r="J878" t="s">
        <v>1358</v>
      </c>
      <c r="K878" t="str">
        <f t="shared" si="117"/>
        <v>1214.1</v>
      </c>
      <c r="N878" t="str">
        <f t="shared" si="118"/>
        <v>HOLDING REGISTER</v>
      </c>
      <c r="O878" t="str">
        <f t="shared" si="119"/>
        <v>BOOL</v>
      </c>
      <c r="P878" t="str">
        <f t="shared" si="120"/>
        <v>PULSANTE CHIAMATA SOS PIAZZ</v>
      </c>
      <c r="R878" t="str">
        <f t="shared" si="121"/>
        <v>CHIAMATA 113 EFFETTUATA</v>
      </c>
      <c r="U878" t="str">
        <f t="shared" si="122"/>
        <v>Allarme</v>
      </c>
      <c r="V878" t="str">
        <f t="shared" si="123"/>
        <v>SOS PIAZZ</v>
      </c>
      <c r="W878" t="str">
        <f t="shared" si="124"/>
        <v>GALLERIA SAN GIULIANO</v>
      </c>
      <c r="Z878" t="str">
        <f t="shared" si="125"/>
        <v>10.220.80.16</v>
      </c>
    </row>
    <row r="879" spans="1:26" x14ac:dyDescent="0.25">
      <c r="A879" t="s">
        <v>10</v>
      </c>
      <c r="B879" t="s">
        <v>1063</v>
      </c>
      <c r="C879" t="s">
        <v>1597</v>
      </c>
      <c r="D879" t="s">
        <v>1354</v>
      </c>
      <c r="E879" t="s">
        <v>1597</v>
      </c>
      <c r="F879" t="s">
        <v>14</v>
      </c>
      <c r="G879" t="s">
        <v>28</v>
      </c>
      <c r="H879" t="s">
        <v>22</v>
      </c>
      <c r="I879" t="s">
        <v>1600</v>
      </c>
      <c r="J879" t="s">
        <v>1360</v>
      </c>
      <c r="K879" t="str">
        <f t="shared" si="117"/>
        <v>1214.2</v>
      </c>
      <c r="N879" t="str">
        <f t="shared" si="118"/>
        <v>HOLDING REGISTER</v>
      </c>
      <c r="O879" t="str">
        <f t="shared" si="119"/>
        <v>BOOL</v>
      </c>
      <c r="P879" t="str">
        <f t="shared" si="120"/>
        <v>PULSANTE CHIAMATA SOS PIAZZ</v>
      </c>
      <c r="R879" t="str">
        <f t="shared" si="121"/>
        <v>CHIAMATA 115 EFFETTUATA</v>
      </c>
      <c r="U879" t="str">
        <f t="shared" si="122"/>
        <v>Allarme</v>
      </c>
      <c r="V879" t="str">
        <f t="shared" si="123"/>
        <v>SOS PIAZZ</v>
      </c>
      <c r="W879" t="str">
        <f t="shared" si="124"/>
        <v>GALLERIA SAN GIULIANO</v>
      </c>
      <c r="Z879" t="str">
        <f t="shared" si="125"/>
        <v>10.220.80.16</v>
      </c>
    </row>
    <row r="880" spans="1:26" x14ac:dyDescent="0.25">
      <c r="A880" t="s">
        <v>10</v>
      </c>
      <c r="B880" t="s">
        <v>1063</v>
      </c>
      <c r="C880" t="s">
        <v>1597</v>
      </c>
      <c r="D880" t="s">
        <v>1354</v>
      </c>
      <c r="E880" t="s">
        <v>1597</v>
      </c>
      <c r="F880" t="s">
        <v>14</v>
      </c>
      <c r="G880" t="s">
        <v>28</v>
      </c>
      <c r="H880" t="s">
        <v>22</v>
      </c>
      <c r="I880" t="s">
        <v>1601</v>
      </c>
      <c r="J880" t="s">
        <v>1362</v>
      </c>
      <c r="K880" t="str">
        <f t="shared" si="117"/>
        <v>1214.3</v>
      </c>
      <c r="N880" t="str">
        <f t="shared" si="118"/>
        <v>HOLDING REGISTER</v>
      </c>
      <c r="O880" t="str">
        <f t="shared" si="119"/>
        <v>BOOL</v>
      </c>
      <c r="P880" t="str">
        <f t="shared" si="120"/>
        <v>PULSANTE CHIAMATA SOS PIAZZ</v>
      </c>
      <c r="R880" t="str">
        <f t="shared" si="121"/>
        <v>CHIAMATA SALA CONTROLLO ANAS EFFETTUATA</v>
      </c>
      <c r="U880" t="str">
        <f t="shared" si="122"/>
        <v>Allarme</v>
      </c>
      <c r="V880" t="str">
        <f t="shared" si="123"/>
        <v>SOS PIAZZ</v>
      </c>
      <c r="W880" t="str">
        <f t="shared" si="124"/>
        <v>GALLERIA SAN GIULIANO</v>
      </c>
      <c r="Z880" t="str">
        <f t="shared" si="125"/>
        <v>10.220.80.16</v>
      </c>
    </row>
    <row r="881" spans="1:26" x14ac:dyDescent="0.25">
      <c r="A881" t="s">
        <v>10</v>
      </c>
      <c r="B881" t="s">
        <v>1063</v>
      </c>
      <c r="C881" t="s">
        <v>1597</v>
      </c>
      <c r="D881" t="s">
        <v>1363</v>
      </c>
      <c r="E881" t="s">
        <v>1597</v>
      </c>
      <c r="F881" t="s">
        <v>14</v>
      </c>
      <c r="G881" t="s">
        <v>28</v>
      </c>
      <c r="H881" t="s">
        <v>22</v>
      </c>
      <c r="I881" t="s">
        <v>1602</v>
      </c>
      <c r="J881" t="s">
        <v>1365</v>
      </c>
      <c r="K881" t="str">
        <f t="shared" si="117"/>
        <v>1214.4</v>
      </c>
      <c r="N881" t="str">
        <f t="shared" si="118"/>
        <v>HOLDING REGISTER</v>
      </c>
      <c r="O881" t="str">
        <f t="shared" si="119"/>
        <v>BOOL</v>
      </c>
      <c r="P881" t="str">
        <f t="shared" si="120"/>
        <v>ESTINTORE SOS PIAZZ</v>
      </c>
      <c r="R881" t="str">
        <f t="shared" si="121"/>
        <v>ESTINTORE PRELEVATO 1</v>
      </c>
      <c r="U881" t="str">
        <f t="shared" si="122"/>
        <v>Allarme</v>
      </c>
      <c r="V881" t="str">
        <f t="shared" si="123"/>
        <v>SOS PIAZZ</v>
      </c>
      <c r="W881" t="str">
        <f t="shared" si="124"/>
        <v>GALLERIA SAN GIULIANO</v>
      </c>
      <c r="Z881" t="str">
        <f t="shared" si="125"/>
        <v>10.220.80.16</v>
      </c>
    </row>
    <row r="882" spans="1:26" x14ac:dyDescent="0.25">
      <c r="A882" t="s">
        <v>10</v>
      </c>
      <c r="B882" t="s">
        <v>1063</v>
      </c>
      <c r="C882" t="s">
        <v>1597</v>
      </c>
      <c r="D882" t="s">
        <v>1363</v>
      </c>
      <c r="E882" t="s">
        <v>1597</v>
      </c>
      <c r="F882" t="s">
        <v>14</v>
      </c>
      <c r="G882" t="s">
        <v>28</v>
      </c>
      <c r="H882" t="s">
        <v>22</v>
      </c>
      <c r="I882" t="s">
        <v>1603</v>
      </c>
      <c r="J882" t="s">
        <v>1367</v>
      </c>
      <c r="K882" t="str">
        <f t="shared" si="117"/>
        <v>1214.5</v>
      </c>
      <c r="N882" t="str">
        <f t="shared" si="118"/>
        <v>HOLDING REGISTER</v>
      </c>
      <c r="O882" t="str">
        <f t="shared" si="119"/>
        <v>BOOL</v>
      </c>
      <c r="P882" t="str">
        <f t="shared" si="120"/>
        <v>ESTINTORE SOS PIAZZ</v>
      </c>
      <c r="R882" t="str">
        <f t="shared" si="121"/>
        <v>ESTINTORE PRELEVATO 2</v>
      </c>
      <c r="U882" t="str">
        <f t="shared" si="122"/>
        <v>Allarme</v>
      </c>
      <c r="V882" t="str">
        <f t="shared" si="123"/>
        <v>SOS PIAZZ</v>
      </c>
      <c r="W882" t="str">
        <f t="shared" si="124"/>
        <v>GALLERIA SAN GIULIANO</v>
      </c>
      <c r="Z882" t="str">
        <f t="shared" si="125"/>
        <v>10.220.80.16</v>
      </c>
    </row>
    <row r="883" spans="1:26" x14ac:dyDescent="0.25">
      <c r="A883" t="s">
        <v>10</v>
      </c>
      <c r="B883" t="s">
        <v>1063</v>
      </c>
      <c r="C883" t="s">
        <v>1597</v>
      </c>
      <c r="D883" t="s">
        <v>1368</v>
      </c>
      <c r="E883" t="s">
        <v>1597</v>
      </c>
      <c r="F883" t="s">
        <v>14</v>
      </c>
      <c r="G883" t="s">
        <v>28</v>
      </c>
      <c r="H883" t="s">
        <v>22</v>
      </c>
      <c r="I883" t="s">
        <v>1604</v>
      </c>
      <c r="J883" t="s">
        <v>1370</v>
      </c>
      <c r="K883" t="str">
        <f t="shared" si="117"/>
        <v>1214.6</v>
      </c>
      <c r="N883" t="str">
        <f t="shared" si="118"/>
        <v>HOLDING REGISTER</v>
      </c>
      <c r="O883" t="str">
        <f t="shared" si="119"/>
        <v>BOOL</v>
      </c>
      <c r="P883" t="str">
        <f t="shared" si="120"/>
        <v>PORTA SOS PIAZZ</v>
      </c>
      <c r="R883" t="str">
        <f t="shared" si="121"/>
        <v>MANICHETTA PRELEVATA</v>
      </c>
      <c r="U883" t="str">
        <f t="shared" si="122"/>
        <v>Allarme</v>
      </c>
      <c r="V883" t="str">
        <f t="shared" si="123"/>
        <v>SOS PIAZZ</v>
      </c>
      <c r="W883" t="str">
        <f t="shared" si="124"/>
        <v>GALLERIA SAN GIULIANO</v>
      </c>
      <c r="Z883" t="str">
        <f t="shared" si="125"/>
        <v>10.220.80.16</v>
      </c>
    </row>
    <row r="884" spans="1:26" x14ac:dyDescent="0.25">
      <c r="A884" t="s">
        <v>10</v>
      </c>
      <c r="B884" t="s">
        <v>1063</v>
      </c>
      <c r="C884" t="s">
        <v>1597</v>
      </c>
      <c r="D884" t="s">
        <v>1368</v>
      </c>
      <c r="E884" t="s">
        <v>1597</v>
      </c>
      <c r="F884" t="s">
        <v>14</v>
      </c>
      <c r="G884" t="s">
        <v>28</v>
      </c>
      <c r="H884" t="s">
        <v>22</v>
      </c>
      <c r="I884" t="s">
        <v>1605</v>
      </c>
      <c r="J884" t="s">
        <v>1372</v>
      </c>
      <c r="K884" t="str">
        <f t="shared" si="117"/>
        <v>1214.7</v>
      </c>
      <c r="N884" t="str">
        <f t="shared" si="118"/>
        <v>HOLDING REGISTER</v>
      </c>
      <c r="O884" t="str">
        <f t="shared" si="119"/>
        <v>BOOL</v>
      </c>
      <c r="P884" t="str">
        <f t="shared" si="120"/>
        <v>PORTA SOS PIAZZ</v>
      </c>
      <c r="R884" t="str">
        <f t="shared" si="121"/>
        <v>PORTA TELEFONO VOIP APERTA</v>
      </c>
      <c r="U884" t="str">
        <f t="shared" si="122"/>
        <v>Allarme</v>
      </c>
      <c r="V884" t="str">
        <f t="shared" si="123"/>
        <v>SOS PIAZZ</v>
      </c>
      <c r="W884" t="str">
        <f t="shared" si="124"/>
        <v>GALLERIA SAN GIULIANO</v>
      </c>
      <c r="Z884" t="str">
        <f t="shared" si="125"/>
        <v>10.220.80.16</v>
      </c>
    </row>
    <row r="885" spans="1:26" x14ac:dyDescent="0.25">
      <c r="A885" t="s">
        <v>10</v>
      </c>
      <c r="B885" t="s">
        <v>1063</v>
      </c>
      <c r="C885" t="s">
        <v>1597</v>
      </c>
      <c r="D885" t="s">
        <v>1368</v>
      </c>
      <c r="E885" t="s">
        <v>1597</v>
      </c>
      <c r="F885" t="s">
        <v>14</v>
      </c>
      <c r="G885" t="s">
        <v>28</v>
      </c>
      <c r="H885" t="s">
        <v>22</v>
      </c>
      <c r="I885" t="s">
        <v>1606</v>
      </c>
      <c r="J885" t="s">
        <v>1374</v>
      </c>
      <c r="K885" t="str">
        <f t="shared" si="117"/>
        <v>1214.8</v>
      </c>
      <c r="N885" t="str">
        <f t="shared" si="118"/>
        <v>HOLDING REGISTER</v>
      </c>
      <c r="O885" t="str">
        <f t="shared" si="119"/>
        <v>BOOL</v>
      </c>
      <c r="P885" t="str">
        <f t="shared" si="120"/>
        <v>PORTA SOS PIAZZ</v>
      </c>
      <c r="R885" t="str">
        <f t="shared" si="121"/>
        <v>PORTA VANO TECNICO APERTA</v>
      </c>
      <c r="U885" t="str">
        <f t="shared" si="122"/>
        <v>Allarme</v>
      </c>
      <c r="V885" t="str">
        <f t="shared" si="123"/>
        <v>SOS PIAZZ</v>
      </c>
      <c r="W885" t="str">
        <f t="shared" si="124"/>
        <v>GALLERIA SAN GIULIANO</v>
      </c>
      <c r="Z885" t="str">
        <f t="shared" si="125"/>
        <v>10.220.80.16</v>
      </c>
    </row>
    <row r="886" spans="1:26" x14ac:dyDescent="0.25">
      <c r="A886" t="s">
        <v>10</v>
      </c>
      <c r="B886" t="s">
        <v>1063</v>
      </c>
      <c r="C886" t="s">
        <v>1597</v>
      </c>
      <c r="D886" t="s">
        <v>1375</v>
      </c>
      <c r="E886" t="s">
        <v>1597</v>
      </c>
      <c r="F886" t="s">
        <v>14</v>
      </c>
      <c r="G886" t="s">
        <v>1375</v>
      </c>
      <c r="H886" t="s">
        <v>22</v>
      </c>
      <c r="I886" t="s">
        <v>1607</v>
      </c>
      <c r="J886" t="s">
        <v>1375</v>
      </c>
      <c r="K886" t="str">
        <f t="shared" si="117"/>
        <v>1214.9</v>
      </c>
      <c r="N886" t="str">
        <f t="shared" si="118"/>
        <v>HOLDING REGISTER</v>
      </c>
      <c r="O886" t="str">
        <f t="shared" si="119"/>
        <v>BOOL</v>
      </c>
      <c r="P886" t="str">
        <f t="shared" si="120"/>
        <v>disponibile SOS PIAZZ</v>
      </c>
      <c r="R886" t="str">
        <f t="shared" si="121"/>
        <v>disponibile</v>
      </c>
      <c r="U886" t="str">
        <f t="shared" si="122"/>
        <v>disponibile</v>
      </c>
      <c r="V886" t="str">
        <f t="shared" si="123"/>
        <v>SOS PIAZZ</v>
      </c>
      <c r="W886" t="str">
        <f t="shared" si="124"/>
        <v>GALLERIA SAN GIULIANO</v>
      </c>
      <c r="Z886" t="str">
        <f t="shared" si="125"/>
        <v>10.220.80.16</v>
      </c>
    </row>
    <row r="887" spans="1:26" x14ac:dyDescent="0.25">
      <c r="A887" t="s">
        <v>10</v>
      </c>
      <c r="B887" t="s">
        <v>1063</v>
      </c>
      <c r="C887" t="s">
        <v>1597</v>
      </c>
      <c r="D887" t="s">
        <v>1375</v>
      </c>
      <c r="E887" t="s">
        <v>1597</v>
      </c>
      <c r="F887" t="s">
        <v>14</v>
      </c>
      <c r="G887" t="s">
        <v>1375</v>
      </c>
      <c r="H887" t="s">
        <v>22</v>
      </c>
      <c r="I887" t="s">
        <v>1608</v>
      </c>
      <c r="J887" t="s">
        <v>1375</v>
      </c>
      <c r="K887" t="str">
        <f t="shared" si="117"/>
        <v>1214.10</v>
      </c>
      <c r="N887" t="str">
        <f t="shared" si="118"/>
        <v>HOLDING REGISTER</v>
      </c>
      <c r="O887" t="str">
        <f t="shared" si="119"/>
        <v>BOOL</v>
      </c>
      <c r="P887" t="str">
        <f t="shared" si="120"/>
        <v>disponibile SOS PIAZZ</v>
      </c>
      <c r="R887" t="str">
        <f t="shared" si="121"/>
        <v>disponibile</v>
      </c>
      <c r="U887" t="str">
        <f t="shared" si="122"/>
        <v>disponibile</v>
      </c>
      <c r="V887" t="str">
        <f t="shared" si="123"/>
        <v>SOS PIAZZ</v>
      </c>
      <c r="W887" t="str">
        <f t="shared" si="124"/>
        <v>GALLERIA SAN GIULIANO</v>
      </c>
      <c r="Z887" t="str">
        <f t="shared" si="125"/>
        <v>10.220.80.16</v>
      </c>
    </row>
    <row r="888" spans="1:26" x14ac:dyDescent="0.25">
      <c r="A888" t="s">
        <v>10</v>
      </c>
      <c r="B888" t="s">
        <v>1063</v>
      </c>
      <c r="C888" t="s">
        <v>1597</v>
      </c>
      <c r="D888" t="s">
        <v>1375</v>
      </c>
      <c r="E888" t="s">
        <v>1597</v>
      </c>
      <c r="F888" t="s">
        <v>14</v>
      </c>
      <c r="G888" t="s">
        <v>1375</v>
      </c>
      <c r="H888" t="s">
        <v>22</v>
      </c>
      <c r="I888" t="s">
        <v>1609</v>
      </c>
      <c r="J888" t="s">
        <v>1375</v>
      </c>
      <c r="K888" t="str">
        <f t="shared" si="117"/>
        <v>1214.11</v>
      </c>
      <c r="N888" t="str">
        <f t="shared" si="118"/>
        <v>HOLDING REGISTER</v>
      </c>
      <c r="O888" t="str">
        <f t="shared" si="119"/>
        <v>BOOL</v>
      </c>
      <c r="P888" t="str">
        <f t="shared" si="120"/>
        <v>disponibile SOS PIAZZ</v>
      </c>
      <c r="R888" t="str">
        <f t="shared" si="121"/>
        <v>disponibile</v>
      </c>
      <c r="U888" t="str">
        <f t="shared" si="122"/>
        <v>disponibile</v>
      </c>
      <c r="V888" t="str">
        <f t="shared" si="123"/>
        <v>SOS PIAZZ</v>
      </c>
      <c r="W888" t="str">
        <f t="shared" si="124"/>
        <v>GALLERIA SAN GIULIANO</v>
      </c>
      <c r="Z888" t="str">
        <f t="shared" si="125"/>
        <v>10.220.80.16</v>
      </c>
    </row>
    <row r="889" spans="1:26" x14ac:dyDescent="0.25">
      <c r="A889" t="s">
        <v>10</v>
      </c>
      <c r="B889" t="s">
        <v>1063</v>
      </c>
      <c r="C889" t="s">
        <v>1597</v>
      </c>
      <c r="D889" t="s">
        <v>1375</v>
      </c>
      <c r="E889" t="s">
        <v>1597</v>
      </c>
      <c r="F889" t="s">
        <v>14</v>
      </c>
      <c r="G889" t="s">
        <v>1375</v>
      </c>
      <c r="H889" t="s">
        <v>22</v>
      </c>
      <c r="I889" t="s">
        <v>1610</v>
      </c>
      <c r="J889" t="s">
        <v>1375</v>
      </c>
      <c r="K889" t="str">
        <f t="shared" si="117"/>
        <v>1214.12</v>
      </c>
      <c r="N889" t="str">
        <f t="shared" si="118"/>
        <v>HOLDING REGISTER</v>
      </c>
      <c r="O889" t="str">
        <f t="shared" si="119"/>
        <v>BOOL</v>
      </c>
      <c r="P889" t="str">
        <f t="shared" si="120"/>
        <v>disponibile SOS PIAZZ</v>
      </c>
      <c r="R889" t="str">
        <f t="shared" si="121"/>
        <v>disponibile</v>
      </c>
      <c r="U889" t="str">
        <f t="shared" si="122"/>
        <v>disponibile</v>
      </c>
      <c r="V889" t="str">
        <f t="shared" si="123"/>
        <v>SOS PIAZZ</v>
      </c>
      <c r="W889" t="str">
        <f t="shared" si="124"/>
        <v>GALLERIA SAN GIULIANO</v>
      </c>
      <c r="Z889" t="str">
        <f t="shared" si="125"/>
        <v>10.220.80.16</v>
      </c>
    </row>
    <row r="890" spans="1:26" x14ac:dyDescent="0.25">
      <c r="A890" t="s">
        <v>10</v>
      </c>
      <c r="B890" t="s">
        <v>1063</v>
      </c>
      <c r="C890" t="s">
        <v>1597</v>
      </c>
      <c r="D890" t="s">
        <v>12</v>
      </c>
      <c r="E890" t="s">
        <v>1597</v>
      </c>
      <c r="F890" t="s">
        <v>14</v>
      </c>
      <c r="G890" t="s">
        <v>28</v>
      </c>
      <c r="H890" t="s">
        <v>22</v>
      </c>
      <c r="I890" t="s">
        <v>1611</v>
      </c>
      <c r="J890" t="s">
        <v>1381</v>
      </c>
      <c r="K890" t="str">
        <f t="shared" si="117"/>
        <v>1214.13</v>
      </c>
      <c r="N890" t="str">
        <f t="shared" si="118"/>
        <v>HOLDING REGISTER</v>
      </c>
      <c r="O890" t="str">
        <f t="shared" si="119"/>
        <v>BOOL</v>
      </c>
      <c r="P890" t="str">
        <f t="shared" si="120"/>
        <v>PLC SOS PIAZZ</v>
      </c>
      <c r="R890" t="str">
        <f t="shared" si="121"/>
        <v>PLC IN STOP</v>
      </c>
      <c r="U890" t="str">
        <f t="shared" si="122"/>
        <v>Allarme</v>
      </c>
      <c r="V890" t="str">
        <f t="shared" si="123"/>
        <v>SOS PIAZZ</v>
      </c>
      <c r="W890" t="str">
        <f t="shared" si="124"/>
        <v>GALLERIA SAN GIULIANO</v>
      </c>
      <c r="Z890" t="str">
        <f t="shared" si="125"/>
        <v>10.220.80.16</v>
      </c>
    </row>
    <row r="891" spans="1:26" x14ac:dyDescent="0.25">
      <c r="A891" t="s">
        <v>10</v>
      </c>
      <c r="B891" t="s">
        <v>1063</v>
      </c>
      <c r="C891" t="s">
        <v>1597</v>
      </c>
      <c r="D891" t="s">
        <v>12</v>
      </c>
      <c r="E891" t="s">
        <v>1597</v>
      </c>
      <c r="F891" t="s">
        <v>14</v>
      </c>
      <c r="G891" t="s">
        <v>28</v>
      </c>
      <c r="H891" t="s">
        <v>22</v>
      </c>
      <c r="I891" t="s">
        <v>1612</v>
      </c>
      <c r="J891" t="s">
        <v>1383</v>
      </c>
      <c r="K891" t="str">
        <f t="shared" si="117"/>
        <v>1214.14</v>
      </c>
      <c r="N891" t="str">
        <f t="shared" si="118"/>
        <v>HOLDING REGISTER</v>
      </c>
      <c r="O891" t="str">
        <f t="shared" si="119"/>
        <v>BOOL</v>
      </c>
      <c r="P891" t="str">
        <f t="shared" si="120"/>
        <v>PLC SOS PIAZZ</v>
      </c>
      <c r="R891" t="str">
        <f t="shared" si="121"/>
        <v>FAULT COMUNICAZIONE ETHERNET</v>
      </c>
      <c r="U891" t="str">
        <f t="shared" si="122"/>
        <v>Allarme</v>
      </c>
      <c r="V891" t="str">
        <f t="shared" si="123"/>
        <v>SOS PIAZZ</v>
      </c>
      <c r="W891" t="str">
        <f t="shared" si="124"/>
        <v>GALLERIA SAN GIULIANO</v>
      </c>
      <c r="Z891" t="str">
        <f t="shared" si="125"/>
        <v>10.220.80.16</v>
      </c>
    </row>
    <row r="892" spans="1:26" x14ac:dyDescent="0.25">
      <c r="A892" t="s">
        <v>10</v>
      </c>
      <c r="B892" t="s">
        <v>1063</v>
      </c>
      <c r="C892" t="s">
        <v>1597</v>
      </c>
      <c r="D892" t="s">
        <v>1384</v>
      </c>
      <c r="E892" t="s">
        <v>1597</v>
      </c>
      <c r="F892" t="s">
        <v>14</v>
      </c>
      <c r="G892" t="s">
        <v>21</v>
      </c>
      <c r="H892" t="s">
        <v>22</v>
      </c>
      <c r="I892" t="s">
        <v>1613</v>
      </c>
      <c r="J892" t="s">
        <v>1386</v>
      </c>
      <c r="K892" t="str">
        <f t="shared" si="117"/>
        <v>1214.15</v>
      </c>
      <c r="N892" t="str">
        <f t="shared" si="118"/>
        <v>HOLDING REGISTER</v>
      </c>
      <c r="O892" t="str">
        <f t="shared" si="119"/>
        <v>BOOL</v>
      </c>
      <c r="P892" t="str">
        <f t="shared" si="120"/>
        <v xml:space="preserve">  SOS PIAZZ</v>
      </c>
      <c r="R892" t="str">
        <f t="shared" si="121"/>
        <v>FEEDBACK RESET DA RMT</v>
      </c>
      <c r="U892" t="str">
        <f t="shared" si="122"/>
        <v>Stato</v>
      </c>
      <c r="V892" t="str">
        <f t="shared" si="123"/>
        <v>SOS PIAZZ</v>
      </c>
      <c r="W892" t="str">
        <f t="shared" si="124"/>
        <v>GALLERIA SAN GIULIANO</v>
      </c>
      <c r="Z892" t="str">
        <f t="shared" si="125"/>
        <v>10.220.80.16</v>
      </c>
    </row>
    <row r="893" spans="1:26" x14ac:dyDescent="0.25">
      <c r="A893" t="s">
        <v>10</v>
      </c>
      <c r="B893" t="s">
        <v>11</v>
      </c>
      <c r="C893" t="s">
        <v>1614</v>
      </c>
      <c r="D893" t="s">
        <v>1615</v>
      </c>
      <c r="E893" t="s">
        <v>1615</v>
      </c>
      <c r="F893" t="s">
        <v>14</v>
      </c>
      <c r="G893" t="s">
        <v>28</v>
      </c>
      <c r="H893" t="s">
        <v>22</v>
      </c>
      <c r="I893" t="s">
        <v>1616</v>
      </c>
      <c r="J893" t="s">
        <v>1617</v>
      </c>
      <c r="K893" t="str">
        <f t="shared" si="117"/>
        <v>1037.9</v>
      </c>
      <c r="N893" t="str">
        <f t="shared" si="118"/>
        <v>HOLDING REGISTER</v>
      </c>
      <c r="O893" t="str">
        <f t="shared" si="119"/>
        <v>BOOL</v>
      </c>
      <c r="P893" t="str">
        <f t="shared" si="120"/>
        <v>SERVER A.I.D. SERVER A.I.D.</v>
      </c>
      <c r="R893" t="str">
        <f t="shared" si="121"/>
        <v>ERRORE COMUNICAZIONE CON SERVER MODBUS A.I.D.</v>
      </c>
      <c r="U893" t="str">
        <f t="shared" si="122"/>
        <v>Allarme</v>
      </c>
      <c r="V893" t="str">
        <f t="shared" si="123"/>
        <v>QRACK</v>
      </c>
      <c r="W893" t="str">
        <f t="shared" si="124"/>
        <v>CABINA PRINCIPALE</v>
      </c>
      <c r="Z893" t="str">
        <f t="shared" si="125"/>
        <v>10.220.80.16</v>
      </c>
    </row>
    <row r="894" spans="1:26" x14ac:dyDescent="0.25">
      <c r="A894" t="s">
        <v>10</v>
      </c>
      <c r="B894" t="s">
        <v>1063</v>
      </c>
      <c r="C894" t="s">
        <v>1618</v>
      </c>
      <c r="D894" t="s">
        <v>1619</v>
      </c>
      <c r="E894" t="s">
        <v>1620</v>
      </c>
      <c r="F894" t="s">
        <v>14</v>
      </c>
      <c r="G894" t="s">
        <v>21</v>
      </c>
      <c r="H894" t="s">
        <v>22</v>
      </c>
      <c r="I894" t="s">
        <v>1621</v>
      </c>
      <c r="J894" t="s">
        <v>1622</v>
      </c>
      <c r="K894" t="str">
        <f t="shared" si="117"/>
        <v>1215.0</v>
      </c>
      <c r="N894" t="str">
        <f t="shared" si="118"/>
        <v>HOLDING REGISTER</v>
      </c>
      <c r="O894" t="str">
        <f t="shared" si="119"/>
        <v>BOOL</v>
      </c>
      <c r="P894" t="str">
        <f t="shared" si="120"/>
        <v>TELECAMERA T01S</v>
      </c>
      <c r="R894" t="str">
        <f t="shared" si="121"/>
        <v>ALLARMI TELECAMERA ESCLUSI</v>
      </c>
      <c r="U894" t="str">
        <f t="shared" si="122"/>
        <v>Stato</v>
      </c>
      <c r="V894" t="str">
        <f t="shared" si="123"/>
        <v>DIREZIONE SUD</v>
      </c>
      <c r="W894" t="str">
        <f t="shared" si="124"/>
        <v>GALLERIA SAN GIULIANO</v>
      </c>
      <c r="Z894" t="str">
        <f t="shared" si="125"/>
        <v>10.220.80.16</v>
      </c>
    </row>
    <row r="895" spans="1:26" x14ac:dyDescent="0.25">
      <c r="A895" t="s">
        <v>10</v>
      </c>
      <c r="B895" t="s">
        <v>1063</v>
      </c>
      <c r="C895" t="s">
        <v>1618</v>
      </c>
      <c r="D895" t="s">
        <v>1619</v>
      </c>
      <c r="E895" t="s">
        <v>1620</v>
      </c>
      <c r="F895" t="s">
        <v>14</v>
      </c>
      <c r="G895" t="s">
        <v>21</v>
      </c>
      <c r="H895" t="s">
        <v>22</v>
      </c>
      <c r="I895" t="s">
        <v>1623</v>
      </c>
      <c r="J895" t="s">
        <v>1624</v>
      </c>
      <c r="K895" t="str">
        <f t="shared" si="117"/>
        <v>1215.1</v>
      </c>
      <c r="N895" t="str">
        <f t="shared" si="118"/>
        <v>HOLDING REGISTER</v>
      </c>
      <c r="O895" t="str">
        <f t="shared" si="119"/>
        <v>BOOL</v>
      </c>
      <c r="P895" t="str">
        <f t="shared" si="120"/>
        <v>TELECAMERA T01S</v>
      </c>
      <c r="R895" t="str">
        <f t="shared" si="121"/>
        <v>IN MANUTENZIONE ALLARME FUMO</v>
      </c>
      <c r="U895" t="str">
        <f t="shared" si="122"/>
        <v>Stato</v>
      </c>
      <c r="V895" t="str">
        <f t="shared" si="123"/>
        <v>DIREZIONE SUD</v>
      </c>
      <c r="W895" t="str">
        <f t="shared" si="124"/>
        <v>GALLERIA SAN GIULIANO</v>
      </c>
      <c r="Z895" t="str">
        <f t="shared" si="125"/>
        <v>10.220.80.16</v>
      </c>
    </row>
    <row r="896" spans="1:26" x14ac:dyDescent="0.25">
      <c r="A896" t="s">
        <v>10</v>
      </c>
      <c r="B896" t="s">
        <v>1063</v>
      </c>
      <c r="C896" t="s">
        <v>1618</v>
      </c>
      <c r="D896" t="s">
        <v>1619</v>
      </c>
      <c r="E896" t="s">
        <v>1620</v>
      </c>
      <c r="F896" t="s">
        <v>14</v>
      </c>
      <c r="G896" t="s">
        <v>21</v>
      </c>
      <c r="H896" t="s">
        <v>22</v>
      </c>
      <c r="I896" t="s">
        <v>1625</v>
      </c>
      <c r="J896" t="s">
        <v>1626</v>
      </c>
      <c r="K896" t="str">
        <f t="shared" si="117"/>
        <v>1215.2</v>
      </c>
      <c r="N896" t="str">
        <f t="shared" si="118"/>
        <v>HOLDING REGISTER</v>
      </c>
      <c r="O896" t="str">
        <f t="shared" si="119"/>
        <v>BOOL</v>
      </c>
      <c r="P896" t="str">
        <f t="shared" si="120"/>
        <v>TELECAMERA T01S</v>
      </c>
      <c r="R896" t="str">
        <f t="shared" si="121"/>
        <v>IN MANUTENZIONE ALLARMI TRAFFICO</v>
      </c>
      <c r="U896" t="str">
        <f t="shared" si="122"/>
        <v>Stato</v>
      </c>
      <c r="V896" t="str">
        <f t="shared" si="123"/>
        <v>DIREZIONE SUD</v>
      </c>
      <c r="W896" t="str">
        <f t="shared" si="124"/>
        <v>GALLERIA SAN GIULIANO</v>
      </c>
      <c r="Z896" t="str">
        <f t="shared" si="125"/>
        <v>10.220.80.16</v>
      </c>
    </row>
    <row r="897" spans="1:26" x14ac:dyDescent="0.25">
      <c r="A897" t="s">
        <v>10</v>
      </c>
      <c r="B897" t="s">
        <v>1063</v>
      </c>
      <c r="C897" t="s">
        <v>1618</v>
      </c>
      <c r="D897" t="s">
        <v>1619</v>
      </c>
      <c r="E897" t="s">
        <v>1620</v>
      </c>
      <c r="F897" t="s">
        <v>14</v>
      </c>
      <c r="G897" t="s">
        <v>1375</v>
      </c>
      <c r="H897" t="s">
        <v>22</v>
      </c>
      <c r="I897" t="s">
        <v>1627</v>
      </c>
      <c r="J897" t="s">
        <v>1375</v>
      </c>
      <c r="K897" t="str">
        <f t="shared" si="117"/>
        <v>1215.3</v>
      </c>
      <c r="N897" t="str">
        <f t="shared" si="118"/>
        <v>HOLDING REGISTER</v>
      </c>
      <c r="O897" t="str">
        <f t="shared" si="119"/>
        <v>BOOL</v>
      </c>
      <c r="P897" t="str">
        <f t="shared" si="120"/>
        <v>TELECAMERA T01S</v>
      </c>
      <c r="R897" t="str">
        <f t="shared" si="121"/>
        <v>disponibile</v>
      </c>
      <c r="U897" t="str">
        <f t="shared" si="122"/>
        <v>disponibile</v>
      </c>
      <c r="V897" t="str">
        <f t="shared" si="123"/>
        <v>DIREZIONE SUD</v>
      </c>
      <c r="W897" t="str">
        <f t="shared" si="124"/>
        <v>GALLERIA SAN GIULIANO</v>
      </c>
      <c r="Z897" t="str">
        <f t="shared" si="125"/>
        <v>10.220.80.16</v>
      </c>
    </row>
    <row r="898" spans="1:26" x14ac:dyDescent="0.25">
      <c r="A898" t="s">
        <v>10</v>
      </c>
      <c r="B898" t="s">
        <v>1063</v>
      </c>
      <c r="C898" t="s">
        <v>1618</v>
      </c>
      <c r="D898" t="s">
        <v>1619</v>
      </c>
      <c r="E898" t="s">
        <v>1620</v>
      </c>
      <c r="F898" t="s">
        <v>14</v>
      </c>
      <c r="G898" t="s">
        <v>1375</v>
      </c>
      <c r="H898" t="s">
        <v>22</v>
      </c>
      <c r="I898" t="s">
        <v>1628</v>
      </c>
      <c r="J898" t="s">
        <v>1375</v>
      </c>
      <c r="K898" t="str">
        <f t="shared" si="117"/>
        <v>1215.4</v>
      </c>
      <c r="N898" t="str">
        <f t="shared" si="118"/>
        <v>HOLDING REGISTER</v>
      </c>
      <c r="O898" t="str">
        <f t="shared" si="119"/>
        <v>BOOL</v>
      </c>
      <c r="P898" t="str">
        <f t="shared" si="120"/>
        <v>TELECAMERA T01S</v>
      </c>
      <c r="R898" t="str">
        <f t="shared" si="121"/>
        <v>disponibile</v>
      </c>
      <c r="U898" t="str">
        <f t="shared" si="122"/>
        <v>disponibile</v>
      </c>
      <c r="V898" t="str">
        <f t="shared" si="123"/>
        <v>DIREZIONE SUD</v>
      </c>
      <c r="W898" t="str">
        <f t="shared" si="124"/>
        <v>GALLERIA SAN GIULIANO</v>
      </c>
      <c r="Z898" t="str">
        <f t="shared" si="125"/>
        <v>10.220.80.16</v>
      </c>
    </row>
    <row r="899" spans="1:26" x14ac:dyDescent="0.25">
      <c r="A899" t="s">
        <v>10</v>
      </c>
      <c r="B899" t="s">
        <v>1063</v>
      </c>
      <c r="C899" t="s">
        <v>1618</v>
      </c>
      <c r="D899" t="s">
        <v>1619</v>
      </c>
      <c r="E899" t="s">
        <v>1620</v>
      </c>
      <c r="F899" t="s">
        <v>14</v>
      </c>
      <c r="G899" t="s">
        <v>1375</v>
      </c>
      <c r="H899" t="s">
        <v>22</v>
      </c>
      <c r="I899" t="s">
        <v>1629</v>
      </c>
      <c r="J899" t="s">
        <v>1375</v>
      </c>
      <c r="K899" t="str">
        <f t="shared" ref="K899:K962" si="126">IF(I899="","",I899)</f>
        <v>1215.5</v>
      </c>
      <c r="N899" t="str">
        <f t="shared" ref="N899:N962" si="127">IF(F899="","",F899)</f>
        <v>HOLDING REGISTER</v>
      </c>
      <c r="O899" t="str">
        <f t="shared" ref="O899:O962" si="128">IF(H899="","",H899)</f>
        <v>BOOL</v>
      </c>
      <c r="P899" t="str">
        <f t="shared" ref="P899:P962" si="129">_xlfn.CONCAT(D899," ",E899)</f>
        <v>TELECAMERA T01S</v>
      </c>
      <c r="R899" t="str">
        <f t="shared" ref="R899:R962" si="130">IF(J899="","",J899)</f>
        <v>disponibile</v>
      </c>
      <c r="U899" t="str">
        <f t="shared" ref="U899:U962" si="131">IF(G899="","",G899)</f>
        <v>disponibile</v>
      </c>
      <c r="V899" t="str">
        <f t="shared" ref="V899:V962" si="132">IF(C899="","",C899)</f>
        <v>DIREZIONE SUD</v>
      </c>
      <c r="W899" t="str">
        <f t="shared" ref="W899:W962" si="133">IF(B899="","",B899)</f>
        <v>GALLERIA SAN GIULIANO</v>
      </c>
      <c r="Z899" t="str">
        <f t="shared" ref="Z899:Z962" si="134">IF(A899="","",A899)</f>
        <v>10.220.80.16</v>
      </c>
    </row>
    <row r="900" spans="1:26" x14ac:dyDescent="0.25">
      <c r="A900" t="s">
        <v>10</v>
      </c>
      <c r="B900" t="s">
        <v>1063</v>
      </c>
      <c r="C900" t="s">
        <v>1618</v>
      </c>
      <c r="D900" t="s">
        <v>1619</v>
      </c>
      <c r="E900" t="s">
        <v>1620</v>
      </c>
      <c r="F900" t="s">
        <v>14</v>
      </c>
      <c r="G900" t="s">
        <v>1375</v>
      </c>
      <c r="H900" t="s">
        <v>22</v>
      </c>
      <c r="I900" t="s">
        <v>1630</v>
      </c>
      <c r="J900" t="s">
        <v>1375</v>
      </c>
      <c r="K900" t="str">
        <f t="shared" si="126"/>
        <v>1215.6</v>
      </c>
      <c r="N900" t="str">
        <f t="shared" si="127"/>
        <v>HOLDING REGISTER</v>
      </c>
      <c r="O900" t="str">
        <f t="shared" si="128"/>
        <v>BOOL</v>
      </c>
      <c r="P900" t="str">
        <f t="shared" si="129"/>
        <v>TELECAMERA T01S</v>
      </c>
      <c r="R900" t="str">
        <f t="shared" si="130"/>
        <v>disponibile</v>
      </c>
      <c r="U900" t="str">
        <f t="shared" si="131"/>
        <v>disponibile</v>
      </c>
      <c r="V900" t="str">
        <f t="shared" si="132"/>
        <v>DIREZIONE SUD</v>
      </c>
      <c r="W900" t="str">
        <f t="shared" si="133"/>
        <v>GALLERIA SAN GIULIANO</v>
      </c>
      <c r="Z900" t="str">
        <f t="shared" si="134"/>
        <v>10.220.80.16</v>
      </c>
    </row>
    <row r="901" spans="1:26" x14ac:dyDescent="0.25">
      <c r="A901" t="s">
        <v>10</v>
      </c>
      <c r="B901" t="s">
        <v>1063</v>
      </c>
      <c r="C901" t="s">
        <v>1618</v>
      </c>
      <c r="D901" t="s">
        <v>1619</v>
      </c>
      <c r="E901" t="s">
        <v>1620</v>
      </c>
      <c r="F901" t="s">
        <v>14</v>
      </c>
      <c r="G901" t="s">
        <v>1375</v>
      </c>
      <c r="H901" t="s">
        <v>22</v>
      </c>
      <c r="I901" t="s">
        <v>1631</v>
      </c>
      <c r="J901" t="s">
        <v>1375</v>
      </c>
      <c r="K901" t="str">
        <f t="shared" si="126"/>
        <v>1215.7</v>
      </c>
      <c r="N901" t="str">
        <f t="shared" si="127"/>
        <v>HOLDING REGISTER</v>
      </c>
      <c r="O901" t="str">
        <f t="shared" si="128"/>
        <v>BOOL</v>
      </c>
      <c r="P901" t="str">
        <f t="shared" si="129"/>
        <v>TELECAMERA T01S</v>
      </c>
      <c r="R901" t="str">
        <f t="shared" si="130"/>
        <v>disponibile</v>
      </c>
      <c r="U901" t="str">
        <f t="shared" si="131"/>
        <v>disponibile</v>
      </c>
      <c r="V901" t="str">
        <f t="shared" si="132"/>
        <v>DIREZIONE SUD</v>
      </c>
      <c r="W901" t="str">
        <f t="shared" si="133"/>
        <v>GALLERIA SAN GIULIANO</v>
      </c>
      <c r="Z901" t="str">
        <f t="shared" si="134"/>
        <v>10.220.80.16</v>
      </c>
    </row>
    <row r="902" spans="1:26" x14ac:dyDescent="0.25">
      <c r="A902" t="s">
        <v>10</v>
      </c>
      <c r="B902" t="s">
        <v>1063</v>
      </c>
      <c r="C902" t="s">
        <v>1618</v>
      </c>
      <c r="D902" t="s">
        <v>1619</v>
      </c>
      <c r="E902" t="s">
        <v>1620</v>
      </c>
      <c r="F902" t="s">
        <v>14</v>
      </c>
      <c r="G902" t="s">
        <v>1375</v>
      </c>
      <c r="H902" t="s">
        <v>22</v>
      </c>
      <c r="I902" t="s">
        <v>1632</v>
      </c>
      <c r="J902" t="s">
        <v>1375</v>
      </c>
      <c r="K902" t="str">
        <f t="shared" si="126"/>
        <v>1215.8</v>
      </c>
      <c r="N902" t="str">
        <f t="shared" si="127"/>
        <v>HOLDING REGISTER</v>
      </c>
      <c r="O902" t="str">
        <f t="shared" si="128"/>
        <v>BOOL</v>
      </c>
      <c r="P902" t="str">
        <f t="shared" si="129"/>
        <v>TELECAMERA T01S</v>
      </c>
      <c r="R902" t="str">
        <f t="shared" si="130"/>
        <v>disponibile</v>
      </c>
      <c r="U902" t="str">
        <f t="shared" si="131"/>
        <v>disponibile</v>
      </c>
      <c r="V902" t="str">
        <f t="shared" si="132"/>
        <v>DIREZIONE SUD</v>
      </c>
      <c r="W902" t="str">
        <f t="shared" si="133"/>
        <v>GALLERIA SAN GIULIANO</v>
      </c>
      <c r="Z902" t="str">
        <f t="shared" si="134"/>
        <v>10.220.80.16</v>
      </c>
    </row>
    <row r="903" spans="1:26" x14ac:dyDescent="0.25">
      <c r="A903" t="s">
        <v>10</v>
      </c>
      <c r="B903" t="s">
        <v>1063</v>
      </c>
      <c r="C903" t="s">
        <v>1618</v>
      </c>
      <c r="D903" t="s">
        <v>1619</v>
      </c>
      <c r="E903" t="s">
        <v>1620</v>
      </c>
      <c r="F903" t="s">
        <v>14</v>
      </c>
      <c r="G903" t="s">
        <v>1375</v>
      </c>
      <c r="H903" t="s">
        <v>22</v>
      </c>
      <c r="I903" t="s">
        <v>1633</v>
      </c>
      <c r="J903" t="s">
        <v>1375</v>
      </c>
      <c r="K903" t="str">
        <f t="shared" si="126"/>
        <v>1215.9</v>
      </c>
      <c r="N903" t="str">
        <f t="shared" si="127"/>
        <v>HOLDING REGISTER</v>
      </c>
      <c r="O903" t="str">
        <f t="shared" si="128"/>
        <v>BOOL</v>
      </c>
      <c r="P903" t="str">
        <f t="shared" si="129"/>
        <v>TELECAMERA T01S</v>
      </c>
      <c r="R903" t="str">
        <f t="shared" si="130"/>
        <v>disponibile</v>
      </c>
      <c r="U903" t="str">
        <f t="shared" si="131"/>
        <v>disponibile</v>
      </c>
      <c r="V903" t="str">
        <f t="shared" si="132"/>
        <v>DIREZIONE SUD</v>
      </c>
      <c r="W903" t="str">
        <f t="shared" si="133"/>
        <v>GALLERIA SAN GIULIANO</v>
      </c>
      <c r="Z903" t="str">
        <f t="shared" si="134"/>
        <v>10.220.80.16</v>
      </c>
    </row>
    <row r="904" spans="1:26" x14ac:dyDescent="0.25">
      <c r="A904" t="s">
        <v>10</v>
      </c>
      <c r="B904" t="s">
        <v>1063</v>
      </c>
      <c r="C904" t="s">
        <v>1618</v>
      </c>
      <c r="D904" t="s">
        <v>1619</v>
      </c>
      <c r="E904" t="s">
        <v>1620</v>
      </c>
      <c r="F904" t="s">
        <v>14</v>
      </c>
      <c r="G904" t="s">
        <v>1375</v>
      </c>
      <c r="H904" t="s">
        <v>22</v>
      </c>
      <c r="I904" t="s">
        <v>1634</v>
      </c>
      <c r="J904" t="s">
        <v>1375</v>
      </c>
      <c r="K904" t="str">
        <f t="shared" si="126"/>
        <v>1215.10</v>
      </c>
      <c r="N904" t="str">
        <f t="shared" si="127"/>
        <v>HOLDING REGISTER</v>
      </c>
      <c r="O904" t="str">
        <f t="shared" si="128"/>
        <v>BOOL</v>
      </c>
      <c r="P904" t="str">
        <f t="shared" si="129"/>
        <v>TELECAMERA T01S</v>
      </c>
      <c r="R904" t="str">
        <f t="shared" si="130"/>
        <v>disponibile</v>
      </c>
      <c r="U904" t="str">
        <f t="shared" si="131"/>
        <v>disponibile</v>
      </c>
      <c r="V904" t="str">
        <f t="shared" si="132"/>
        <v>DIREZIONE SUD</v>
      </c>
      <c r="W904" t="str">
        <f t="shared" si="133"/>
        <v>GALLERIA SAN GIULIANO</v>
      </c>
      <c r="Z904" t="str">
        <f t="shared" si="134"/>
        <v>10.220.80.16</v>
      </c>
    </row>
    <row r="905" spans="1:26" x14ac:dyDescent="0.25">
      <c r="A905" t="s">
        <v>10</v>
      </c>
      <c r="B905" t="s">
        <v>1063</v>
      </c>
      <c r="C905" t="s">
        <v>1618</v>
      </c>
      <c r="D905" t="s">
        <v>1619</v>
      </c>
      <c r="E905" t="s">
        <v>1620</v>
      </c>
      <c r="F905" t="s">
        <v>14</v>
      </c>
      <c r="G905" t="s">
        <v>1375</v>
      </c>
      <c r="H905" t="s">
        <v>22</v>
      </c>
      <c r="I905" t="s">
        <v>1635</v>
      </c>
      <c r="J905" t="s">
        <v>1375</v>
      </c>
      <c r="K905" t="str">
        <f t="shared" si="126"/>
        <v>1215.11</v>
      </c>
      <c r="N905" t="str">
        <f t="shared" si="127"/>
        <v>HOLDING REGISTER</v>
      </c>
      <c r="O905" t="str">
        <f t="shared" si="128"/>
        <v>BOOL</v>
      </c>
      <c r="P905" t="str">
        <f t="shared" si="129"/>
        <v>TELECAMERA T01S</v>
      </c>
      <c r="R905" t="str">
        <f t="shared" si="130"/>
        <v>disponibile</v>
      </c>
      <c r="U905" t="str">
        <f t="shared" si="131"/>
        <v>disponibile</v>
      </c>
      <c r="V905" t="str">
        <f t="shared" si="132"/>
        <v>DIREZIONE SUD</v>
      </c>
      <c r="W905" t="str">
        <f t="shared" si="133"/>
        <v>GALLERIA SAN GIULIANO</v>
      </c>
      <c r="Z905" t="str">
        <f t="shared" si="134"/>
        <v>10.220.80.16</v>
      </c>
    </row>
    <row r="906" spans="1:26" x14ac:dyDescent="0.25">
      <c r="A906" t="s">
        <v>10</v>
      </c>
      <c r="B906" t="s">
        <v>1063</v>
      </c>
      <c r="C906" t="s">
        <v>1618</v>
      </c>
      <c r="D906" t="s">
        <v>1619</v>
      </c>
      <c r="E906" t="s">
        <v>1620</v>
      </c>
      <c r="F906" t="s">
        <v>14</v>
      </c>
      <c r="G906" t="s">
        <v>1375</v>
      </c>
      <c r="H906" t="s">
        <v>22</v>
      </c>
      <c r="I906" t="s">
        <v>1636</v>
      </c>
      <c r="J906" t="s">
        <v>1375</v>
      </c>
      <c r="K906" t="str">
        <f t="shared" si="126"/>
        <v>1215.12</v>
      </c>
      <c r="N906" t="str">
        <f t="shared" si="127"/>
        <v>HOLDING REGISTER</v>
      </c>
      <c r="O906" t="str">
        <f t="shared" si="128"/>
        <v>BOOL</v>
      </c>
      <c r="P906" t="str">
        <f t="shared" si="129"/>
        <v>TELECAMERA T01S</v>
      </c>
      <c r="R906" t="str">
        <f t="shared" si="130"/>
        <v>disponibile</v>
      </c>
      <c r="U906" t="str">
        <f t="shared" si="131"/>
        <v>disponibile</v>
      </c>
      <c r="V906" t="str">
        <f t="shared" si="132"/>
        <v>DIREZIONE SUD</v>
      </c>
      <c r="W906" t="str">
        <f t="shared" si="133"/>
        <v>GALLERIA SAN GIULIANO</v>
      </c>
      <c r="Z906" t="str">
        <f t="shared" si="134"/>
        <v>10.220.80.16</v>
      </c>
    </row>
    <row r="907" spans="1:26" x14ac:dyDescent="0.25">
      <c r="A907" t="s">
        <v>10</v>
      </c>
      <c r="B907" t="s">
        <v>1063</v>
      </c>
      <c r="C907" t="s">
        <v>1618</v>
      </c>
      <c r="D907" t="s">
        <v>1619</v>
      </c>
      <c r="E907" t="s">
        <v>1620</v>
      </c>
      <c r="F907" t="s">
        <v>14</v>
      </c>
      <c r="G907" t="s">
        <v>1375</v>
      </c>
      <c r="H907" t="s">
        <v>22</v>
      </c>
      <c r="I907" t="s">
        <v>1637</v>
      </c>
      <c r="J907" t="s">
        <v>1375</v>
      </c>
      <c r="K907" t="str">
        <f t="shared" si="126"/>
        <v>1215.13</v>
      </c>
      <c r="N907" t="str">
        <f t="shared" si="127"/>
        <v>HOLDING REGISTER</v>
      </c>
      <c r="O907" t="str">
        <f t="shared" si="128"/>
        <v>BOOL</v>
      </c>
      <c r="P907" t="str">
        <f t="shared" si="129"/>
        <v>TELECAMERA T01S</v>
      </c>
      <c r="R907" t="str">
        <f t="shared" si="130"/>
        <v>disponibile</v>
      </c>
      <c r="U907" t="str">
        <f t="shared" si="131"/>
        <v>disponibile</v>
      </c>
      <c r="V907" t="str">
        <f t="shared" si="132"/>
        <v>DIREZIONE SUD</v>
      </c>
      <c r="W907" t="str">
        <f t="shared" si="133"/>
        <v>GALLERIA SAN GIULIANO</v>
      </c>
      <c r="Z907" t="str">
        <f t="shared" si="134"/>
        <v>10.220.80.16</v>
      </c>
    </row>
    <row r="908" spans="1:26" x14ac:dyDescent="0.25">
      <c r="A908" t="s">
        <v>10</v>
      </c>
      <c r="B908" t="s">
        <v>1063</v>
      </c>
      <c r="C908" t="s">
        <v>1618</v>
      </c>
      <c r="D908" t="s">
        <v>1619</v>
      </c>
      <c r="E908" t="s">
        <v>1620</v>
      </c>
      <c r="F908" t="s">
        <v>14</v>
      </c>
      <c r="G908" t="s">
        <v>1375</v>
      </c>
      <c r="H908" t="s">
        <v>22</v>
      </c>
      <c r="I908" t="s">
        <v>1638</v>
      </c>
      <c r="J908" t="s">
        <v>1375</v>
      </c>
      <c r="K908" t="str">
        <f t="shared" si="126"/>
        <v>1215.14</v>
      </c>
      <c r="N908" t="str">
        <f t="shared" si="127"/>
        <v>HOLDING REGISTER</v>
      </c>
      <c r="O908" t="str">
        <f t="shared" si="128"/>
        <v>BOOL</v>
      </c>
      <c r="P908" t="str">
        <f t="shared" si="129"/>
        <v>TELECAMERA T01S</v>
      </c>
      <c r="R908" t="str">
        <f t="shared" si="130"/>
        <v>disponibile</v>
      </c>
      <c r="U908" t="str">
        <f t="shared" si="131"/>
        <v>disponibile</v>
      </c>
      <c r="V908" t="str">
        <f t="shared" si="132"/>
        <v>DIREZIONE SUD</v>
      </c>
      <c r="W908" t="str">
        <f t="shared" si="133"/>
        <v>GALLERIA SAN GIULIANO</v>
      </c>
      <c r="Z908" t="str">
        <f t="shared" si="134"/>
        <v>10.220.80.16</v>
      </c>
    </row>
    <row r="909" spans="1:26" x14ac:dyDescent="0.25">
      <c r="A909" t="s">
        <v>10</v>
      </c>
      <c r="B909" t="s">
        <v>1063</v>
      </c>
      <c r="C909" t="s">
        <v>1618</v>
      </c>
      <c r="D909" t="s">
        <v>1619</v>
      </c>
      <c r="E909" t="s">
        <v>1620</v>
      </c>
      <c r="F909" t="s">
        <v>14</v>
      </c>
      <c r="G909" t="s">
        <v>1375</v>
      </c>
      <c r="H909" t="s">
        <v>22</v>
      </c>
      <c r="I909" t="s">
        <v>1639</v>
      </c>
      <c r="J909" t="s">
        <v>1375</v>
      </c>
      <c r="K909" t="str">
        <f t="shared" si="126"/>
        <v>1215.15</v>
      </c>
      <c r="N909" t="str">
        <f t="shared" si="127"/>
        <v>HOLDING REGISTER</v>
      </c>
      <c r="O909" t="str">
        <f t="shared" si="128"/>
        <v>BOOL</v>
      </c>
      <c r="P909" t="str">
        <f t="shared" si="129"/>
        <v>TELECAMERA T01S</v>
      </c>
      <c r="R909" t="str">
        <f t="shared" si="130"/>
        <v>disponibile</v>
      </c>
      <c r="U909" t="str">
        <f t="shared" si="131"/>
        <v>disponibile</v>
      </c>
      <c r="V909" t="str">
        <f t="shared" si="132"/>
        <v>DIREZIONE SUD</v>
      </c>
      <c r="W909" t="str">
        <f t="shared" si="133"/>
        <v>GALLERIA SAN GIULIANO</v>
      </c>
      <c r="Z909" t="str">
        <f t="shared" si="134"/>
        <v>10.220.80.16</v>
      </c>
    </row>
    <row r="910" spans="1:26" x14ac:dyDescent="0.25">
      <c r="A910" t="s">
        <v>10</v>
      </c>
      <c r="B910" t="s">
        <v>1063</v>
      </c>
      <c r="C910" t="s">
        <v>1618</v>
      </c>
      <c r="D910" t="s">
        <v>1619</v>
      </c>
      <c r="E910" t="s">
        <v>1640</v>
      </c>
      <c r="F910" t="s">
        <v>14</v>
      </c>
      <c r="G910" t="s">
        <v>21</v>
      </c>
      <c r="H910" t="s">
        <v>22</v>
      </c>
      <c r="I910" t="s">
        <v>1641</v>
      </c>
      <c r="J910" t="s">
        <v>1622</v>
      </c>
      <c r="K910" t="str">
        <f t="shared" si="126"/>
        <v>1216.0</v>
      </c>
      <c r="N910" t="str">
        <f t="shared" si="127"/>
        <v>HOLDING REGISTER</v>
      </c>
      <c r="O910" t="str">
        <f t="shared" si="128"/>
        <v>BOOL</v>
      </c>
      <c r="P910" t="str">
        <f t="shared" si="129"/>
        <v>TELECAMERA T02S</v>
      </c>
      <c r="R910" t="str">
        <f t="shared" si="130"/>
        <v>ALLARMI TELECAMERA ESCLUSI</v>
      </c>
      <c r="U910" t="str">
        <f t="shared" si="131"/>
        <v>Stato</v>
      </c>
      <c r="V910" t="str">
        <f t="shared" si="132"/>
        <v>DIREZIONE SUD</v>
      </c>
      <c r="W910" t="str">
        <f t="shared" si="133"/>
        <v>GALLERIA SAN GIULIANO</v>
      </c>
      <c r="Z910" t="str">
        <f t="shared" si="134"/>
        <v>10.220.80.16</v>
      </c>
    </row>
    <row r="911" spans="1:26" x14ac:dyDescent="0.25">
      <c r="A911" t="s">
        <v>10</v>
      </c>
      <c r="B911" t="s">
        <v>1063</v>
      </c>
      <c r="C911" t="s">
        <v>1618</v>
      </c>
      <c r="D911" t="s">
        <v>1619</v>
      </c>
      <c r="E911" t="s">
        <v>1640</v>
      </c>
      <c r="F911" t="s">
        <v>14</v>
      </c>
      <c r="G911" t="s">
        <v>21</v>
      </c>
      <c r="H911" t="s">
        <v>22</v>
      </c>
      <c r="I911" t="s">
        <v>1642</v>
      </c>
      <c r="J911" t="s">
        <v>1624</v>
      </c>
      <c r="K911" t="str">
        <f t="shared" si="126"/>
        <v>1216.1</v>
      </c>
      <c r="N911" t="str">
        <f t="shared" si="127"/>
        <v>HOLDING REGISTER</v>
      </c>
      <c r="O911" t="str">
        <f t="shared" si="128"/>
        <v>BOOL</v>
      </c>
      <c r="P911" t="str">
        <f t="shared" si="129"/>
        <v>TELECAMERA T02S</v>
      </c>
      <c r="R911" t="str">
        <f t="shared" si="130"/>
        <v>IN MANUTENZIONE ALLARME FUMO</v>
      </c>
      <c r="U911" t="str">
        <f t="shared" si="131"/>
        <v>Stato</v>
      </c>
      <c r="V911" t="str">
        <f t="shared" si="132"/>
        <v>DIREZIONE SUD</v>
      </c>
      <c r="W911" t="str">
        <f t="shared" si="133"/>
        <v>GALLERIA SAN GIULIANO</v>
      </c>
      <c r="Z911" t="str">
        <f t="shared" si="134"/>
        <v>10.220.80.16</v>
      </c>
    </row>
    <row r="912" spans="1:26" x14ac:dyDescent="0.25">
      <c r="A912" t="s">
        <v>10</v>
      </c>
      <c r="B912" t="s">
        <v>1063</v>
      </c>
      <c r="C912" t="s">
        <v>1618</v>
      </c>
      <c r="D912" t="s">
        <v>1619</v>
      </c>
      <c r="E912" t="s">
        <v>1640</v>
      </c>
      <c r="F912" t="s">
        <v>14</v>
      </c>
      <c r="G912" t="s">
        <v>21</v>
      </c>
      <c r="H912" t="s">
        <v>22</v>
      </c>
      <c r="I912" t="s">
        <v>1643</v>
      </c>
      <c r="J912" t="s">
        <v>1626</v>
      </c>
      <c r="K912" t="str">
        <f t="shared" si="126"/>
        <v>1216.2</v>
      </c>
      <c r="N912" t="str">
        <f t="shared" si="127"/>
        <v>HOLDING REGISTER</v>
      </c>
      <c r="O912" t="str">
        <f t="shared" si="128"/>
        <v>BOOL</v>
      </c>
      <c r="P912" t="str">
        <f t="shared" si="129"/>
        <v>TELECAMERA T02S</v>
      </c>
      <c r="R912" t="str">
        <f t="shared" si="130"/>
        <v>IN MANUTENZIONE ALLARMI TRAFFICO</v>
      </c>
      <c r="U912" t="str">
        <f t="shared" si="131"/>
        <v>Stato</v>
      </c>
      <c r="V912" t="str">
        <f t="shared" si="132"/>
        <v>DIREZIONE SUD</v>
      </c>
      <c r="W912" t="str">
        <f t="shared" si="133"/>
        <v>GALLERIA SAN GIULIANO</v>
      </c>
      <c r="Z912" t="str">
        <f t="shared" si="134"/>
        <v>10.220.80.16</v>
      </c>
    </row>
    <row r="913" spans="1:26" x14ac:dyDescent="0.25">
      <c r="A913" t="s">
        <v>10</v>
      </c>
      <c r="B913" t="s">
        <v>1063</v>
      </c>
      <c r="C913" t="s">
        <v>1618</v>
      </c>
      <c r="D913" t="s">
        <v>1619</v>
      </c>
      <c r="E913" t="s">
        <v>1640</v>
      </c>
      <c r="F913" t="s">
        <v>14</v>
      </c>
      <c r="G913" t="s">
        <v>1375</v>
      </c>
      <c r="H913" t="s">
        <v>22</v>
      </c>
      <c r="I913" t="s">
        <v>1644</v>
      </c>
      <c r="J913" t="s">
        <v>1375</v>
      </c>
      <c r="K913" t="str">
        <f t="shared" si="126"/>
        <v>1216.3</v>
      </c>
      <c r="N913" t="str">
        <f t="shared" si="127"/>
        <v>HOLDING REGISTER</v>
      </c>
      <c r="O913" t="str">
        <f t="shared" si="128"/>
        <v>BOOL</v>
      </c>
      <c r="P913" t="str">
        <f t="shared" si="129"/>
        <v>TELECAMERA T02S</v>
      </c>
      <c r="R913" t="str">
        <f t="shared" si="130"/>
        <v>disponibile</v>
      </c>
      <c r="U913" t="str">
        <f t="shared" si="131"/>
        <v>disponibile</v>
      </c>
      <c r="V913" t="str">
        <f t="shared" si="132"/>
        <v>DIREZIONE SUD</v>
      </c>
      <c r="W913" t="str">
        <f t="shared" si="133"/>
        <v>GALLERIA SAN GIULIANO</v>
      </c>
      <c r="Z913" t="str">
        <f t="shared" si="134"/>
        <v>10.220.80.16</v>
      </c>
    </row>
    <row r="914" spans="1:26" x14ac:dyDescent="0.25">
      <c r="A914" t="s">
        <v>10</v>
      </c>
      <c r="B914" t="s">
        <v>1063</v>
      </c>
      <c r="C914" t="s">
        <v>1618</v>
      </c>
      <c r="D914" t="s">
        <v>1619</v>
      </c>
      <c r="E914" t="s">
        <v>1640</v>
      </c>
      <c r="F914" t="s">
        <v>14</v>
      </c>
      <c r="G914" t="s">
        <v>1375</v>
      </c>
      <c r="H914" t="s">
        <v>22</v>
      </c>
      <c r="I914" t="s">
        <v>1645</v>
      </c>
      <c r="J914" t="s">
        <v>1375</v>
      </c>
      <c r="K914" t="str">
        <f t="shared" si="126"/>
        <v>1216.4</v>
      </c>
      <c r="N914" t="str">
        <f t="shared" si="127"/>
        <v>HOLDING REGISTER</v>
      </c>
      <c r="O914" t="str">
        <f t="shared" si="128"/>
        <v>BOOL</v>
      </c>
      <c r="P914" t="str">
        <f t="shared" si="129"/>
        <v>TELECAMERA T02S</v>
      </c>
      <c r="R914" t="str">
        <f t="shared" si="130"/>
        <v>disponibile</v>
      </c>
      <c r="U914" t="str">
        <f t="shared" si="131"/>
        <v>disponibile</v>
      </c>
      <c r="V914" t="str">
        <f t="shared" si="132"/>
        <v>DIREZIONE SUD</v>
      </c>
      <c r="W914" t="str">
        <f t="shared" si="133"/>
        <v>GALLERIA SAN GIULIANO</v>
      </c>
      <c r="Z914" t="str">
        <f t="shared" si="134"/>
        <v>10.220.80.16</v>
      </c>
    </row>
    <row r="915" spans="1:26" x14ac:dyDescent="0.25">
      <c r="A915" t="s">
        <v>10</v>
      </c>
      <c r="B915" t="s">
        <v>1063</v>
      </c>
      <c r="C915" t="s">
        <v>1618</v>
      </c>
      <c r="D915" t="s">
        <v>1619</v>
      </c>
      <c r="E915" t="s">
        <v>1640</v>
      </c>
      <c r="F915" t="s">
        <v>14</v>
      </c>
      <c r="G915" t="s">
        <v>1375</v>
      </c>
      <c r="H915" t="s">
        <v>22</v>
      </c>
      <c r="I915" t="s">
        <v>1646</v>
      </c>
      <c r="J915" t="s">
        <v>1375</v>
      </c>
      <c r="K915" t="str">
        <f t="shared" si="126"/>
        <v>1216.5</v>
      </c>
      <c r="N915" t="str">
        <f t="shared" si="127"/>
        <v>HOLDING REGISTER</v>
      </c>
      <c r="O915" t="str">
        <f t="shared" si="128"/>
        <v>BOOL</v>
      </c>
      <c r="P915" t="str">
        <f t="shared" si="129"/>
        <v>TELECAMERA T02S</v>
      </c>
      <c r="R915" t="str">
        <f t="shared" si="130"/>
        <v>disponibile</v>
      </c>
      <c r="U915" t="str">
        <f t="shared" si="131"/>
        <v>disponibile</v>
      </c>
      <c r="V915" t="str">
        <f t="shared" si="132"/>
        <v>DIREZIONE SUD</v>
      </c>
      <c r="W915" t="str">
        <f t="shared" si="133"/>
        <v>GALLERIA SAN GIULIANO</v>
      </c>
      <c r="Z915" t="str">
        <f t="shared" si="134"/>
        <v>10.220.80.16</v>
      </c>
    </row>
    <row r="916" spans="1:26" x14ac:dyDescent="0.25">
      <c r="A916" t="s">
        <v>10</v>
      </c>
      <c r="B916" t="s">
        <v>1063</v>
      </c>
      <c r="C916" t="s">
        <v>1618</v>
      </c>
      <c r="D916" t="s">
        <v>1619</v>
      </c>
      <c r="E916" t="s">
        <v>1640</v>
      </c>
      <c r="F916" t="s">
        <v>14</v>
      </c>
      <c r="G916" t="s">
        <v>1375</v>
      </c>
      <c r="H916" t="s">
        <v>22</v>
      </c>
      <c r="I916" t="s">
        <v>1647</v>
      </c>
      <c r="J916" t="s">
        <v>1375</v>
      </c>
      <c r="K916" t="str">
        <f t="shared" si="126"/>
        <v>1216.6</v>
      </c>
      <c r="N916" t="str">
        <f t="shared" si="127"/>
        <v>HOLDING REGISTER</v>
      </c>
      <c r="O916" t="str">
        <f t="shared" si="128"/>
        <v>BOOL</v>
      </c>
      <c r="P916" t="str">
        <f t="shared" si="129"/>
        <v>TELECAMERA T02S</v>
      </c>
      <c r="R916" t="str">
        <f t="shared" si="130"/>
        <v>disponibile</v>
      </c>
      <c r="U916" t="str">
        <f t="shared" si="131"/>
        <v>disponibile</v>
      </c>
      <c r="V916" t="str">
        <f t="shared" si="132"/>
        <v>DIREZIONE SUD</v>
      </c>
      <c r="W916" t="str">
        <f t="shared" si="133"/>
        <v>GALLERIA SAN GIULIANO</v>
      </c>
      <c r="Z916" t="str">
        <f t="shared" si="134"/>
        <v>10.220.80.16</v>
      </c>
    </row>
    <row r="917" spans="1:26" x14ac:dyDescent="0.25">
      <c r="A917" t="s">
        <v>10</v>
      </c>
      <c r="B917" t="s">
        <v>1063</v>
      </c>
      <c r="C917" t="s">
        <v>1618</v>
      </c>
      <c r="D917" t="s">
        <v>1619</v>
      </c>
      <c r="E917" t="s">
        <v>1640</v>
      </c>
      <c r="F917" t="s">
        <v>14</v>
      </c>
      <c r="G917" t="s">
        <v>1375</v>
      </c>
      <c r="H917" t="s">
        <v>22</v>
      </c>
      <c r="I917" t="s">
        <v>1648</v>
      </c>
      <c r="J917" t="s">
        <v>1375</v>
      </c>
      <c r="K917" t="str">
        <f t="shared" si="126"/>
        <v>1216.7</v>
      </c>
      <c r="N917" t="str">
        <f t="shared" si="127"/>
        <v>HOLDING REGISTER</v>
      </c>
      <c r="O917" t="str">
        <f t="shared" si="128"/>
        <v>BOOL</v>
      </c>
      <c r="P917" t="str">
        <f t="shared" si="129"/>
        <v>TELECAMERA T02S</v>
      </c>
      <c r="R917" t="str">
        <f t="shared" si="130"/>
        <v>disponibile</v>
      </c>
      <c r="U917" t="str">
        <f t="shared" si="131"/>
        <v>disponibile</v>
      </c>
      <c r="V917" t="str">
        <f t="shared" si="132"/>
        <v>DIREZIONE SUD</v>
      </c>
      <c r="W917" t="str">
        <f t="shared" si="133"/>
        <v>GALLERIA SAN GIULIANO</v>
      </c>
      <c r="Z917" t="str">
        <f t="shared" si="134"/>
        <v>10.220.80.16</v>
      </c>
    </row>
    <row r="918" spans="1:26" x14ac:dyDescent="0.25">
      <c r="A918" t="s">
        <v>10</v>
      </c>
      <c r="B918" t="s">
        <v>1063</v>
      </c>
      <c r="C918" t="s">
        <v>1618</v>
      </c>
      <c r="D918" t="s">
        <v>1619</v>
      </c>
      <c r="E918" t="s">
        <v>1640</v>
      </c>
      <c r="F918" t="s">
        <v>14</v>
      </c>
      <c r="G918" t="s">
        <v>1375</v>
      </c>
      <c r="H918" t="s">
        <v>22</v>
      </c>
      <c r="I918" t="s">
        <v>1649</v>
      </c>
      <c r="J918" t="s">
        <v>1375</v>
      </c>
      <c r="K918" t="str">
        <f t="shared" si="126"/>
        <v>1216.8</v>
      </c>
      <c r="N918" t="str">
        <f t="shared" si="127"/>
        <v>HOLDING REGISTER</v>
      </c>
      <c r="O918" t="str">
        <f t="shared" si="128"/>
        <v>BOOL</v>
      </c>
      <c r="P918" t="str">
        <f t="shared" si="129"/>
        <v>TELECAMERA T02S</v>
      </c>
      <c r="R918" t="str">
        <f t="shared" si="130"/>
        <v>disponibile</v>
      </c>
      <c r="U918" t="str">
        <f t="shared" si="131"/>
        <v>disponibile</v>
      </c>
      <c r="V918" t="str">
        <f t="shared" si="132"/>
        <v>DIREZIONE SUD</v>
      </c>
      <c r="W918" t="str">
        <f t="shared" si="133"/>
        <v>GALLERIA SAN GIULIANO</v>
      </c>
      <c r="Z918" t="str">
        <f t="shared" si="134"/>
        <v>10.220.80.16</v>
      </c>
    </row>
    <row r="919" spans="1:26" x14ac:dyDescent="0.25">
      <c r="A919" t="s">
        <v>10</v>
      </c>
      <c r="B919" t="s">
        <v>1063</v>
      </c>
      <c r="C919" t="s">
        <v>1618</v>
      </c>
      <c r="D919" t="s">
        <v>1619</v>
      </c>
      <c r="E919" t="s">
        <v>1640</v>
      </c>
      <c r="F919" t="s">
        <v>14</v>
      </c>
      <c r="G919" t="s">
        <v>1375</v>
      </c>
      <c r="H919" t="s">
        <v>22</v>
      </c>
      <c r="I919" t="s">
        <v>1650</v>
      </c>
      <c r="J919" t="s">
        <v>1375</v>
      </c>
      <c r="K919" t="str">
        <f t="shared" si="126"/>
        <v>1216.9</v>
      </c>
      <c r="N919" t="str">
        <f t="shared" si="127"/>
        <v>HOLDING REGISTER</v>
      </c>
      <c r="O919" t="str">
        <f t="shared" si="128"/>
        <v>BOOL</v>
      </c>
      <c r="P919" t="str">
        <f t="shared" si="129"/>
        <v>TELECAMERA T02S</v>
      </c>
      <c r="R919" t="str">
        <f t="shared" si="130"/>
        <v>disponibile</v>
      </c>
      <c r="U919" t="str">
        <f t="shared" si="131"/>
        <v>disponibile</v>
      </c>
      <c r="V919" t="str">
        <f t="shared" si="132"/>
        <v>DIREZIONE SUD</v>
      </c>
      <c r="W919" t="str">
        <f t="shared" si="133"/>
        <v>GALLERIA SAN GIULIANO</v>
      </c>
      <c r="Z919" t="str">
        <f t="shared" si="134"/>
        <v>10.220.80.16</v>
      </c>
    </row>
    <row r="920" spans="1:26" x14ac:dyDescent="0.25">
      <c r="A920" t="s">
        <v>10</v>
      </c>
      <c r="B920" t="s">
        <v>1063</v>
      </c>
      <c r="C920" t="s">
        <v>1618</v>
      </c>
      <c r="D920" t="s">
        <v>1619</v>
      </c>
      <c r="E920" t="s">
        <v>1640</v>
      </c>
      <c r="F920" t="s">
        <v>14</v>
      </c>
      <c r="G920" t="s">
        <v>1375</v>
      </c>
      <c r="H920" t="s">
        <v>22</v>
      </c>
      <c r="I920" t="s">
        <v>1651</v>
      </c>
      <c r="J920" t="s">
        <v>1375</v>
      </c>
      <c r="K920" t="str">
        <f t="shared" si="126"/>
        <v>1216.10</v>
      </c>
      <c r="N920" t="str">
        <f t="shared" si="127"/>
        <v>HOLDING REGISTER</v>
      </c>
      <c r="O920" t="str">
        <f t="shared" si="128"/>
        <v>BOOL</v>
      </c>
      <c r="P920" t="str">
        <f t="shared" si="129"/>
        <v>TELECAMERA T02S</v>
      </c>
      <c r="R920" t="str">
        <f t="shared" si="130"/>
        <v>disponibile</v>
      </c>
      <c r="U920" t="str">
        <f t="shared" si="131"/>
        <v>disponibile</v>
      </c>
      <c r="V920" t="str">
        <f t="shared" si="132"/>
        <v>DIREZIONE SUD</v>
      </c>
      <c r="W920" t="str">
        <f t="shared" si="133"/>
        <v>GALLERIA SAN GIULIANO</v>
      </c>
      <c r="Z920" t="str">
        <f t="shared" si="134"/>
        <v>10.220.80.16</v>
      </c>
    </row>
    <row r="921" spans="1:26" x14ac:dyDescent="0.25">
      <c r="A921" t="s">
        <v>10</v>
      </c>
      <c r="B921" t="s">
        <v>1063</v>
      </c>
      <c r="C921" t="s">
        <v>1618</v>
      </c>
      <c r="D921" t="s">
        <v>1619</v>
      </c>
      <c r="E921" t="s">
        <v>1640</v>
      </c>
      <c r="F921" t="s">
        <v>14</v>
      </c>
      <c r="G921" t="s">
        <v>1375</v>
      </c>
      <c r="H921" t="s">
        <v>22</v>
      </c>
      <c r="I921" t="s">
        <v>1652</v>
      </c>
      <c r="J921" t="s">
        <v>1375</v>
      </c>
      <c r="K921" t="str">
        <f t="shared" si="126"/>
        <v>1216.11</v>
      </c>
      <c r="N921" t="str">
        <f t="shared" si="127"/>
        <v>HOLDING REGISTER</v>
      </c>
      <c r="O921" t="str">
        <f t="shared" si="128"/>
        <v>BOOL</v>
      </c>
      <c r="P921" t="str">
        <f t="shared" si="129"/>
        <v>TELECAMERA T02S</v>
      </c>
      <c r="R921" t="str">
        <f t="shared" si="130"/>
        <v>disponibile</v>
      </c>
      <c r="U921" t="str">
        <f t="shared" si="131"/>
        <v>disponibile</v>
      </c>
      <c r="V921" t="str">
        <f t="shared" si="132"/>
        <v>DIREZIONE SUD</v>
      </c>
      <c r="W921" t="str">
        <f t="shared" si="133"/>
        <v>GALLERIA SAN GIULIANO</v>
      </c>
      <c r="Z921" t="str">
        <f t="shared" si="134"/>
        <v>10.220.80.16</v>
      </c>
    </row>
    <row r="922" spans="1:26" x14ac:dyDescent="0.25">
      <c r="A922" t="s">
        <v>10</v>
      </c>
      <c r="B922" t="s">
        <v>1063</v>
      </c>
      <c r="C922" t="s">
        <v>1618</v>
      </c>
      <c r="D922" t="s">
        <v>1619</v>
      </c>
      <c r="E922" t="s">
        <v>1640</v>
      </c>
      <c r="F922" t="s">
        <v>14</v>
      </c>
      <c r="G922" t="s">
        <v>1375</v>
      </c>
      <c r="H922" t="s">
        <v>22</v>
      </c>
      <c r="I922" t="s">
        <v>1653</v>
      </c>
      <c r="J922" t="s">
        <v>1375</v>
      </c>
      <c r="K922" t="str">
        <f t="shared" si="126"/>
        <v>1216.12</v>
      </c>
      <c r="N922" t="str">
        <f t="shared" si="127"/>
        <v>HOLDING REGISTER</v>
      </c>
      <c r="O922" t="str">
        <f t="shared" si="128"/>
        <v>BOOL</v>
      </c>
      <c r="P922" t="str">
        <f t="shared" si="129"/>
        <v>TELECAMERA T02S</v>
      </c>
      <c r="R922" t="str">
        <f t="shared" si="130"/>
        <v>disponibile</v>
      </c>
      <c r="U922" t="str">
        <f t="shared" si="131"/>
        <v>disponibile</v>
      </c>
      <c r="V922" t="str">
        <f t="shared" si="132"/>
        <v>DIREZIONE SUD</v>
      </c>
      <c r="W922" t="str">
        <f t="shared" si="133"/>
        <v>GALLERIA SAN GIULIANO</v>
      </c>
      <c r="Z922" t="str">
        <f t="shared" si="134"/>
        <v>10.220.80.16</v>
      </c>
    </row>
    <row r="923" spans="1:26" x14ac:dyDescent="0.25">
      <c r="A923" t="s">
        <v>10</v>
      </c>
      <c r="B923" t="s">
        <v>1063</v>
      </c>
      <c r="C923" t="s">
        <v>1618</v>
      </c>
      <c r="D923" t="s">
        <v>1619</v>
      </c>
      <c r="E923" t="s">
        <v>1640</v>
      </c>
      <c r="F923" t="s">
        <v>14</v>
      </c>
      <c r="G923" t="s">
        <v>1375</v>
      </c>
      <c r="H923" t="s">
        <v>22</v>
      </c>
      <c r="I923" t="s">
        <v>1654</v>
      </c>
      <c r="J923" t="s">
        <v>1375</v>
      </c>
      <c r="K923" t="str">
        <f t="shared" si="126"/>
        <v>1216.13</v>
      </c>
      <c r="N923" t="str">
        <f t="shared" si="127"/>
        <v>HOLDING REGISTER</v>
      </c>
      <c r="O923" t="str">
        <f t="shared" si="128"/>
        <v>BOOL</v>
      </c>
      <c r="P923" t="str">
        <f t="shared" si="129"/>
        <v>TELECAMERA T02S</v>
      </c>
      <c r="R923" t="str">
        <f t="shared" si="130"/>
        <v>disponibile</v>
      </c>
      <c r="U923" t="str">
        <f t="shared" si="131"/>
        <v>disponibile</v>
      </c>
      <c r="V923" t="str">
        <f t="shared" si="132"/>
        <v>DIREZIONE SUD</v>
      </c>
      <c r="W923" t="str">
        <f t="shared" si="133"/>
        <v>GALLERIA SAN GIULIANO</v>
      </c>
      <c r="Z923" t="str">
        <f t="shared" si="134"/>
        <v>10.220.80.16</v>
      </c>
    </row>
    <row r="924" spans="1:26" x14ac:dyDescent="0.25">
      <c r="A924" t="s">
        <v>10</v>
      </c>
      <c r="B924" t="s">
        <v>1063</v>
      </c>
      <c r="C924" t="s">
        <v>1618</v>
      </c>
      <c r="D924" t="s">
        <v>1619</v>
      </c>
      <c r="E924" t="s">
        <v>1640</v>
      </c>
      <c r="F924" t="s">
        <v>14</v>
      </c>
      <c r="G924" t="s">
        <v>1375</v>
      </c>
      <c r="H924" t="s">
        <v>22</v>
      </c>
      <c r="I924" t="s">
        <v>1655</v>
      </c>
      <c r="J924" t="s">
        <v>1375</v>
      </c>
      <c r="K924" t="str">
        <f t="shared" si="126"/>
        <v>1216.14</v>
      </c>
      <c r="N924" t="str">
        <f t="shared" si="127"/>
        <v>HOLDING REGISTER</v>
      </c>
      <c r="O924" t="str">
        <f t="shared" si="128"/>
        <v>BOOL</v>
      </c>
      <c r="P924" t="str">
        <f t="shared" si="129"/>
        <v>TELECAMERA T02S</v>
      </c>
      <c r="R924" t="str">
        <f t="shared" si="130"/>
        <v>disponibile</v>
      </c>
      <c r="U924" t="str">
        <f t="shared" si="131"/>
        <v>disponibile</v>
      </c>
      <c r="V924" t="str">
        <f t="shared" si="132"/>
        <v>DIREZIONE SUD</v>
      </c>
      <c r="W924" t="str">
        <f t="shared" si="133"/>
        <v>GALLERIA SAN GIULIANO</v>
      </c>
      <c r="Z924" t="str">
        <f t="shared" si="134"/>
        <v>10.220.80.16</v>
      </c>
    </row>
    <row r="925" spans="1:26" x14ac:dyDescent="0.25">
      <c r="A925" t="s">
        <v>10</v>
      </c>
      <c r="B925" t="s">
        <v>1063</v>
      </c>
      <c r="C925" t="s">
        <v>1618</v>
      </c>
      <c r="D925" t="s">
        <v>1619</v>
      </c>
      <c r="E925" t="s">
        <v>1640</v>
      </c>
      <c r="F925" t="s">
        <v>14</v>
      </c>
      <c r="G925" t="s">
        <v>1375</v>
      </c>
      <c r="H925" t="s">
        <v>22</v>
      </c>
      <c r="I925" t="s">
        <v>1656</v>
      </c>
      <c r="J925" t="s">
        <v>1375</v>
      </c>
      <c r="K925" t="str">
        <f t="shared" si="126"/>
        <v>1216.15</v>
      </c>
      <c r="N925" t="str">
        <f t="shared" si="127"/>
        <v>HOLDING REGISTER</v>
      </c>
      <c r="O925" t="str">
        <f t="shared" si="128"/>
        <v>BOOL</v>
      </c>
      <c r="P925" t="str">
        <f t="shared" si="129"/>
        <v>TELECAMERA T02S</v>
      </c>
      <c r="R925" t="str">
        <f t="shared" si="130"/>
        <v>disponibile</v>
      </c>
      <c r="U925" t="str">
        <f t="shared" si="131"/>
        <v>disponibile</v>
      </c>
      <c r="V925" t="str">
        <f t="shared" si="132"/>
        <v>DIREZIONE SUD</v>
      </c>
      <c r="W925" t="str">
        <f t="shared" si="133"/>
        <v>GALLERIA SAN GIULIANO</v>
      </c>
      <c r="Z925" t="str">
        <f t="shared" si="134"/>
        <v>10.220.80.16</v>
      </c>
    </row>
    <row r="926" spans="1:26" x14ac:dyDescent="0.25">
      <c r="A926" t="s">
        <v>10</v>
      </c>
      <c r="B926" t="s">
        <v>1063</v>
      </c>
      <c r="C926" t="s">
        <v>1618</v>
      </c>
      <c r="D926" t="s">
        <v>1619</v>
      </c>
      <c r="E926" t="s">
        <v>1657</v>
      </c>
      <c r="F926" t="s">
        <v>14</v>
      </c>
      <c r="G926" t="s">
        <v>21</v>
      </c>
      <c r="H926" t="s">
        <v>22</v>
      </c>
      <c r="I926" t="s">
        <v>1658</v>
      </c>
      <c r="J926" t="s">
        <v>1622</v>
      </c>
      <c r="K926" t="str">
        <f t="shared" si="126"/>
        <v>1217.0</v>
      </c>
      <c r="N926" t="str">
        <f t="shared" si="127"/>
        <v>HOLDING REGISTER</v>
      </c>
      <c r="O926" t="str">
        <f t="shared" si="128"/>
        <v>BOOL</v>
      </c>
      <c r="P926" t="str">
        <f t="shared" si="129"/>
        <v>TELECAMERA T05S</v>
      </c>
      <c r="R926" t="str">
        <f t="shared" si="130"/>
        <v>ALLARMI TELECAMERA ESCLUSI</v>
      </c>
      <c r="U926" t="str">
        <f t="shared" si="131"/>
        <v>Stato</v>
      </c>
      <c r="V926" t="str">
        <f t="shared" si="132"/>
        <v>DIREZIONE SUD</v>
      </c>
      <c r="W926" t="str">
        <f t="shared" si="133"/>
        <v>GALLERIA SAN GIULIANO</v>
      </c>
      <c r="Z926" t="str">
        <f t="shared" si="134"/>
        <v>10.220.80.16</v>
      </c>
    </row>
    <row r="927" spans="1:26" x14ac:dyDescent="0.25">
      <c r="A927" t="s">
        <v>10</v>
      </c>
      <c r="B927" t="s">
        <v>1063</v>
      </c>
      <c r="C927" t="s">
        <v>1618</v>
      </c>
      <c r="D927" t="s">
        <v>1619</v>
      </c>
      <c r="E927" t="s">
        <v>1657</v>
      </c>
      <c r="F927" t="s">
        <v>14</v>
      </c>
      <c r="G927" t="s">
        <v>21</v>
      </c>
      <c r="H927" t="s">
        <v>22</v>
      </c>
      <c r="I927" t="s">
        <v>1659</v>
      </c>
      <c r="J927" t="s">
        <v>1624</v>
      </c>
      <c r="K927" t="str">
        <f t="shared" si="126"/>
        <v>1217.1</v>
      </c>
      <c r="N927" t="str">
        <f t="shared" si="127"/>
        <v>HOLDING REGISTER</v>
      </c>
      <c r="O927" t="str">
        <f t="shared" si="128"/>
        <v>BOOL</v>
      </c>
      <c r="P927" t="str">
        <f t="shared" si="129"/>
        <v>TELECAMERA T05S</v>
      </c>
      <c r="R927" t="str">
        <f t="shared" si="130"/>
        <v>IN MANUTENZIONE ALLARME FUMO</v>
      </c>
      <c r="U927" t="str">
        <f t="shared" si="131"/>
        <v>Stato</v>
      </c>
      <c r="V927" t="str">
        <f t="shared" si="132"/>
        <v>DIREZIONE SUD</v>
      </c>
      <c r="W927" t="str">
        <f t="shared" si="133"/>
        <v>GALLERIA SAN GIULIANO</v>
      </c>
      <c r="Z927" t="str">
        <f t="shared" si="134"/>
        <v>10.220.80.16</v>
      </c>
    </row>
    <row r="928" spans="1:26" x14ac:dyDescent="0.25">
      <c r="A928" t="s">
        <v>10</v>
      </c>
      <c r="B928" t="s">
        <v>1063</v>
      </c>
      <c r="C928" t="s">
        <v>1618</v>
      </c>
      <c r="D928" t="s">
        <v>1619</v>
      </c>
      <c r="E928" t="s">
        <v>1657</v>
      </c>
      <c r="F928" t="s">
        <v>14</v>
      </c>
      <c r="G928" t="s">
        <v>21</v>
      </c>
      <c r="H928" t="s">
        <v>22</v>
      </c>
      <c r="I928" t="s">
        <v>1660</v>
      </c>
      <c r="J928" t="s">
        <v>1626</v>
      </c>
      <c r="K928" t="str">
        <f t="shared" si="126"/>
        <v>1217.2</v>
      </c>
      <c r="N928" t="str">
        <f t="shared" si="127"/>
        <v>HOLDING REGISTER</v>
      </c>
      <c r="O928" t="str">
        <f t="shared" si="128"/>
        <v>BOOL</v>
      </c>
      <c r="P928" t="str">
        <f t="shared" si="129"/>
        <v>TELECAMERA T05S</v>
      </c>
      <c r="R928" t="str">
        <f t="shared" si="130"/>
        <v>IN MANUTENZIONE ALLARMI TRAFFICO</v>
      </c>
      <c r="U928" t="str">
        <f t="shared" si="131"/>
        <v>Stato</v>
      </c>
      <c r="V928" t="str">
        <f t="shared" si="132"/>
        <v>DIREZIONE SUD</v>
      </c>
      <c r="W928" t="str">
        <f t="shared" si="133"/>
        <v>GALLERIA SAN GIULIANO</v>
      </c>
      <c r="Z928" t="str">
        <f t="shared" si="134"/>
        <v>10.220.80.16</v>
      </c>
    </row>
    <row r="929" spans="1:26" x14ac:dyDescent="0.25">
      <c r="A929" t="s">
        <v>10</v>
      </c>
      <c r="B929" t="s">
        <v>1063</v>
      </c>
      <c r="C929" t="s">
        <v>1618</v>
      </c>
      <c r="D929" t="s">
        <v>1619</v>
      </c>
      <c r="E929" t="s">
        <v>1657</v>
      </c>
      <c r="F929" t="s">
        <v>14</v>
      </c>
      <c r="G929" t="s">
        <v>1375</v>
      </c>
      <c r="H929" t="s">
        <v>22</v>
      </c>
      <c r="I929" t="s">
        <v>1661</v>
      </c>
      <c r="J929" t="s">
        <v>1375</v>
      </c>
      <c r="K929" t="str">
        <f t="shared" si="126"/>
        <v>1217.3</v>
      </c>
      <c r="N929" t="str">
        <f t="shared" si="127"/>
        <v>HOLDING REGISTER</v>
      </c>
      <c r="O929" t="str">
        <f t="shared" si="128"/>
        <v>BOOL</v>
      </c>
      <c r="P929" t="str">
        <f t="shared" si="129"/>
        <v>TELECAMERA T05S</v>
      </c>
      <c r="R929" t="str">
        <f t="shared" si="130"/>
        <v>disponibile</v>
      </c>
      <c r="U929" t="str">
        <f t="shared" si="131"/>
        <v>disponibile</v>
      </c>
      <c r="V929" t="str">
        <f t="shared" si="132"/>
        <v>DIREZIONE SUD</v>
      </c>
      <c r="W929" t="str">
        <f t="shared" si="133"/>
        <v>GALLERIA SAN GIULIANO</v>
      </c>
      <c r="Z929" t="str">
        <f t="shared" si="134"/>
        <v>10.220.80.16</v>
      </c>
    </row>
    <row r="930" spans="1:26" x14ac:dyDescent="0.25">
      <c r="A930" t="s">
        <v>10</v>
      </c>
      <c r="B930" t="s">
        <v>1063</v>
      </c>
      <c r="C930" t="s">
        <v>1618</v>
      </c>
      <c r="D930" t="s">
        <v>1619</v>
      </c>
      <c r="E930" t="s">
        <v>1657</v>
      </c>
      <c r="F930" t="s">
        <v>14</v>
      </c>
      <c r="G930" t="s">
        <v>1375</v>
      </c>
      <c r="H930" t="s">
        <v>22</v>
      </c>
      <c r="I930" t="s">
        <v>1662</v>
      </c>
      <c r="J930" t="s">
        <v>1375</v>
      </c>
      <c r="K930" t="str">
        <f t="shared" si="126"/>
        <v>1217.4</v>
      </c>
      <c r="N930" t="str">
        <f t="shared" si="127"/>
        <v>HOLDING REGISTER</v>
      </c>
      <c r="O930" t="str">
        <f t="shared" si="128"/>
        <v>BOOL</v>
      </c>
      <c r="P930" t="str">
        <f t="shared" si="129"/>
        <v>TELECAMERA T05S</v>
      </c>
      <c r="R930" t="str">
        <f t="shared" si="130"/>
        <v>disponibile</v>
      </c>
      <c r="U930" t="str">
        <f t="shared" si="131"/>
        <v>disponibile</v>
      </c>
      <c r="V930" t="str">
        <f t="shared" si="132"/>
        <v>DIREZIONE SUD</v>
      </c>
      <c r="W930" t="str">
        <f t="shared" si="133"/>
        <v>GALLERIA SAN GIULIANO</v>
      </c>
      <c r="Z930" t="str">
        <f t="shared" si="134"/>
        <v>10.220.80.16</v>
      </c>
    </row>
    <row r="931" spans="1:26" x14ac:dyDescent="0.25">
      <c r="A931" t="s">
        <v>10</v>
      </c>
      <c r="B931" t="s">
        <v>1063</v>
      </c>
      <c r="C931" t="s">
        <v>1618</v>
      </c>
      <c r="D931" t="s">
        <v>1619</v>
      </c>
      <c r="E931" t="s">
        <v>1657</v>
      </c>
      <c r="F931" t="s">
        <v>14</v>
      </c>
      <c r="G931" t="s">
        <v>1375</v>
      </c>
      <c r="H931" t="s">
        <v>22</v>
      </c>
      <c r="I931" t="s">
        <v>1663</v>
      </c>
      <c r="J931" t="s">
        <v>1375</v>
      </c>
      <c r="K931" t="str">
        <f t="shared" si="126"/>
        <v>1217.5</v>
      </c>
      <c r="N931" t="str">
        <f t="shared" si="127"/>
        <v>HOLDING REGISTER</v>
      </c>
      <c r="O931" t="str">
        <f t="shared" si="128"/>
        <v>BOOL</v>
      </c>
      <c r="P931" t="str">
        <f t="shared" si="129"/>
        <v>TELECAMERA T05S</v>
      </c>
      <c r="R931" t="str">
        <f t="shared" si="130"/>
        <v>disponibile</v>
      </c>
      <c r="U931" t="str">
        <f t="shared" si="131"/>
        <v>disponibile</v>
      </c>
      <c r="V931" t="str">
        <f t="shared" si="132"/>
        <v>DIREZIONE SUD</v>
      </c>
      <c r="W931" t="str">
        <f t="shared" si="133"/>
        <v>GALLERIA SAN GIULIANO</v>
      </c>
      <c r="Z931" t="str">
        <f t="shared" si="134"/>
        <v>10.220.80.16</v>
      </c>
    </row>
    <row r="932" spans="1:26" x14ac:dyDescent="0.25">
      <c r="A932" t="s">
        <v>10</v>
      </c>
      <c r="B932" t="s">
        <v>1063</v>
      </c>
      <c r="C932" t="s">
        <v>1618</v>
      </c>
      <c r="D932" t="s">
        <v>1619</v>
      </c>
      <c r="E932" t="s">
        <v>1657</v>
      </c>
      <c r="F932" t="s">
        <v>14</v>
      </c>
      <c r="G932" t="s">
        <v>1375</v>
      </c>
      <c r="H932" t="s">
        <v>22</v>
      </c>
      <c r="I932" t="s">
        <v>1664</v>
      </c>
      <c r="J932" t="s">
        <v>1375</v>
      </c>
      <c r="K932" t="str">
        <f t="shared" si="126"/>
        <v>1217.6</v>
      </c>
      <c r="N932" t="str">
        <f t="shared" si="127"/>
        <v>HOLDING REGISTER</v>
      </c>
      <c r="O932" t="str">
        <f t="shared" si="128"/>
        <v>BOOL</v>
      </c>
      <c r="P932" t="str">
        <f t="shared" si="129"/>
        <v>TELECAMERA T05S</v>
      </c>
      <c r="R932" t="str">
        <f t="shared" si="130"/>
        <v>disponibile</v>
      </c>
      <c r="U932" t="str">
        <f t="shared" si="131"/>
        <v>disponibile</v>
      </c>
      <c r="V932" t="str">
        <f t="shared" si="132"/>
        <v>DIREZIONE SUD</v>
      </c>
      <c r="W932" t="str">
        <f t="shared" si="133"/>
        <v>GALLERIA SAN GIULIANO</v>
      </c>
      <c r="Z932" t="str">
        <f t="shared" si="134"/>
        <v>10.220.80.16</v>
      </c>
    </row>
    <row r="933" spans="1:26" x14ac:dyDescent="0.25">
      <c r="A933" t="s">
        <v>10</v>
      </c>
      <c r="B933" t="s">
        <v>1063</v>
      </c>
      <c r="C933" t="s">
        <v>1618</v>
      </c>
      <c r="D933" t="s">
        <v>1619</v>
      </c>
      <c r="E933" t="s">
        <v>1657</v>
      </c>
      <c r="F933" t="s">
        <v>14</v>
      </c>
      <c r="G933" t="s">
        <v>1375</v>
      </c>
      <c r="H933" t="s">
        <v>22</v>
      </c>
      <c r="I933" t="s">
        <v>1665</v>
      </c>
      <c r="J933" t="s">
        <v>1375</v>
      </c>
      <c r="K933" t="str">
        <f t="shared" si="126"/>
        <v>1217.7</v>
      </c>
      <c r="N933" t="str">
        <f t="shared" si="127"/>
        <v>HOLDING REGISTER</v>
      </c>
      <c r="O933" t="str">
        <f t="shared" si="128"/>
        <v>BOOL</v>
      </c>
      <c r="P933" t="str">
        <f t="shared" si="129"/>
        <v>TELECAMERA T05S</v>
      </c>
      <c r="R933" t="str">
        <f t="shared" si="130"/>
        <v>disponibile</v>
      </c>
      <c r="U933" t="str">
        <f t="shared" si="131"/>
        <v>disponibile</v>
      </c>
      <c r="V933" t="str">
        <f t="shared" si="132"/>
        <v>DIREZIONE SUD</v>
      </c>
      <c r="W933" t="str">
        <f t="shared" si="133"/>
        <v>GALLERIA SAN GIULIANO</v>
      </c>
      <c r="Z933" t="str">
        <f t="shared" si="134"/>
        <v>10.220.80.16</v>
      </c>
    </row>
    <row r="934" spans="1:26" x14ac:dyDescent="0.25">
      <c r="A934" t="s">
        <v>10</v>
      </c>
      <c r="B934" t="s">
        <v>1063</v>
      </c>
      <c r="C934" t="s">
        <v>1618</v>
      </c>
      <c r="D934" t="s">
        <v>1619</v>
      </c>
      <c r="E934" t="s">
        <v>1657</v>
      </c>
      <c r="F934" t="s">
        <v>14</v>
      </c>
      <c r="G934" t="s">
        <v>1375</v>
      </c>
      <c r="H934" t="s">
        <v>22</v>
      </c>
      <c r="I934" t="s">
        <v>1666</v>
      </c>
      <c r="J934" t="s">
        <v>1375</v>
      </c>
      <c r="K934" t="str">
        <f t="shared" si="126"/>
        <v>1217.8</v>
      </c>
      <c r="N934" t="str">
        <f t="shared" si="127"/>
        <v>HOLDING REGISTER</v>
      </c>
      <c r="O934" t="str">
        <f t="shared" si="128"/>
        <v>BOOL</v>
      </c>
      <c r="P934" t="str">
        <f t="shared" si="129"/>
        <v>TELECAMERA T05S</v>
      </c>
      <c r="R934" t="str">
        <f t="shared" si="130"/>
        <v>disponibile</v>
      </c>
      <c r="U934" t="str">
        <f t="shared" si="131"/>
        <v>disponibile</v>
      </c>
      <c r="V934" t="str">
        <f t="shared" si="132"/>
        <v>DIREZIONE SUD</v>
      </c>
      <c r="W934" t="str">
        <f t="shared" si="133"/>
        <v>GALLERIA SAN GIULIANO</v>
      </c>
      <c r="Z934" t="str">
        <f t="shared" si="134"/>
        <v>10.220.80.16</v>
      </c>
    </row>
    <row r="935" spans="1:26" x14ac:dyDescent="0.25">
      <c r="A935" t="s">
        <v>10</v>
      </c>
      <c r="B935" t="s">
        <v>1063</v>
      </c>
      <c r="C935" t="s">
        <v>1618</v>
      </c>
      <c r="D935" t="s">
        <v>1619</v>
      </c>
      <c r="E935" t="s">
        <v>1657</v>
      </c>
      <c r="F935" t="s">
        <v>14</v>
      </c>
      <c r="G935" t="s">
        <v>1375</v>
      </c>
      <c r="H935" t="s">
        <v>22</v>
      </c>
      <c r="I935" t="s">
        <v>1667</v>
      </c>
      <c r="J935" t="s">
        <v>1375</v>
      </c>
      <c r="K935" t="str">
        <f t="shared" si="126"/>
        <v>1217.9</v>
      </c>
      <c r="N935" t="str">
        <f t="shared" si="127"/>
        <v>HOLDING REGISTER</v>
      </c>
      <c r="O935" t="str">
        <f t="shared" si="128"/>
        <v>BOOL</v>
      </c>
      <c r="P935" t="str">
        <f t="shared" si="129"/>
        <v>TELECAMERA T05S</v>
      </c>
      <c r="R935" t="str">
        <f t="shared" si="130"/>
        <v>disponibile</v>
      </c>
      <c r="U935" t="str">
        <f t="shared" si="131"/>
        <v>disponibile</v>
      </c>
      <c r="V935" t="str">
        <f t="shared" si="132"/>
        <v>DIREZIONE SUD</v>
      </c>
      <c r="W935" t="str">
        <f t="shared" si="133"/>
        <v>GALLERIA SAN GIULIANO</v>
      </c>
      <c r="Z935" t="str">
        <f t="shared" si="134"/>
        <v>10.220.80.16</v>
      </c>
    </row>
    <row r="936" spans="1:26" x14ac:dyDescent="0.25">
      <c r="A936" t="s">
        <v>10</v>
      </c>
      <c r="B936" t="s">
        <v>1063</v>
      </c>
      <c r="C936" t="s">
        <v>1618</v>
      </c>
      <c r="D936" t="s">
        <v>1619</v>
      </c>
      <c r="E936" t="s">
        <v>1657</v>
      </c>
      <c r="F936" t="s">
        <v>14</v>
      </c>
      <c r="G936" t="s">
        <v>1375</v>
      </c>
      <c r="H936" t="s">
        <v>22</v>
      </c>
      <c r="I936" t="s">
        <v>1668</v>
      </c>
      <c r="J936" t="s">
        <v>1375</v>
      </c>
      <c r="K936" t="str">
        <f t="shared" si="126"/>
        <v>1217.10</v>
      </c>
      <c r="N936" t="str">
        <f t="shared" si="127"/>
        <v>HOLDING REGISTER</v>
      </c>
      <c r="O936" t="str">
        <f t="shared" si="128"/>
        <v>BOOL</v>
      </c>
      <c r="P936" t="str">
        <f t="shared" si="129"/>
        <v>TELECAMERA T05S</v>
      </c>
      <c r="R936" t="str">
        <f t="shared" si="130"/>
        <v>disponibile</v>
      </c>
      <c r="U936" t="str">
        <f t="shared" si="131"/>
        <v>disponibile</v>
      </c>
      <c r="V936" t="str">
        <f t="shared" si="132"/>
        <v>DIREZIONE SUD</v>
      </c>
      <c r="W936" t="str">
        <f t="shared" si="133"/>
        <v>GALLERIA SAN GIULIANO</v>
      </c>
      <c r="Z936" t="str">
        <f t="shared" si="134"/>
        <v>10.220.80.16</v>
      </c>
    </row>
    <row r="937" spans="1:26" x14ac:dyDescent="0.25">
      <c r="A937" t="s">
        <v>10</v>
      </c>
      <c r="B937" t="s">
        <v>1063</v>
      </c>
      <c r="C937" t="s">
        <v>1618</v>
      </c>
      <c r="D937" t="s">
        <v>1619</v>
      </c>
      <c r="E937" t="s">
        <v>1657</v>
      </c>
      <c r="F937" t="s">
        <v>14</v>
      </c>
      <c r="G937" t="s">
        <v>1375</v>
      </c>
      <c r="H937" t="s">
        <v>22</v>
      </c>
      <c r="I937" t="s">
        <v>1669</v>
      </c>
      <c r="J937" t="s">
        <v>1375</v>
      </c>
      <c r="K937" t="str">
        <f t="shared" si="126"/>
        <v>1217.11</v>
      </c>
      <c r="N937" t="str">
        <f t="shared" si="127"/>
        <v>HOLDING REGISTER</v>
      </c>
      <c r="O937" t="str">
        <f t="shared" si="128"/>
        <v>BOOL</v>
      </c>
      <c r="P937" t="str">
        <f t="shared" si="129"/>
        <v>TELECAMERA T05S</v>
      </c>
      <c r="R937" t="str">
        <f t="shared" si="130"/>
        <v>disponibile</v>
      </c>
      <c r="U937" t="str">
        <f t="shared" si="131"/>
        <v>disponibile</v>
      </c>
      <c r="V937" t="str">
        <f t="shared" si="132"/>
        <v>DIREZIONE SUD</v>
      </c>
      <c r="W937" t="str">
        <f t="shared" si="133"/>
        <v>GALLERIA SAN GIULIANO</v>
      </c>
      <c r="Z937" t="str">
        <f t="shared" si="134"/>
        <v>10.220.80.16</v>
      </c>
    </row>
    <row r="938" spans="1:26" x14ac:dyDescent="0.25">
      <c r="A938" t="s">
        <v>10</v>
      </c>
      <c r="B938" t="s">
        <v>1063</v>
      </c>
      <c r="C938" t="s">
        <v>1618</v>
      </c>
      <c r="D938" t="s">
        <v>1619</v>
      </c>
      <c r="E938" t="s">
        <v>1657</v>
      </c>
      <c r="F938" t="s">
        <v>14</v>
      </c>
      <c r="G938" t="s">
        <v>1375</v>
      </c>
      <c r="H938" t="s">
        <v>22</v>
      </c>
      <c r="I938" t="s">
        <v>1670</v>
      </c>
      <c r="J938" t="s">
        <v>1375</v>
      </c>
      <c r="K938" t="str">
        <f t="shared" si="126"/>
        <v>1217.12</v>
      </c>
      <c r="N938" t="str">
        <f t="shared" si="127"/>
        <v>HOLDING REGISTER</v>
      </c>
      <c r="O938" t="str">
        <f t="shared" si="128"/>
        <v>BOOL</v>
      </c>
      <c r="P938" t="str">
        <f t="shared" si="129"/>
        <v>TELECAMERA T05S</v>
      </c>
      <c r="R938" t="str">
        <f t="shared" si="130"/>
        <v>disponibile</v>
      </c>
      <c r="U938" t="str">
        <f t="shared" si="131"/>
        <v>disponibile</v>
      </c>
      <c r="V938" t="str">
        <f t="shared" si="132"/>
        <v>DIREZIONE SUD</v>
      </c>
      <c r="W938" t="str">
        <f t="shared" si="133"/>
        <v>GALLERIA SAN GIULIANO</v>
      </c>
      <c r="Z938" t="str">
        <f t="shared" si="134"/>
        <v>10.220.80.16</v>
      </c>
    </row>
    <row r="939" spans="1:26" x14ac:dyDescent="0.25">
      <c r="A939" t="s">
        <v>10</v>
      </c>
      <c r="B939" t="s">
        <v>1063</v>
      </c>
      <c r="C939" t="s">
        <v>1618</v>
      </c>
      <c r="D939" t="s">
        <v>1619</v>
      </c>
      <c r="E939" t="s">
        <v>1657</v>
      </c>
      <c r="F939" t="s">
        <v>14</v>
      </c>
      <c r="G939" t="s">
        <v>1375</v>
      </c>
      <c r="H939" t="s">
        <v>22</v>
      </c>
      <c r="I939" t="s">
        <v>1671</v>
      </c>
      <c r="J939" t="s">
        <v>1375</v>
      </c>
      <c r="K939" t="str">
        <f t="shared" si="126"/>
        <v>1217.13</v>
      </c>
      <c r="N939" t="str">
        <f t="shared" si="127"/>
        <v>HOLDING REGISTER</v>
      </c>
      <c r="O939" t="str">
        <f t="shared" si="128"/>
        <v>BOOL</v>
      </c>
      <c r="P939" t="str">
        <f t="shared" si="129"/>
        <v>TELECAMERA T05S</v>
      </c>
      <c r="R939" t="str">
        <f t="shared" si="130"/>
        <v>disponibile</v>
      </c>
      <c r="U939" t="str">
        <f t="shared" si="131"/>
        <v>disponibile</v>
      </c>
      <c r="V939" t="str">
        <f t="shared" si="132"/>
        <v>DIREZIONE SUD</v>
      </c>
      <c r="W939" t="str">
        <f t="shared" si="133"/>
        <v>GALLERIA SAN GIULIANO</v>
      </c>
      <c r="Z939" t="str">
        <f t="shared" si="134"/>
        <v>10.220.80.16</v>
      </c>
    </row>
    <row r="940" spans="1:26" x14ac:dyDescent="0.25">
      <c r="A940" t="s">
        <v>10</v>
      </c>
      <c r="B940" t="s">
        <v>1063</v>
      </c>
      <c r="C940" t="s">
        <v>1618</v>
      </c>
      <c r="D940" t="s">
        <v>1619</v>
      </c>
      <c r="E940" t="s">
        <v>1657</v>
      </c>
      <c r="F940" t="s">
        <v>14</v>
      </c>
      <c r="G940" t="s">
        <v>1375</v>
      </c>
      <c r="H940" t="s">
        <v>22</v>
      </c>
      <c r="I940" t="s">
        <v>1672</v>
      </c>
      <c r="J940" t="s">
        <v>1375</v>
      </c>
      <c r="K940" t="str">
        <f t="shared" si="126"/>
        <v>1217.14</v>
      </c>
      <c r="N940" t="str">
        <f t="shared" si="127"/>
        <v>HOLDING REGISTER</v>
      </c>
      <c r="O940" t="str">
        <f t="shared" si="128"/>
        <v>BOOL</v>
      </c>
      <c r="P940" t="str">
        <f t="shared" si="129"/>
        <v>TELECAMERA T05S</v>
      </c>
      <c r="R940" t="str">
        <f t="shared" si="130"/>
        <v>disponibile</v>
      </c>
      <c r="U940" t="str">
        <f t="shared" si="131"/>
        <v>disponibile</v>
      </c>
      <c r="V940" t="str">
        <f t="shared" si="132"/>
        <v>DIREZIONE SUD</v>
      </c>
      <c r="W940" t="str">
        <f t="shared" si="133"/>
        <v>GALLERIA SAN GIULIANO</v>
      </c>
      <c r="Z940" t="str">
        <f t="shared" si="134"/>
        <v>10.220.80.16</v>
      </c>
    </row>
    <row r="941" spans="1:26" x14ac:dyDescent="0.25">
      <c r="A941" t="s">
        <v>10</v>
      </c>
      <c r="B941" t="s">
        <v>1063</v>
      </c>
      <c r="C941" t="s">
        <v>1618</v>
      </c>
      <c r="D941" t="s">
        <v>1619</v>
      </c>
      <c r="E941" t="s">
        <v>1657</v>
      </c>
      <c r="F941" t="s">
        <v>14</v>
      </c>
      <c r="G941" t="s">
        <v>1375</v>
      </c>
      <c r="H941" t="s">
        <v>22</v>
      </c>
      <c r="I941" t="s">
        <v>1673</v>
      </c>
      <c r="J941" t="s">
        <v>1375</v>
      </c>
      <c r="K941" t="str">
        <f t="shared" si="126"/>
        <v>1217.15</v>
      </c>
      <c r="N941" t="str">
        <f t="shared" si="127"/>
        <v>HOLDING REGISTER</v>
      </c>
      <c r="O941" t="str">
        <f t="shared" si="128"/>
        <v>BOOL</v>
      </c>
      <c r="P941" t="str">
        <f t="shared" si="129"/>
        <v>TELECAMERA T05S</v>
      </c>
      <c r="R941" t="str">
        <f t="shared" si="130"/>
        <v>disponibile</v>
      </c>
      <c r="U941" t="str">
        <f t="shared" si="131"/>
        <v>disponibile</v>
      </c>
      <c r="V941" t="str">
        <f t="shared" si="132"/>
        <v>DIREZIONE SUD</v>
      </c>
      <c r="W941" t="str">
        <f t="shared" si="133"/>
        <v>GALLERIA SAN GIULIANO</v>
      </c>
      <c r="Z941" t="str">
        <f t="shared" si="134"/>
        <v>10.220.80.16</v>
      </c>
    </row>
    <row r="942" spans="1:26" x14ac:dyDescent="0.25">
      <c r="A942" t="s">
        <v>10</v>
      </c>
      <c r="B942" t="s">
        <v>1063</v>
      </c>
      <c r="C942" t="s">
        <v>1618</v>
      </c>
      <c r="D942" t="s">
        <v>1619</v>
      </c>
      <c r="E942" t="s">
        <v>1674</v>
      </c>
      <c r="F942" t="s">
        <v>14</v>
      </c>
      <c r="G942" t="s">
        <v>21</v>
      </c>
      <c r="H942" t="s">
        <v>22</v>
      </c>
      <c r="I942" t="s">
        <v>1675</v>
      </c>
      <c r="J942" t="s">
        <v>1622</v>
      </c>
      <c r="K942" t="str">
        <f t="shared" si="126"/>
        <v>1218.0</v>
      </c>
      <c r="N942" t="str">
        <f t="shared" si="127"/>
        <v>HOLDING REGISTER</v>
      </c>
      <c r="O942" t="str">
        <f t="shared" si="128"/>
        <v>BOOL</v>
      </c>
      <c r="P942" t="str">
        <f t="shared" si="129"/>
        <v>TELECAMERA T06S</v>
      </c>
      <c r="R942" t="str">
        <f t="shared" si="130"/>
        <v>ALLARMI TELECAMERA ESCLUSI</v>
      </c>
      <c r="U942" t="str">
        <f t="shared" si="131"/>
        <v>Stato</v>
      </c>
      <c r="V942" t="str">
        <f t="shared" si="132"/>
        <v>DIREZIONE SUD</v>
      </c>
      <c r="W942" t="str">
        <f t="shared" si="133"/>
        <v>GALLERIA SAN GIULIANO</v>
      </c>
      <c r="Z942" t="str">
        <f t="shared" si="134"/>
        <v>10.220.80.16</v>
      </c>
    </row>
    <row r="943" spans="1:26" x14ac:dyDescent="0.25">
      <c r="A943" t="s">
        <v>10</v>
      </c>
      <c r="B943" t="s">
        <v>1063</v>
      </c>
      <c r="C943" t="s">
        <v>1618</v>
      </c>
      <c r="D943" t="s">
        <v>1619</v>
      </c>
      <c r="E943" t="s">
        <v>1674</v>
      </c>
      <c r="F943" t="s">
        <v>14</v>
      </c>
      <c r="G943" t="s">
        <v>21</v>
      </c>
      <c r="H943" t="s">
        <v>22</v>
      </c>
      <c r="I943" t="s">
        <v>1676</v>
      </c>
      <c r="J943" t="s">
        <v>1624</v>
      </c>
      <c r="K943" t="str">
        <f t="shared" si="126"/>
        <v>1218.1</v>
      </c>
      <c r="N943" t="str">
        <f t="shared" si="127"/>
        <v>HOLDING REGISTER</v>
      </c>
      <c r="O943" t="str">
        <f t="shared" si="128"/>
        <v>BOOL</v>
      </c>
      <c r="P943" t="str">
        <f t="shared" si="129"/>
        <v>TELECAMERA T06S</v>
      </c>
      <c r="R943" t="str">
        <f t="shared" si="130"/>
        <v>IN MANUTENZIONE ALLARME FUMO</v>
      </c>
      <c r="U943" t="str">
        <f t="shared" si="131"/>
        <v>Stato</v>
      </c>
      <c r="V943" t="str">
        <f t="shared" si="132"/>
        <v>DIREZIONE SUD</v>
      </c>
      <c r="W943" t="str">
        <f t="shared" si="133"/>
        <v>GALLERIA SAN GIULIANO</v>
      </c>
      <c r="Z943" t="str">
        <f t="shared" si="134"/>
        <v>10.220.80.16</v>
      </c>
    </row>
    <row r="944" spans="1:26" x14ac:dyDescent="0.25">
      <c r="A944" t="s">
        <v>10</v>
      </c>
      <c r="B944" t="s">
        <v>1063</v>
      </c>
      <c r="C944" t="s">
        <v>1618</v>
      </c>
      <c r="D944" t="s">
        <v>1619</v>
      </c>
      <c r="E944" t="s">
        <v>1674</v>
      </c>
      <c r="F944" t="s">
        <v>14</v>
      </c>
      <c r="G944" t="s">
        <v>21</v>
      </c>
      <c r="H944" t="s">
        <v>22</v>
      </c>
      <c r="I944" t="s">
        <v>1677</v>
      </c>
      <c r="J944" t="s">
        <v>1626</v>
      </c>
      <c r="K944" t="str">
        <f t="shared" si="126"/>
        <v>1218.2</v>
      </c>
      <c r="N944" t="str">
        <f t="shared" si="127"/>
        <v>HOLDING REGISTER</v>
      </c>
      <c r="O944" t="str">
        <f t="shared" si="128"/>
        <v>BOOL</v>
      </c>
      <c r="P944" t="str">
        <f t="shared" si="129"/>
        <v>TELECAMERA T06S</v>
      </c>
      <c r="R944" t="str">
        <f t="shared" si="130"/>
        <v>IN MANUTENZIONE ALLARMI TRAFFICO</v>
      </c>
      <c r="U944" t="str">
        <f t="shared" si="131"/>
        <v>Stato</v>
      </c>
      <c r="V944" t="str">
        <f t="shared" si="132"/>
        <v>DIREZIONE SUD</v>
      </c>
      <c r="W944" t="str">
        <f t="shared" si="133"/>
        <v>GALLERIA SAN GIULIANO</v>
      </c>
      <c r="Z944" t="str">
        <f t="shared" si="134"/>
        <v>10.220.80.16</v>
      </c>
    </row>
    <row r="945" spans="1:26" x14ac:dyDescent="0.25">
      <c r="A945" t="s">
        <v>10</v>
      </c>
      <c r="B945" t="s">
        <v>1063</v>
      </c>
      <c r="C945" t="s">
        <v>1618</v>
      </c>
      <c r="D945" t="s">
        <v>1619</v>
      </c>
      <c r="E945" t="s">
        <v>1674</v>
      </c>
      <c r="F945" t="s">
        <v>14</v>
      </c>
      <c r="G945" t="s">
        <v>1375</v>
      </c>
      <c r="H945" t="s">
        <v>22</v>
      </c>
      <c r="I945" t="s">
        <v>1678</v>
      </c>
      <c r="J945" t="s">
        <v>1375</v>
      </c>
      <c r="K945" t="str">
        <f t="shared" si="126"/>
        <v>1218.3</v>
      </c>
      <c r="N945" t="str">
        <f t="shared" si="127"/>
        <v>HOLDING REGISTER</v>
      </c>
      <c r="O945" t="str">
        <f t="shared" si="128"/>
        <v>BOOL</v>
      </c>
      <c r="P945" t="str">
        <f t="shared" si="129"/>
        <v>TELECAMERA T06S</v>
      </c>
      <c r="R945" t="str">
        <f t="shared" si="130"/>
        <v>disponibile</v>
      </c>
      <c r="U945" t="str">
        <f t="shared" si="131"/>
        <v>disponibile</v>
      </c>
      <c r="V945" t="str">
        <f t="shared" si="132"/>
        <v>DIREZIONE SUD</v>
      </c>
      <c r="W945" t="str">
        <f t="shared" si="133"/>
        <v>GALLERIA SAN GIULIANO</v>
      </c>
      <c r="Z945" t="str">
        <f t="shared" si="134"/>
        <v>10.220.80.16</v>
      </c>
    </row>
    <row r="946" spans="1:26" x14ac:dyDescent="0.25">
      <c r="A946" t="s">
        <v>10</v>
      </c>
      <c r="B946" t="s">
        <v>1063</v>
      </c>
      <c r="C946" t="s">
        <v>1618</v>
      </c>
      <c r="D946" t="s">
        <v>1619</v>
      </c>
      <c r="E946" t="s">
        <v>1674</v>
      </c>
      <c r="F946" t="s">
        <v>14</v>
      </c>
      <c r="G946" t="s">
        <v>1375</v>
      </c>
      <c r="H946" t="s">
        <v>22</v>
      </c>
      <c r="I946" t="s">
        <v>1679</v>
      </c>
      <c r="J946" t="s">
        <v>1375</v>
      </c>
      <c r="K946" t="str">
        <f t="shared" si="126"/>
        <v>1218.4</v>
      </c>
      <c r="N946" t="str">
        <f t="shared" si="127"/>
        <v>HOLDING REGISTER</v>
      </c>
      <c r="O946" t="str">
        <f t="shared" si="128"/>
        <v>BOOL</v>
      </c>
      <c r="P946" t="str">
        <f t="shared" si="129"/>
        <v>TELECAMERA T06S</v>
      </c>
      <c r="R946" t="str">
        <f t="shared" si="130"/>
        <v>disponibile</v>
      </c>
      <c r="U946" t="str">
        <f t="shared" si="131"/>
        <v>disponibile</v>
      </c>
      <c r="V946" t="str">
        <f t="shared" si="132"/>
        <v>DIREZIONE SUD</v>
      </c>
      <c r="W946" t="str">
        <f t="shared" si="133"/>
        <v>GALLERIA SAN GIULIANO</v>
      </c>
      <c r="Z946" t="str">
        <f t="shared" si="134"/>
        <v>10.220.80.16</v>
      </c>
    </row>
    <row r="947" spans="1:26" x14ac:dyDescent="0.25">
      <c r="A947" t="s">
        <v>10</v>
      </c>
      <c r="B947" t="s">
        <v>1063</v>
      </c>
      <c r="C947" t="s">
        <v>1618</v>
      </c>
      <c r="D947" t="s">
        <v>1619</v>
      </c>
      <c r="E947" t="s">
        <v>1674</v>
      </c>
      <c r="F947" t="s">
        <v>14</v>
      </c>
      <c r="G947" t="s">
        <v>1375</v>
      </c>
      <c r="H947" t="s">
        <v>22</v>
      </c>
      <c r="I947" t="s">
        <v>1680</v>
      </c>
      <c r="J947" t="s">
        <v>1375</v>
      </c>
      <c r="K947" t="str">
        <f t="shared" si="126"/>
        <v>1218.5</v>
      </c>
      <c r="N947" t="str">
        <f t="shared" si="127"/>
        <v>HOLDING REGISTER</v>
      </c>
      <c r="O947" t="str">
        <f t="shared" si="128"/>
        <v>BOOL</v>
      </c>
      <c r="P947" t="str">
        <f t="shared" si="129"/>
        <v>TELECAMERA T06S</v>
      </c>
      <c r="R947" t="str">
        <f t="shared" si="130"/>
        <v>disponibile</v>
      </c>
      <c r="U947" t="str">
        <f t="shared" si="131"/>
        <v>disponibile</v>
      </c>
      <c r="V947" t="str">
        <f t="shared" si="132"/>
        <v>DIREZIONE SUD</v>
      </c>
      <c r="W947" t="str">
        <f t="shared" si="133"/>
        <v>GALLERIA SAN GIULIANO</v>
      </c>
      <c r="Z947" t="str">
        <f t="shared" si="134"/>
        <v>10.220.80.16</v>
      </c>
    </row>
    <row r="948" spans="1:26" x14ac:dyDescent="0.25">
      <c r="A948" t="s">
        <v>10</v>
      </c>
      <c r="B948" t="s">
        <v>1063</v>
      </c>
      <c r="C948" t="s">
        <v>1618</v>
      </c>
      <c r="D948" t="s">
        <v>1619</v>
      </c>
      <c r="E948" t="s">
        <v>1674</v>
      </c>
      <c r="F948" t="s">
        <v>14</v>
      </c>
      <c r="G948" t="s">
        <v>1375</v>
      </c>
      <c r="H948" t="s">
        <v>22</v>
      </c>
      <c r="I948" t="s">
        <v>1681</v>
      </c>
      <c r="J948" t="s">
        <v>1375</v>
      </c>
      <c r="K948" t="str">
        <f t="shared" si="126"/>
        <v>1218.6</v>
      </c>
      <c r="N948" t="str">
        <f t="shared" si="127"/>
        <v>HOLDING REGISTER</v>
      </c>
      <c r="O948" t="str">
        <f t="shared" si="128"/>
        <v>BOOL</v>
      </c>
      <c r="P948" t="str">
        <f t="shared" si="129"/>
        <v>TELECAMERA T06S</v>
      </c>
      <c r="R948" t="str">
        <f t="shared" si="130"/>
        <v>disponibile</v>
      </c>
      <c r="U948" t="str">
        <f t="shared" si="131"/>
        <v>disponibile</v>
      </c>
      <c r="V948" t="str">
        <f t="shared" si="132"/>
        <v>DIREZIONE SUD</v>
      </c>
      <c r="W948" t="str">
        <f t="shared" si="133"/>
        <v>GALLERIA SAN GIULIANO</v>
      </c>
      <c r="Z948" t="str">
        <f t="shared" si="134"/>
        <v>10.220.80.16</v>
      </c>
    </row>
    <row r="949" spans="1:26" x14ac:dyDescent="0.25">
      <c r="A949" t="s">
        <v>10</v>
      </c>
      <c r="B949" t="s">
        <v>1063</v>
      </c>
      <c r="C949" t="s">
        <v>1618</v>
      </c>
      <c r="D949" t="s">
        <v>1619</v>
      </c>
      <c r="E949" t="s">
        <v>1674</v>
      </c>
      <c r="F949" t="s">
        <v>14</v>
      </c>
      <c r="G949" t="s">
        <v>1375</v>
      </c>
      <c r="H949" t="s">
        <v>22</v>
      </c>
      <c r="I949" t="s">
        <v>1682</v>
      </c>
      <c r="J949" t="s">
        <v>1375</v>
      </c>
      <c r="K949" t="str">
        <f t="shared" si="126"/>
        <v>1218.7</v>
      </c>
      <c r="N949" t="str">
        <f t="shared" si="127"/>
        <v>HOLDING REGISTER</v>
      </c>
      <c r="O949" t="str">
        <f t="shared" si="128"/>
        <v>BOOL</v>
      </c>
      <c r="P949" t="str">
        <f t="shared" si="129"/>
        <v>TELECAMERA T06S</v>
      </c>
      <c r="R949" t="str">
        <f t="shared" si="130"/>
        <v>disponibile</v>
      </c>
      <c r="U949" t="str">
        <f t="shared" si="131"/>
        <v>disponibile</v>
      </c>
      <c r="V949" t="str">
        <f t="shared" si="132"/>
        <v>DIREZIONE SUD</v>
      </c>
      <c r="W949" t="str">
        <f t="shared" si="133"/>
        <v>GALLERIA SAN GIULIANO</v>
      </c>
      <c r="Z949" t="str">
        <f t="shared" si="134"/>
        <v>10.220.80.16</v>
      </c>
    </row>
    <row r="950" spans="1:26" x14ac:dyDescent="0.25">
      <c r="A950" t="s">
        <v>10</v>
      </c>
      <c r="B950" t="s">
        <v>1063</v>
      </c>
      <c r="C950" t="s">
        <v>1618</v>
      </c>
      <c r="D950" t="s">
        <v>1619</v>
      </c>
      <c r="E950" t="s">
        <v>1674</v>
      </c>
      <c r="F950" t="s">
        <v>14</v>
      </c>
      <c r="G950" t="s">
        <v>1375</v>
      </c>
      <c r="H950" t="s">
        <v>22</v>
      </c>
      <c r="I950" t="s">
        <v>1683</v>
      </c>
      <c r="J950" t="s">
        <v>1375</v>
      </c>
      <c r="K950" t="str">
        <f t="shared" si="126"/>
        <v>1218.8</v>
      </c>
      <c r="N950" t="str">
        <f t="shared" si="127"/>
        <v>HOLDING REGISTER</v>
      </c>
      <c r="O950" t="str">
        <f t="shared" si="128"/>
        <v>BOOL</v>
      </c>
      <c r="P950" t="str">
        <f t="shared" si="129"/>
        <v>TELECAMERA T06S</v>
      </c>
      <c r="R950" t="str">
        <f t="shared" si="130"/>
        <v>disponibile</v>
      </c>
      <c r="U950" t="str">
        <f t="shared" si="131"/>
        <v>disponibile</v>
      </c>
      <c r="V950" t="str">
        <f t="shared" si="132"/>
        <v>DIREZIONE SUD</v>
      </c>
      <c r="W950" t="str">
        <f t="shared" si="133"/>
        <v>GALLERIA SAN GIULIANO</v>
      </c>
      <c r="Z950" t="str">
        <f t="shared" si="134"/>
        <v>10.220.80.16</v>
      </c>
    </row>
    <row r="951" spans="1:26" x14ac:dyDescent="0.25">
      <c r="A951" t="s">
        <v>10</v>
      </c>
      <c r="B951" t="s">
        <v>1063</v>
      </c>
      <c r="C951" t="s">
        <v>1618</v>
      </c>
      <c r="D951" t="s">
        <v>1619</v>
      </c>
      <c r="E951" t="s">
        <v>1674</v>
      </c>
      <c r="F951" t="s">
        <v>14</v>
      </c>
      <c r="G951" t="s">
        <v>1375</v>
      </c>
      <c r="H951" t="s">
        <v>22</v>
      </c>
      <c r="I951" t="s">
        <v>1684</v>
      </c>
      <c r="J951" t="s">
        <v>1375</v>
      </c>
      <c r="K951" t="str">
        <f t="shared" si="126"/>
        <v>1218.9</v>
      </c>
      <c r="N951" t="str">
        <f t="shared" si="127"/>
        <v>HOLDING REGISTER</v>
      </c>
      <c r="O951" t="str">
        <f t="shared" si="128"/>
        <v>BOOL</v>
      </c>
      <c r="P951" t="str">
        <f t="shared" si="129"/>
        <v>TELECAMERA T06S</v>
      </c>
      <c r="R951" t="str">
        <f t="shared" si="130"/>
        <v>disponibile</v>
      </c>
      <c r="U951" t="str">
        <f t="shared" si="131"/>
        <v>disponibile</v>
      </c>
      <c r="V951" t="str">
        <f t="shared" si="132"/>
        <v>DIREZIONE SUD</v>
      </c>
      <c r="W951" t="str">
        <f t="shared" si="133"/>
        <v>GALLERIA SAN GIULIANO</v>
      </c>
      <c r="Z951" t="str">
        <f t="shared" si="134"/>
        <v>10.220.80.16</v>
      </c>
    </row>
    <row r="952" spans="1:26" x14ac:dyDescent="0.25">
      <c r="A952" t="s">
        <v>10</v>
      </c>
      <c r="B952" t="s">
        <v>1063</v>
      </c>
      <c r="C952" t="s">
        <v>1618</v>
      </c>
      <c r="D952" t="s">
        <v>1619</v>
      </c>
      <c r="E952" t="s">
        <v>1674</v>
      </c>
      <c r="F952" t="s">
        <v>14</v>
      </c>
      <c r="G952" t="s">
        <v>1375</v>
      </c>
      <c r="H952" t="s">
        <v>22</v>
      </c>
      <c r="I952" t="s">
        <v>1685</v>
      </c>
      <c r="J952" t="s">
        <v>1375</v>
      </c>
      <c r="K952" t="str">
        <f t="shared" si="126"/>
        <v>1218.10</v>
      </c>
      <c r="N952" t="str">
        <f t="shared" si="127"/>
        <v>HOLDING REGISTER</v>
      </c>
      <c r="O952" t="str">
        <f t="shared" si="128"/>
        <v>BOOL</v>
      </c>
      <c r="P952" t="str">
        <f t="shared" si="129"/>
        <v>TELECAMERA T06S</v>
      </c>
      <c r="R952" t="str">
        <f t="shared" si="130"/>
        <v>disponibile</v>
      </c>
      <c r="U952" t="str">
        <f t="shared" si="131"/>
        <v>disponibile</v>
      </c>
      <c r="V952" t="str">
        <f t="shared" si="132"/>
        <v>DIREZIONE SUD</v>
      </c>
      <c r="W952" t="str">
        <f t="shared" si="133"/>
        <v>GALLERIA SAN GIULIANO</v>
      </c>
      <c r="Z952" t="str">
        <f t="shared" si="134"/>
        <v>10.220.80.16</v>
      </c>
    </row>
    <row r="953" spans="1:26" x14ac:dyDescent="0.25">
      <c r="A953" t="s">
        <v>10</v>
      </c>
      <c r="B953" t="s">
        <v>1063</v>
      </c>
      <c r="C953" t="s">
        <v>1618</v>
      </c>
      <c r="D953" t="s">
        <v>1619</v>
      </c>
      <c r="E953" t="s">
        <v>1674</v>
      </c>
      <c r="F953" t="s">
        <v>14</v>
      </c>
      <c r="G953" t="s">
        <v>1375</v>
      </c>
      <c r="H953" t="s">
        <v>22</v>
      </c>
      <c r="I953" t="s">
        <v>1686</v>
      </c>
      <c r="J953" t="s">
        <v>1375</v>
      </c>
      <c r="K953" t="str">
        <f t="shared" si="126"/>
        <v>1218.11</v>
      </c>
      <c r="N953" t="str">
        <f t="shared" si="127"/>
        <v>HOLDING REGISTER</v>
      </c>
      <c r="O953" t="str">
        <f t="shared" si="128"/>
        <v>BOOL</v>
      </c>
      <c r="P953" t="str">
        <f t="shared" si="129"/>
        <v>TELECAMERA T06S</v>
      </c>
      <c r="R953" t="str">
        <f t="shared" si="130"/>
        <v>disponibile</v>
      </c>
      <c r="U953" t="str">
        <f t="shared" si="131"/>
        <v>disponibile</v>
      </c>
      <c r="V953" t="str">
        <f t="shared" si="132"/>
        <v>DIREZIONE SUD</v>
      </c>
      <c r="W953" t="str">
        <f t="shared" si="133"/>
        <v>GALLERIA SAN GIULIANO</v>
      </c>
      <c r="Z953" t="str">
        <f t="shared" si="134"/>
        <v>10.220.80.16</v>
      </c>
    </row>
    <row r="954" spans="1:26" x14ac:dyDescent="0.25">
      <c r="A954" t="s">
        <v>10</v>
      </c>
      <c r="B954" t="s">
        <v>1063</v>
      </c>
      <c r="C954" t="s">
        <v>1618</v>
      </c>
      <c r="D954" t="s">
        <v>1619</v>
      </c>
      <c r="E954" t="s">
        <v>1674</v>
      </c>
      <c r="F954" t="s">
        <v>14</v>
      </c>
      <c r="G954" t="s">
        <v>1375</v>
      </c>
      <c r="H954" t="s">
        <v>22</v>
      </c>
      <c r="I954" t="s">
        <v>1687</v>
      </c>
      <c r="J954" t="s">
        <v>1375</v>
      </c>
      <c r="K954" t="str">
        <f t="shared" si="126"/>
        <v>1218.12</v>
      </c>
      <c r="N954" t="str">
        <f t="shared" si="127"/>
        <v>HOLDING REGISTER</v>
      </c>
      <c r="O954" t="str">
        <f t="shared" si="128"/>
        <v>BOOL</v>
      </c>
      <c r="P954" t="str">
        <f t="shared" si="129"/>
        <v>TELECAMERA T06S</v>
      </c>
      <c r="R954" t="str">
        <f t="shared" si="130"/>
        <v>disponibile</v>
      </c>
      <c r="U954" t="str">
        <f t="shared" si="131"/>
        <v>disponibile</v>
      </c>
      <c r="V954" t="str">
        <f t="shared" si="132"/>
        <v>DIREZIONE SUD</v>
      </c>
      <c r="W954" t="str">
        <f t="shared" si="133"/>
        <v>GALLERIA SAN GIULIANO</v>
      </c>
      <c r="Z954" t="str">
        <f t="shared" si="134"/>
        <v>10.220.80.16</v>
      </c>
    </row>
    <row r="955" spans="1:26" x14ac:dyDescent="0.25">
      <c r="A955" t="s">
        <v>10</v>
      </c>
      <c r="B955" t="s">
        <v>1063</v>
      </c>
      <c r="C955" t="s">
        <v>1618</v>
      </c>
      <c r="D955" t="s">
        <v>1619</v>
      </c>
      <c r="E955" t="s">
        <v>1674</v>
      </c>
      <c r="F955" t="s">
        <v>14</v>
      </c>
      <c r="G955" t="s">
        <v>1375</v>
      </c>
      <c r="H955" t="s">
        <v>22</v>
      </c>
      <c r="I955" t="s">
        <v>1688</v>
      </c>
      <c r="J955" t="s">
        <v>1375</v>
      </c>
      <c r="K955" t="str">
        <f t="shared" si="126"/>
        <v>1218.13</v>
      </c>
      <c r="N955" t="str">
        <f t="shared" si="127"/>
        <v>HOLDING REGISTER</v>
      </c>
      <c r="O955" t="str">
        <f t="shared" si="128"/>
        <v>BOOL</v>
      </c>
      <c r="P955" t="str">
        <f t="shared" si="129"/>
        <v>TELECAMERA T06S</v>
      </c>
      <c r="R955" t="str">
        <f t="shared" si="130"/>
        <v>disponibile</v>
      </c>
      <c r="U955" t="str">
        <f t="shared" si="131"/>
        <v>disponibile</v>
      </c>
      <c r="V955" t="str">
        <f t="shared" si="132"/>
        <v>DIREZIONE SUD</v>
      </c>
      <c r="W955" t="str">
        <f t="shared" si="133"/>
        <v>GALLERIA SAN GIULIANO</v>
      </c>
      <c r="Z955" t="str">
        <f t="shared" si="134"/>
        <v>10.220.80.16</v>
      </c>
    </row>
    <row r="956" spans="1:26" x14ac:dyDescent="0.25">
      <c r="A956" t="s">
        <v>10</v>
      </c>
      <c r="B956" t="s">
        <v>1063</v>
      </c>
      <c r="C956" t="s">
        <v>1618</v>
      </c>
      <c r="D956" t="s">
        <v>1619</v>
      </c>
      <c r="E956" t="s">
        <v>1674</v>
      </c>
      <c r="F956" t="s">
        <v>14</v>
      </c>
      <c r="G956" t="s">
        <v>1375</v>
      </c>
      <c r="H956" t="s">
        <v>22</v>
      </c>
      <c r="I956" t="s">
        <v>1689</v>
      </c>
      <c r="J956" t="s">
        <v>1375</v>
      </c>
      <c r="K956" t="str">
        <f t="shared" si="126"/>
        <v>1218.14</v>
      </c>
      <c r="N956" t="str">
        <f t="shared" si="127"/>
        <v>HOLDING REGISTER</v>
      </c>
      <c r="O956" t="str">
        <f t="shared" si="128"/>
        <v>BOOL</v>
      </c>
      <c r="P956" t="str">
        <f t="shared" si="129"/>
        <v>TELECAMERA T06S</v>
      </c>
      <c r="R956" t="str">
        <f t="shared" si="130"/>
        <v>disponibile</v>
      </c>
      <c r="U956" t="str">
        <f t="shared" si="131"/>
        <v>disponibile</v>
      </c>
      <c r="V956" t="str">
        <f t="shared" si="132"/>
        <v>DIREZIONE SUD</v>
      </c>
      <c r="W956" t="str">
        <f t="shared" si="133"/>
        <v>GALLERIA SAN GIULIANO</v>
      </c>
      <c r="Z956" t="str">
        <f t="shared" si="134"/>
        <v>10.220.80.16</v>
      </c>
    </row>
    <row r="957" spans="1:26" x14ac:dyDescent="0.25">
      <c r="A957" t="s">
        <v>10</v>
      </c>
      <c r="B957" t="s">
        <v>1063</v>
      </c>
      <c r="C957" t="s">
        <v>1618</v>
      </c>
      <c r="D957" t="s">
        <v>1619</v>
      </c>
      <c r="E957" t="s">
        <v>1674</v>
      </c>
      <c r="F957" t="s">
        <v>14</v>
      </c>
      <c r="G957" t="s">
        <v>1375</v>
      </c>
      <c r="H957" t="s">
        <v>22</v>
      </c>
      <c r="I957" t="s">
        <v>1690</v>
      </c>
      <c r="J957" t="s">
        <v>1375</v>
      </c>
      <c r="K957" t="str">
        <f t="shared" si="126"/>
        <v>1218.15</v>
      </c>
      <c r="N957" t="str">
        <f t="shared" si="127"/>
        <v>HOLDING REGISTER</v>
      </c>
      <c r="O957" t="str">
        <f t="shared" si="128"/>
        <v>BOOL</v>
      </c>
      <c r="P957" t="str">
        <f t="shared" si="129"/>
        <v>TELECAMERA T06S</v>
      </c>
      <c r="R957" t="str">
        <f t="shared" si="130"/>
        <v>disponibile</v>
      </c>
      <c r="U957" t="str">
        <f t="shared" si="131"/>
        <v>disponibile</v>
      </c>
      <c r="V957" t="str">
        <f t="shared" si="132"/>
        <v>DIREZIONE SUD</v>
      </c>
      <c r="W957" t="str">
        <f t="shared" si="133"/>
        <v>GALLERIA SAN GIULIANO</v>
      </c>
      <c r="Z957" t="str">
        <f t="shared" si="134"/>
        <v>10.220.80.16</v>
      </c>
    </row>
    <row r="958" spans="1:26" x14ac:dyDescent="0.25">
      <c r="A958" t="s">
        <v>10</v>
      </c>
      <c r="B958" t="s">
        <v>1063</v>
      </c>
      <c r="C958" t="s">
        <v>1618</v>
      </c>
      <c r="D958" t="s">
        <v>1619</v>
      </c>
      <c r="E958" t="s">
        <v>1691</v>
      </c>
      <c r="F958" t="s">
        <v>14</v>
      </c>
      <c r="G958" t="s">
        <v>21</v>
      </c>
      <c r="H958" t="s">
        <v>22</v>
      </c>
      <c r="I958" t="s">
        <v>1692</v>
      </c>
      <c r="J958" t="s">
        <v>1622</v>
      </c>
      <c r="K958" t="str">
        <f t="shared" si="126"/>
        <v>1219.0</v>
      </c>
      <c r="N958" t="str">
        <f t="shared" si="127"/>
        <v>HOLDING REGISTER</v>
      </c>
      <c r="O958" t="str">
        <f t="shared" si="128"/>
        <v>BOOL</v>
      </c>
      <c r="P958" t="str">
        <f t="shared" si="129"/>
        <v>TELECAMERA T07S</v>
      </c>
      <c r="R958" t="str">
        <f t="shared" si="130"/>
        <v>ALLARMI TELECAMERA ESCLUSI</v>
      </c>
      <c r="U958" t="str">
        <f t="shared" si="131"/>
        <v>Stato</v>
      </c>
      <c r="V958" t="str">
        <f t="shared" si="132"/>
        <v>DIREZIONE SUD</v>
      </c>
      <c r="W958" t="str">
        <f t="shared" si="133"/>
        <v>GALLERIA SAN GIULIANO</v>
      </c>
      <c r="Z958" t="str">
        <f t="shared" si="134"/>
        <v>10.220.80.16</v>
      </c>
    </row>
    <row r="959" spans="1:26" x14ac:dyDescent="0.25">
      <c r="A959" t="s">
        <v>10</v>
      </c>
      <c r="B959" t="s">
        <v>1063</v>
      </c>
      <c r="C959" t="s">
        <v>1618</v>
      </c>
      <c r="D959" t="s">
        <v>1619</v>
      </c>
      <c r="E959" t="s">
        <v>1691</v>
      </c>
      <c r="F959" t="s">
        <v>14</v>
      </c>
      <c r="G959" t="s">
        <v>21</v>
      </c>
      <c r="H959" t="s">
        <v>22</v>
      </c>
      <c r="I959" t="s">
        <v>1693</v>
      </c>
      <c r="J959" t="s">
        <v>1624</v>
      </c>
      <c r="K959" t="str">
        <f t="shared" si="126"/>
        <v>1219.1</v>
      </c>
      <c r="N959" t="str">
        <f t="shared" si="127"/>
        <v>HOLDING REGISTER</v>
      </c>
      <c r="O959" t="str">
        <f t="shared" si="128"/>
        <v>BOOL</v>
      </c>
      <c r="P959" t="str">
        <f t="shared" si="129"/>
        <v>TELECAMERA T07S</v>
      </c>
      <c r="R959" t="str">
        <f t="shared" si="130"/>
        <v>IN MANUTENZIONE ALLARME FUMO</v>
      </c>
      <c r="U959" t="str">
        <f t="shared" si="131"/>
        <v>Stato</v>
      </c>
      <c r="V959" t="str">
        <f t="shared" si="132"/>
        <v>DIREZIONE SUD</v>
      </c>
      <c r="W959" t="str">
        <f t="shared" si="133"/>
        <v>GALLERIA SAN GIULIANO</v>
      </c>
      <c r="Z959" t="str">
        <f t="shared" si="134"/>
        <v>10.220.80.16</v>
      </c>
    </row>
    <row r="960" spans="1:26" x14ac:dyDescent="0.25">
      <c r="A960" t="s">
        <v>10</v>
      </c>
      <c r="B960" t="s">
        <v>1063</v>
      </c>
      <c r="C960" t="s">
        <v>1618</v>
      </c>
      <c r="D960" t="s">
        <v>1619</v>
      </c>
      <c r="E960" t="s">
        <v>1691</v>
      </c>
      <c r="F960" t="s">
        <v>14</v>
      </c>
      <c r="G960" t="s">
        <v>21</v>
      </c>
      <c r="H960" t="s">
        <v>22</v>
      </c>
      <c r="I960" t="s">
        <v>1694</v>
      </c>
      <c r="J960" t="s">
        <v>1626</v>
      </c>
      <c r="K960" t="str">
        <f t="shared" si="126"/>
        <v>1219.2</v>
      </c>
      <c r="N960" t="str">
        <f t="shared" si="127"/>
        <v>HOLDING REGISTER</v>
      </c>
      <c r="O960" t="str">
        <f t="shared" si="128"/>
        <v>BOOL</v>
      </c>
      <c r="P960" t="str">
        <f t="shared" si="129"/>
        <v>TELECAMERA T07S</v>
      </c>
      <c r="R960" t="str">
        <f t="shared" si="130"/>
        <v>IN MANUTENZIONE ALLARMI TRAFFICO</v>
      </c>
      <c r="U960" t="str">
        <f t="shared" si="131"/>
        <v>Stato</v>
      </c>
      <c r="V960" t="str">
        <f t="shared" si="132"/>
        <v>DIREZIONE SUD</v>
      </c>
      <c r="W960" t="str">
        <f t="shared" si="133"/>
        <v>GALLERIA SAN GIULIANO</v>
      </c>
      <c r="Z960" t="str">
        <f t="shared" si="134"/>
        <v>10.220.80.16</v>
      </c>
    </row>
    <row r="961" spans="1:26" x14ac:dyDescent="0.25">
      <c r="A961" t="s">
        <v>10</v>
      </c>
      <c r="B961" t="s">
        <v>1063</v>
      </c>
      <c r="C961" t="s">
        <v>1618</v>
      </c>
      <c r="D961" t="s">
        <v>1619</v>
      </c>
      <c r="E961" t="s">
        <v>1691</v>
      </c>
      <c r="F961" t="s">
        <v>14</v>
      </c>
      <c r="G961" t="s">
        <v>1375</v>
      </c>
      <c r="H961" t="s">
        <v>22</v>
      </c>
      <c r="I961" t="s">
        <v>1695</v>
      </c>
      <c r="J961" t="s">
        <v>1375</v>
      </c>
      <c r="K961" t="str">
        <f t="shared" si="126"/>
        <v>1219.3</v>
      </c>
      <c r="N961" t="str">
        <f t="shared" si="127"/>
        <v>HOLDING REGISTER</v>
      </c>
      <c r="O961" t="str">
        <f t="shared" si="128"/>
        <v>BOOL</v>
      </c>
      <c r="P961" t="str">
        <f t="shared" si="129"/>
        <v>TELECAMERA T07S</v>
      </c>
      <c r="R961" t="str">
        <f t="shared" si="130"/>
        <v>disponibile</v>
      </c>
      <c r="U961" t="str">
        <f t="shared" si="131"/>
        <v>disponibile</v>
      </c>
      <c r="V961" t="str">
        <f t="shared" si="132"/>
        <v>DIREZIONE SUD</v>
      </c>
      <c r="W961" t="str">
        <f t="shared" si="133"/>
        <v>GALLERIA SAN GIULIANO</v>
      </c>
      <c r="Z961" t="str">
        <f t="shared" si="134"/>
        <v>10.220.80.16</v>
      </c>
    </row>
    <row r="962" spans="1:26" x14ac:dyDescent="0.25">
      <c r="A962" t="s">
        <v>10</v>
      </c>
      <c r="B962" t="s">
        <v>1063</v>
      </c>
      <c r="C962" t="s">
        <v>1618</v>
      </c>
      <c r="D962" t="s">
        <v>1619</v>
      </c>
      <c r="E962" t="s">
        <v>1691</v>
      </c>
      <c r="F962" t="s">
        <v>14</v>
      </c>
      <c r="G962" t="s">
        <v>1375</v>
      </c>
      <c r="H962" t="s">
        <v>22</v>
      </c>
      <c r="I962" t="s">
        <v>1696</v>
      </c>
      <c r="J962" t="s">
        <v>1375</v>
      </c>
      <c r="K962" t="str">
        <f t="shared" si="126"/>
        <v>1219.4</v>
      </c>
      <c r="N962" t="str">
        <f t="shared" si="127"/>
        <v>HOLDING REGISTER</v>
      </c>
      <c r="O962" t="str">
        <f t="shared" si="128"/>
        <v>BOOL</v>
      </c>
      <c r="P962" t="str">
        <f t="shared" si="129"/>
        <v>TELECAMERA T07S</v>
      </c>
      <c r="R962" t="str">
        <f t="shared" si="130"/>
        <v>disponibile</v>
      </c>
      <c r="U962" t="str">
        <f t="shared" si="131"/>
        <v>disponibile</v>
      </c>
      <c r="V962" t="str">
        <f t="shared" si="132"/>
        <v>DIREZIONE SUD</v>
      </c>
      <c r="W962" t="str">
        <f t="shared" si="133"/>
        <v>GALLERIA SAN GIULIANO</v>
      </c>
      <c r="Z962" t="str">
        <f t="shared" si="134"/>
        <v>10.220.80.16</v>
      </c>
    </row>
    <row r="963" spans="1:26" x14ac:dyDescent="0.25">
      <c r="A963" t="s">
        <v>10</v>
      </c>
      <c r="B963" t="s">
        <v>1063</v>
      </c>
      <c r="C963" t="s">
        <v>1618</v>
      </c>
      <c r="D963" t="s">
        <v>1619</v>
      </c>
      <c r="E963" t="s">
        <v>1691</v>
      </c>
      <c r="F963" t="s">
        <v>14</v>
      </c>
      <c r="G963" t="s">
        <v>1375</v>
      </c>
      <c r="H963" t="s">
        <v>22</v>
      </c>
      <c r="I963" t="s">
        <v>1697</v>
      </c>
      <c r="J963" t="s">
        <v>1375</v>
      </c>
      <c r="K963" t="str">
        <f t="shared" ref="K963:K1026" si="135">IF(I963="","",I963)</f>
        <v>1219.5</v>
      </c>
      <c r="N963" t="str">
        <f t="shared" ref="N963:N1026" si="136">IF(F963="","",F963)</f>
        <v>HOLDING REGISTER</v>
      </c>
      <c r="O963" t="str">
        <f t="shared" ref="O963:O1026" si="137">IF(H963="","",H963)</f>
        <v>BOOL</v>
      </c>
      <c r="P963" t="str">
        <f t="shared" ref="P963:P1026" si="138">_xlfn.CONCAT(D963," ",E963)</f>
        <v>TELECAMERA T07S</v>
      </c>
      <c r="R963" t="str">
        <f t="shared" ref="R963:R1026" si="139">IF(J963="","",J963)</f>
        <v>disponibile</v>
      </c>
      <c r="U963" t="str">
        <f t="shared" ref="U963:U1026" si="140">IF(G963="","",G963)</f>
        <v>disponibile</v>
      </c>
      <c r="V963" t="str">
        <f t="shared" ref="V963:V1026" si="141">IF(C963="","",C963)</f>
        <v>DIREZIONE SUD</v>
      </c>
      <c r="W963" t="str">
        <f t="shared" ref="W963:W1026" si="142">IF(B963="","",B963)</f>
        <v>GALLERIA SAN GIULIANO</v>
      </c>
      <c r="Z963" t="str">
        <f t="shared" ref="Z963:Z1026" si="143">IF(A963="","",A963)</f>
        <v>10.220.80.16</v>
      </c>
    </row>
    <row r="964" spans="1:26" x14ac:dyDescent="0.25">
      <c r="A964" t="s">
        <v>10</v>
      </c>
      <c r="B964" t="s">
        <v>1063</v>
      </c>
      <c r="C964" t="s">
        <v>1618</v>
      </c>
      <c r="D964" t="s">
        <v>1619</v>
      </c>
      <c r="E964" t="s">
        <v>1691</v>
      </c>
      <c r="F964" t="s">
        <v>14</v>
      </c>
      <c r="G964" t="s">
        <v>1375</v>
      </c>
      <c r="H964" t="s">
        <v>22</v>
      </c>
      <c r="I964" t="s">
        <v>1698</v>
      </c>
      <c r="J964" t="s">
        <v>1375</v>
      </c>
      <c r="K964" t="str">
        <f t="shared" si="135"/>
        <v>1219.6</v>
      </c>
      <c r="N964" t="str">
        <f t="shared" si="136"/>
        <v>HOLDING REGISTER</v>
      </c>
      <c r="O964" t="str">
        <f t="shared" si="137"/>
        <v>BOOL</v>
      </c>
      <c r="P964" t="str">
        <f t="shared" si="138"/>
        <v>TELECAMERA T07S</v>
      </c>
      <c r="R964" t="str">
        <f t="shared" si="139"/>
        <v>disponibile</v>
      </c>
      <c r="U964" t="str">
        <f t="shared" si="140"/>
        <v>disponibile</v>
      </c>
      <c r="V964" t="str">
        <f t="shared" si="141"/>
        <v>DIREZIONE SUD</v>
      </c>
      <c r="W964" t="str">
        <f t="shared" si="142"/>
        <v>GALLERIA SAN GIULIANO</v>
      </c>
      <c r="Z964" t="str">
        <f t="shared" si="143"/>
        <v>10.220.80.16</v>
      </c>
    </row>
    <row r="965" spans="1:26" x14ac:dyDescent="0.25">
      <c r="A965" t="s">
        <v>10</v>
      </c>
      <c r="B965" t="s">
        <v>1063</v>
      </c>
      <c r="C965" t="s">
        <v>1618</v>
      </c>
      <c r="D965" t="s">
        <v>1619</v>
      </c>
      <c r="E965" t="s">
        <v>1691</v>
      </c>
      <c r="F965" t="s">
        <v>14</v>
      </c>
      <c r="G965" t="s">
        <v>1375</v>
      </c>
      <c r="H965" t="s">
        <v>22</v>
      </c>
      <c r="I965" t="s">
        <v>1699</v>
      </c>
      <c r="J965" t="s">
        <v>1375</v>
      </c>
      <c r="K965" t="str">
        <f t="shared" si="135"/>
        <v>1219.7</v>
      </c>
      <c r="N965" t="str">
        <f t="shared" si="136"/>
        <v>HOLDING REGISTER</v>
      </c>
      <c r="O965" t="str">
        <f t="shared" si="137"/>
        <v>BOOL</v>
      </c>
      <c r="P965" t="str">
        <f t="shared" si="138"/>
        <v>TELECAMERA T07S</v>
      </c>
      <c r="R965" t="str">
        <f t="shared" si="139"/>
        <v>disponibile</v>
      </c>
      <c r="U965" t="str">
        <f t="shared" si="140"/>
        <v>disponibile</v>
      </c>
      <c r="V965" t="str">
        <f t="shared" si="141"/>
        <v>DIREZIONE SUD</v>
      </c>
      <c r="W965" t="str">
        <f t="shared" si="142"/>
        <v>GALLERIA SAN GIULIANO</v>
      </c>
      <c r="Z965" t="str">
        <f t="shared" si="143"/>
        <v>10.220.80.16</v>
      </c>
    </row>
    <row r="966" spans="1:26" x14ac:dyDescent="0.25">
      <c r="A966" t="s">
        <v>10</v>
      </c>
      <c r="B966" t="s">
        <v>1063</v>
      </c>
      <c r="C966" t="s">
        <v>1618</v>
      </c>
      <c r="D966" t="s">
        <v>1619</v>
      </c>
      <c r="E966" t="s">
        <v>1691</v>
      </c>
      <c r="F966" t="s">
        <v>14</v>
      </c>
      <c r="G966" t="s">
        <v>1375</v>
      </c>
      <c r="H966" t="s">
        <v>22</v>
      </c>
      <c r="I966" t="s">
        <v>1700</v>
      </c>
      <c r="J966" t="s">
        <v>1375</v>
      </c>
      <c r="K966" t="str">
        <f t="shared" si="135"/>
        <v>1219.8</v>
      </c>
      <c r="N966" t="str">
        <f t="shared" si="136"/>
        <v>HOLDING REGISTER</v>
      </c>
      <c r="O966" t="str">
        <f t="shared" si="137"/>
        <v>BOOL</v>
      </c>
      <c r="P966" t="str">
        <f t="shared" si="138"/>
        <v>TELECAMERA T07S</v>
      </c>
      <c r="R966" t="str">
        <f t="shared" si="139"/>
        <v>disponibile</v>
      </c>
      <c r="U966" t="str">
        <f t="shared" si="140"/>
        <v>disponibile</v>
      </c>
      <c r="V966" t="str">
        <f t="shared" si="141"/>
        <v>DIREZIONE SUD</v>
      </c>
      <c r="W966" t="str">
        <f t="shared" si="142"/>
        <v>GALLERIA SAN GIULIANO</v>
      </c>
      <c r="Z966" t="str">
        <f t="shared" si="143"/>
        <v>10.220.80.16</v>
      </c>
    </row>
    <row r="967" spans="1:26" x14ac:dyDescent="0.25">
      <c r="A967" t="s">
        <v>10</v>
      </c>
      <c r="B967" t="s">
        <v>1063</v>
      </c>
      <c r="C967" t="s">
        <v>1618</v>
      </c>
      <c r="D967" t="s">
        <v>1619</v>
      </c>
      <c r="E967" t="s">
        <v>1691</v>
      </c>
      <c r="F967" t="s">
        <v>14</v>
      </c>
      <c r="G967" t="s">
        <v>1375</v>
      </c>
      <c r="H967" t="s">
        <v>22</v>
      </c>
      <c r="I967" t="s">
        <v>1701</v>
      </c>
      <c r="J967" t="s">
        <v>1375</v>
      </c>
      <c r="K967" t="str">
        <f t="shared" si="135"/>
        <v>1219.9</v>
      </c>
      <c r="N967" t="str">
        <f t="shared" si="136"/>
        <v>HOLDING REGISTER</v>
      </c>
      <c r="O967" t="str">
        <f t="shared" si="137"/>
        <v>BOOL</v>
      </c>
      <c r="P967" t="str">
        <f t="shared" si="138"/>
        <v>TELECAMERA T07S</v>
      </c>
      <c r="R967" t="str">
        <f t="shared" si="139"/>
        <v>disponibile</v>
      </c>
      <c r="U967" t="str">
        <f t="shared" si="140"/>
        <v>disponibile</v>
      </c>
      <c r="V967" t="str">
        <f t="shared" si="141"/>
        <v>DIREZIONE SUD</v>
      </c>
      <c r="W967" t="str">
        <f t="shared" si="142"/>
        <v>GALLERIA SAN GIULIANO</v>
      </c>
      <c r="Z967" t="str">
        <f t="shared" si="143"/>
        <v>10.220.80.16</v>
      </c>
    </row>
    <row r="968" spans="1:26" x14ac:dyDescent="0.25">
      <c r="A968" t="s">
        <v>10</v>
      </c>
      <c r="B968" t="s">
        <v>1063</v>
      </c>
      <c r="C968" t="s">
        <v>1618</v>
      </c>
      <c r="D968" t="s">
        <v>1619</v>
      </c>
      <c r="E968" t="s">
        <v>1691</v>
      </c>
      <c r="F968" t="s">
        <v>14</v>
      </c>
      <c r="G968" t="s">
        <v>1375</v>
      </c>
      <c r="H968" t="s">
        <v>22</v>
      </c>
      <c r="I968" t="s">
        <v>1702</v>
      </c>
      <c r="J968" t="s">
        <v>1375</v>
      </c>
      <c r="K968" t="str">
        <f t="shared" si="135"/>
        <v>1219.10</v>
      </c>
      <c r="N968" t="str">
        <f t="shared" si="136"/>
        <v>HOLDING REGISTER</v>
      </c>
      <c r="O968" t="str">
        <f t="shared" si="137"/>
        <v>BOOL</v>
      </c>
      <c r="P968" t="str">
        <f t="shared" si="138"/>
        <v>TELECAMERA T07S</v>
      </c>
      <c r="R968" t="str">
        <f t="shared" si="139"/>
        <v>disponibile</v>
      </c>
      <c r="U968" t="str">
        <f t="shared" si="140"/>
        <v>disponibile</v>
      </c>
      <c r="V968" t="str">
        <f t="shared" si="141"/>
        <v>DIREZIONE SUD</v>
      </c>
      <c r="W968" t="str">
        <f t="shared" si="142"/>
        <v>GALLERIA SAN GIULIANO</v>
      </c>
      <c r="Z968" t="str">
        <f t="shared" si="143"/>
        <v>10.220.80.16</v>
      </c>
    </row>
    <row r="969" spans="1:26" x14ac:dyDescent="0.25">
      <c r="A969" t="s">
        <v>10</v>
      </c>
      <c r="B969" t="s">
        <v>1063</v>
      </c>
      <c r="C969" t="s">
        <v>1618</v>
      </c>
      <c r="D969" t="s">
        <v>1619</v>
      </c>
      <c r="E969" t="s">
        <v>1691</v>
      </c>
      <c r="F969" t="s">
        <v>14</v>
      </c>
      <c r="G969" t="s">
        <v>1375</v>
      </c>
      <c r="H969" t="s">
        <v>22</v>
      </c>
      <c r="I969" t="s">
        <v>1703</v>
      </c>
      <c r="J969" t="s">
        <v>1375</v>
      </c>
      <c r="K969" t="str">
        <f t="shared" si="135"/>
        <v>1219.11</v>
      </c>
      <c r="N969" t="str">
        <f t="shared" si="136"/>
        <v>HOLDING REGISTER</v>
      </c>
      <c r="O969" t="str">
        <f t="shared" si="137"/>
        <v>BOOL</v>
      </c>
      <c r="P969" t="str">
        <f t="shared" si="138"/>
        <v>TELECAMERA T07S</v>
      </c>
      <c r="R969" t="str">
        <f t="shared" si="139"/>
        <v>disponibile</v>
      </c>
      <c r="U969" t="str">
        <f t="shared" si="140"/>
        <v>disponibile</v>
      </c>
      <c r="V969" t="str">
        <f t="shared" si="141"/>
        <v>DIREZIONE SUD</v>
      </c>
      <c r="W969" t="str">
        <f t="shared" si="142"/>
        <v>GALLERIA SAN GIULIANO</v>
      </c>
      <c r="Z969" t="str">
        <f t="shared" si="143"/>
        <v>10.220.80.16</v>
      </c>
    </row>
    <row r="970" spans="1:26" x14ac:dyDescent="0.25">
      <c r="A970" t="s">
        <v>10</v>
      </c>
      <c r="B970" t="s">
        <v>1063</v>
      </c>
      <c r="C970" t="s">
        <v>1618</v>
      </c>
      <c r="D970" t="s">
        <v>1619</v>
      </c>
      <c r="E970" t="s">
        <v>1691</v>
      </c>
      <c r="F970" t="s">
        <v>14</v>
      </c>
      <c r="G970" t="s">
        <v>1375</v>
      </c>
      <c r="H970" t="s">
        <v>22</v>
      </c>
      <c r="I970" t="s">
        <v>1704</v>
      </c>
      <c r="J970" t="s">
        <v>1375</v>
      </c>
      <c r="K970" t="str">
        <f t="shared" si="135"/>
        <v>1219.12</v>
      </c>
      <c r="N970" t="str">
        <f t="shared" si="136"/>
        <v>HOLDING REGISTER</v>
      </c>
      <c r="O970" t="str">
        <f t="shared" si="137"/>
        <v>BOOL</v>
      </c>
      <c r="P970" t="str">
        <f t="shared" si="138"/>
        <v>TELECAMERA T07S</v>
      </c>
      <c r="R970" t="str">
        <f t="shared" si="139"/>
        <v>disponibile</v>
      </c>
      <c r="U970" t="str">
        <f t="shared" si="140"/>
        <v>disponibile</v>
      </c>
      <c r="V970" t="str">
        <f t="shared" si="141"/>
        <v>DIREZIONE SUD</v>
      </c>
      <c r="W970" t="str">
        <f t="shared" si="142"/>
        <v>GALLERIA SAN GIULIANO</v>
      </c>
      <c r="Z970" t="str">
        <f t="shared" si="143"/>
        <v>10.220.80.16</v>
      </c>
    </row>
    <row r="971" spans="1:26" x14ac:dyDescent="0.25">
      <c r="A971" t="s">
        <v>10</v>
      </c>
      <c r="B971" t="s">
        <v>1063</v>
      </c>
      <c r="C971" t="s">
        <v>1618</v>
      </c>
      <c r="D971" t="s">
        <v>1619</v>
      </c>
      <c r="E971" t="s">
        <v>1691</v>
      </c>
      <c r="F971" t="s">
        <v>14</v>
      </c>
      <c r="G971" t="s">
        <v>1375</v>
      </c>
      <c r="H971" t="s">
        <v>22</v>
      </c>
      <c r="I971" t="s">
        <v>1705</v>
      </c>
      <c r="J971" t="s">
        <v>1375</v>
      </c>
      <c r="K971" t="str">
        <f t="shared" si="135"/>
        <v>1219.13</v>
      </c>
      <c r="N971" t="str">
        <f t="shared" si="136"/>
        <v>HOLDING REGISTER</v>
      </c>
      <c r="O971" t="str">
        <f t="shared" si="137"/>
        <v>BOOL</v>
      </c>
      <c r="P971" t="str">
        <f t="shared" si="138"/>
        <v>TELECAMERA T07S</v>
      </c>
      <c r="R971" t="str">
        <f t="shared" si="139"/>
        <v>disponibile</v>
      </c>
      <c r="U971" t="str">
        <f t="shared" si="140"/>
        <v>disponibile</v>
      </c>
      <c r="V971" t="str">
        <f t="shared" si="141"/>
        <v>DIREZIONE SUD</v>
      </c>
      <c r="W971" t="str">
        <f t="shared" si="142"/>
        <v>GALLERIA SAN GIULIANO</v>
      </c>
      <c r="Z971" t="str">
        <f t="shared" si="143"/>
        <v>10.220.80.16</v>
      </c>
    </row>
    <row r="972" spans="1:26" x14ac:dyDescent="0.25">
      <c r="A972" t="s">
        <v>10</v>
      </c>
      <c r="B972" t="s">
        <v>1063</v>
      </c>
      <c r="C972" t="s">
        <v>1618</v>
      </c>
      <c r="D972" t="s">
        <v>1619</v>
      </c>
      <c r="E972" t="s">
        <v>1691</v>
      </c>
      <c r="F972" t="s">
        <v>14</v>
      </c>
      <c r="G972" t="s">
        <v>1375</v>
      </c>
      <c r="H972" t="s">
        <v>22</v>
      </c>
      <c r="I972" t="s">
        <v>1706</v>
      </c>
      <c r="J972" t="s">
        <v>1375</v>
      </c>
      <c r="K972" t="str">
        <f t="shared" si="135"/>
        <v>1219.14</v>
      </c>
      <c r="N972" t="str">
        <f t="shared" si="136"/>
        <v>HOLDING REGISTER</v>
      </c>
      <c r="O972" t="str">
        <f t="shared" si="137"/>
        <v>BOOL</v>
      </c>
      <c r="P972" t="str">
        <f t="shared" si="138"/>
        <v>TELECAMERA T07S</v>
      </c>
      <c r="R972" t="str">
        <f t="shared" si="139"/>
        <v>disponibile</v>
      </c>
      <c r="U972" t="str">
        <f t="shared" si="140"/>
        <v>disponibile</v>
      </c>
      <c r="V972" t="str">
        <f t="shared" si="141"/>
        <v>DIREZIONE SUD</v>
      </c>
      <c r="W972" t="str">
        <f t="shared" si="142"/>
        <v>GALLERIA SAN GIULIANO</v>
      </c>
      <c r="Z972" t="str">
        <f t="shared" si="143"/>
        <v>10.220.80.16</v>
      </c>
    </row>
    <row r="973" spans="1:26" x14ac:dyDescent="0.25">
      <c r="A973" t="s">
        <v>10</v>
      </c>
      <c r="B973" t="s">
        <v>1063</v>
      </c>
      <c r="C973" t="s">
        <v>1618</v>
      </c>
      <c r="D973" t="s">
        <v>1619</v>
      </c>
      <c r="E973" t="s">
        <v>1691</v>
      </c>
      <c r="F973" t="s">
        <v>14</v>
      </c>
      <c r="G973" t="s">
        <v>1375</v>
      </c>
      <c r="H973" t="s">
        <v>22</v>
      </c>
      <c r="I973" t="s">
        <v>1707</v>
      </c>
      <c r="J973" t="s">
        <v>1375</v>
      </c>
      <c r="K973" t="str">
        <f t="shared" si="135"/>
        <v>1219.15</v>
      </c>
      <c r="N973" t="str">
        <f t="shared" si="136"/>
        <v>HOLDING REGISTER</v>
      </c>
      <c r="O973" t="str">
        <f t="shared" si="137"/>
        <v>BOOL</v>
      </c>
      <c r="P973" t="str">
        <f t="shared" si="138"/>
        <v>TELECAMERA T07S</v>
      </c>
      <c r="R973" t="str">
        <f t="shared" si="139"/>
        <v>disponibile</v>
      </c>
      <c r="U973" t="str">
        <f t="shared" si="140"/>
        <v>disponibile</v>
      </c>
      <c r="V973" t="str">
        <f t="shared" si="141"/>
        <v>DIREZIONE SUD</v>
      </c>
      <c r="W973" t="str">
        <f t="shared" si="142"/>
        <v>GALLERIA SAN GIULIANO</v>
      </c>
      <c r="Z973" t="str">
        <f t="shared" si="143"/>
        <v>10.220.80.16</v>
      </c>
    </row>
    <row r="974" spans="1:26" x14ac:dyDescent="0.25">
      <c r="A974" t="s">
        <v>10</v>
      </c>
      <c r="B974" t="s">
        <v>1063</v>
      </c>
      <c r="C974" t="s">
        <v>1618</v>
      </c>
      <c r="D974" t="s">
        <v>1619</v>
      </c>
      <c r="E974" t="s">
        <v>1708</v>
      </c>
      <c r="F974" t="s">
        <v>14</v>
      </c>
      <c r="G974" t="s">
        <v>21</v>
      </c>
      <c r="H974" t="s">
        <v>22</v>
      </c>
      <c r="I974" t="s">
        <v>1709</v>
      </c>
      <c r="J974" t="s">
        <v>1622</v>
      </c>
      <c r="K974" t="str">
        <f t="shared" si="135"/>
        <v>1220.0</v>
      </c>
      <c r="N974" t="str">
        <f t="shared" si="136"/>
        <v>HOLDING REGISTER</v>
      </c>
      <c r="O974" t="str">
        <f t="shared" si="137"/>
        <v>BOOL</v>
      </c>
      <c r="P974" t="str">
        <f t="shared" si="138"/>
        <v>TELECAMERA T10S</v>
      </c>
      <c r="R974" t="str">
        <f t="shared" si="139"/>
        <v>ALLARMI TELECAMERA ESCLUSI</v>
      </c>
      <c r="U974" t="str">
        <f t="shared" si="140"/>
        <v>Stato</v>
      </c>
      <c r="V974" t="str">
        <f t="shared" si="141"/>
        <v>DIREZIONE SUD</v>
      </c>
      <c r="W974" t="str">
        <f t="shared" si="142"/>
        <v>GALLERIA SAN GIULIANO</v>
      </c>
      <c r="Z974" t="str">
        <f t="shared" si="143"/>
        <v>10.220.80.16</v>
      </c>
    </row>
    <row r="975" spans="1:26" x14ac:dyDescent="0.25">
      <c r="A975" t="s">
        <v>10</v>
      </c>
      <c r="B975" t="s">
        <v>1063</v>
      </c>
      <c r="C975" t="s">
        <v>1618</v>
      </c>
      <c r="D975" t="s">
        <v>1619</v>
      </c>
      <c r="E975" t="s">
        <v>1708</v>
      </c>
      <c r="F975" t="s">
        <v>14</v>
      </c>
      <c r="G975" t="s">
        <v>21</v>
      </c>
      <c r="H975" t="s">
        <v>22</v>
      </c>
      <c r="I975" t="s">
        <v>1710</v>
      </c>
      <c r="J975" t="s">
        <v>1624</v>
      </c>
      <c r="K975" t="str">
        <f t="shared" si="135"/>
        <v>1220.1</v>
      </c>
      <c r="N975" t="str">
        <f t="shared" si="136"/>
        <v>HOLDING REGISTER</v>
      </c>
      <c r="O975" t="str">
        <f t="shared" si="137"/>
        <v>BOOL</v>
      </c>
      <c r="P975" t="str">
        <f t="shared" si="138"/>
        <v>TELECAMERA T10S</v>
      </c>
      <c r="R975" t="str">
        <f t="shared" si="139"/>
        <v>IN MANUTENZIONE ALLARME FUMO</v>
      </c>
      <c r="U975" t="str">
        <f t="shared" si="140"/>
        <v>Stato</v>
      </c>
      <c r="V975" t="str">
        <f t="shared" si="141"/>
        <v>DIREZIONE SUD</v>
      </c>
      <c r="W975" t="str">
        <f t="shared" si="142"/>
        <v>GALLERIA SAN GIULIANO</v>
      </c>
      <c r="Z975" t="str">
        <f t="shared" si="143"/>
        <v>10.220.80.16</v>
      </c>
    </row>
    <row r="976" spans="1:26" x14ac:dyDescent="0.25">
      <c r="A976" t="s">
        <v>10</v>
      </c>
      <c r="B976" t="s">
        <v>1063</v>
      </c>
      <c r="C976" t="s">
        <v>1618</v>
      </c>
      <c r="D976" t="s">
        <v>1619</v>
      </c>
      <c r="E976" t="s">
        <v>1708</v>
      </c>
      <c r="F976" t="s">
        <v>14</v>
      </c>
      <c r="G976" t="s">
        <v>21</v>
      </c>
      <c r="H976" t="s">
        <v>22</v>
      </c>
      <c r="I976" t="s">
        <v>1711</v>
      </c>
      <c r="J976" t="s">
        <v>1626</v>
      </c>
      <c r="K976" t="str">
        <f t="shared" si="135"/>
        <v>1220.2</v>
      </c>
      <c r="N976" t="str">
        <f t="shared" si="136"/>
        <v>HOLDING REGISTER</v>
      </c>
      <c r="O976" t="str">
        <f t="shared" si="137"/>
        <v>BOOL</v>
      </c>
      <c r="P976" t="str">
        <f t="shared" si="138"/>
        <v>TELECAMERA T10S</v>
      </c>
      <c r="R976" t="str">
        <f t="shared" si="139"/>
        <v>IN MANUTENZIONE ALLARMI TRAFFICO</v>
      </c>
      <c r="U976" t="str">
        <f t="shared" si="140"/>
        <v>Stato</v>
      </c>
      <c r="V976" t="str">
        <f t="shared" si="141"/>
        <v>DIREZIONE SUD</v>
      </c>
      <c r="W976" t="str">
        <f t="shared" si="142"/>
        <v>GALLERIA SAN GIULIANO</v>
      </c>
      <c r="Z976" t="str">
        <f t="shared" si="143"/>
        <v>10.220.80.16</v>
      </c>
    </row>
    <row r="977" spans="1:26" x14ac:dyDescent="0.25">
      <c r="A977" t="s">
        <v>10</v>
      </c>
      <c r="B977" t="s">
        <v>1063</v>
      </c>
      <c r="C977" t="s">
        <v>1618</v>
      </c>
      <c r="D977" t="s">
        <v>1619</v>
      </c>
      <c r="E977" t="s">
        <v>1708</v>
      </c>
      <c r="F977" t="s">
        <v>14</v>
      </c>
      <c r="G977" t="s">
        <v>1375</v>
      </c>
      <c r="H977" t="s">
        <v>22</v>
      </c>
      <c r="I977" t="s">
        <v>1712</v>
      </c>
      <c r="J977" t="s">
        <v>1375</v>
      </c>
      <c r="K977" t="str">
        <f t="shared" si="135"/>
        <v>1220.3</v>
      </c>
      <c r="N977" t="str">
        <f t="shared" si="136"/>
        <v>HOLDING REGISTER</v>
      </c>
      <c r="O977" t="str">
        <f t="shared" si="137"/>
        <v>BOOL</v>
      </c>
      <c r="P977" t="str">
        <f t="shared" si="138"/>
        <v>TELECAMERA T10S</v>
      </c>
      <c r="R977" t="str">
        <f t="shared" si="139"/>
        <v>disponibile</v>
      </c>
      <c r="U977" t="str">
        <f t="shared" si="140"/>
        <v>disponibile</v>
      </c>
      <c r="V977" t="str">
        <f t="shared" si="141"/>
        <v>DIREZIONE SUD</v>
      </c>
      <c r="W977" t="str">
        <f t="shared" si="142"/>
        <v>GALLERIA SAN GIULIANO</v>
      </c>
      <c r="Z977" t="str">
        <f t="shared" si="143"/>
        <v>10.220.80.16</v>
      </c>
    </row>
    <row r="978" spans="1:26" x14ac:dyDescent="0.25">
      <c r="A978" t="s">
        <v>10</v>
      </c>
      <c r="B978" t="s">
        <v>1063</v>
      </c>
      <c r="C978" t="s">
        <v>1618</v>
      </c>
      <c r="D978" t="s">
        <v>1619</v>
      </c>
      <c r="E978" t="s">
        <v>1708</v>
      </c>
      <c r="F978" t="s">
        <v>14</v>
      </c>
      <c r="G978" t="s">
        <v>1375</v>
      </c>
      <c r="H978" t="s">
        <v>22</v>
      </c>
      <c r="I978" t="s">
        <v>1713</v>
      </c>
      <c r="J978" t="s">
        <v>1375</v>
      </c>
      <c r="K978" t="str">
        <f t="shared" si="135"/>
        <v>1220.4</v>
      </c>
      <c r="N978" t="str">
        <f t="shared" si="136"/>
        <v>HOLDING REGISTER</v>
      </c>
      <c r="O978" t="str">
        <f t="shared" si="137"/>
        <v>BOOL</v>
      </c>
      <c r="P978" t="str">
        <f t="shared" si="138"/>
        <v>TELECAMERA T10S</v>
      </c>
      <c r="R978" t="str">
        <f t="shared" si="139"/>
        <v>disponibile</v>
      </c>
      <c r="U978" t="str">
        <f t="shared" si="140"/>
        <v>disponibile</v>
      </c>
      <c r="V978" t="str">
        <f t="shared" si="141"/>
        <v>DIREZIONE SUD</v>
      </c>
      <c r="W978" t="str">
        <f t="shared" si="142"/>
        <v>GALLERIA SAN GIULIANO</v>
      </c>
      <c r="Z978" t="str">
        <f t="shared" si="143"/>
        <v>10.220.80.16</v>
      </c>
    </row>
    <row r="979" spans="1:26" x14ac:dyDescent="0.25">
      <c r="A979" t="s">
        <v>10</v>
      </c>
      <c r="B979" t="s">
        <v>1063</v>
      </c>
      <c r="C979" t="s">
        <v>1618</v>
      </c>
      <c r="D979" t="s">
        <v>1619</v>
      </c>
      <c r="E979" t="s">
        <v>1708</v>
      </c>
      <c r="F979" t="s">
        <v>14</v>
      </c>
      <c r="G979" t="s">
        <v>1375</v>
      </c>
      <c r="H979" t="s">
        <v>22</v>
      </c>
      <c r="I979" t="s">
        <v>1714</v>
      </c>
      <c r="J979" t="s">
        <v>1375</v>
      </c>
      <c r="K979" t="str">
        <f t="shared" si="135"/>
        <v>1220.5</v>
      </c>
      <c r="N979" t="str">
        <f t="shared" si="136"/>
        <v>HOLDING REGISTER</v>
      </c>
      <c r="O979" t="str">
        <f t="shared" si="137"/>
        <v>BOOL</v>
      </c>
      <c r="P979" t="str">
        <f t="shared" si="138"/>
        <v>TELECAMERA T10S</v>
      </c>
      <c r="R979" t="str">
        <f t="shared" si="139"/>
        <v>disponibile</v>
      </c>
      <c r="U979" t="str">
        <f t="shared" si="140"/>
        <v>disponibile</v>
      </c>
      <c r="V979" t="str">
        <f t="shared" si="141"/>
        <v>DIREZIONE SUD</v>
      </c>
      <c r="W979" t="str">
        <f t="shared" si="142"/>
        <v>GALLERIA SAN GIULIANO</v>
      </c>
      <c r="Z979" t="str">
        <f t="shared" si="143"/>
        <v>10.220.80.16</v>
      </c>
    </row>
    <row r="980" spans="1:26" x14ac:dyDescent="0.25">
      <c r="A980" t="s">
        <v>10</v>
      </c>
      <c r="B980" t="s">
        <v>1063</v>
      </c>
      <c r="C980" t="s">
        <v>1618</v>
      </c>
      <c r="D980" t="s">
        <v>1619</v>
      </c>
      <c r="E980" t="s">
        <v>1708</v>
      </c>
      <c r="F980" t="s">
        <v>14</v>
      </c>
      <c r="G980" t="s">
        <v>1375</v>
      </c>
      <c r="H980" t="s">
        <v>22</v>
      </c>
      <c r="I980" t="s">
        <v>1715</v>
      </c>
      <c r="J980" t="s">
        <v>1375</v>
      </c>
      <c r="K980" t="str">
        <f t="shared" si="135"/>
        <v>1220.6</v>
      </c>
      <c r="N980" t="str">
        <f t="shared" si="136"/>
        <v>HOLDING REGISTER</v>
      </c>
      <c r="O980" t="str">
        <f t="shared" si="137"/>
        <v>BOOL</v>
      </c>
      <c r="P980" t="str">
        <f t="shared" si="138"/>
        <v>TELECAMERA T10S</v>
      </c>
      <c r="R980" t="str">
        <f t="shared" si="139"/>
        <v>disponibile</v>
      </c>
      <c r="U980" t="str">
        <f t="shared" si="140"/>
        <v>disponibile</v>
      </c>
      <c r="V980" t="str">
        <f t="shared" si="141"/>
        <v>DIREZIONE SUD</v>
      </c>
      <c r="W980" t="str">
        <f t="shared" si="142"/>
        <v>GALLERIA SAN GIULIANO</v>
      </c>
      <c r="Z980" t="str">
        <f t="shared" si="143"/>
        <v>10.220.80.16</v>
      </c>
    </row>
    <row r="981" spans="1:26" x14ac:dyDescent="0.25">
      <c r="A981" t="s">
        <v>10</v>
      </c>
      <c r="B981" t="s">
        <v>1063</v>
      </c>
      <c r="C981" t="s">
        <v>1618</v>
      </c>
      <c r="D981" t="s">
        <v>1619</v>
      </c>
      <c r="E981" t="s">
        <v>1708</v>
      </c>
      <c r="F981" t="s">
        <v>14</v>
      </c>
      <c r="G981" t="s">
        <v>1375</v>
      </c>
      <c r="H981" t="s">
        <v>22</v>
      </c>
      <c r="I981" t="s">
        <v>1716</v>
      </c>
      <c r="J981" t="s">
        <v>1375</v>
      </c>
      <c r="K981" t="str">
        <f t="shared" si="135"/>
        <v>1220.7</v>
      </c>
      <c r="N981" t="str">
        <f t="shared" si="136"/>
        <v>HOLDING REGISTER</v>
      </c>
      <c r="O981" t="str">
        <f t="shared" si="137"/>
        <v>BOOL</v>
      </c>
      <c r="P981" t="str">
        <f t="shared" si="138"/>
        <v>TELECAMERA T10S</v>
      </c>
      <c r="R981" t="str">
        <f t="shared" si="139"/>
        <v>disponibile</v>
      </c>
      <c r="U981" t="str">
        <f t="shared" si="140"/>
        <v>disponibile</v>
      </c>
      <c r="V981" t="str">
        <f t="shared" si="141"/>
        <v>DIREZIONE SUD</v>
      </c>
      <c r="W981" t="str">
        <f t="shared" si="142"/>
        <v>GALLERIA SAN GIULIANO</v>
      </c>
      <c r="Z981" t="str">
        <f t="shared" si="143"/>
        <v>10.220.80.16</v>
      </c>
    </row>
    <row r="982" spans="1:26" x14ac:dyDescent="0.25">
      <c r="A982" t="s">
        <v>10</v>
      </c>
      <c r="B982" t="s">
        <v>1063</v>
      </c>
      <c r="C982" t="s">
        <v>1618</v>
      </c>
      <c r="D982" t="s">
        <v>1619</v>
      </c>
      <c r="E982" t="s">
        <v>1708</v>
      </c>
      <c r="F982" t="s">
        <v>14</v>
      </c>
      <c r="G982" t="s">
        <v>1375</v>
      </c>
      <c r="H982" t="s">
        <v>22</v>
      </c>
      <c r="I982" t="s">
        <v>1717</v>
      </c>
      <c r="J982" t="s">
        <v>1375</v>
      </c>
      <c r="K982" t="str">
        <f t="shared" si="135"/>
        <v>1220.8</v>
      </c>
      <c r="N982" t="str">
        <f t="shared" si="136"/>
        <v>HOLDING REGISTER</v>
      </c>
      <c r="O982" t="str">
        <f t="shared" si="137"/>
        <v>BOOL</v>
      </c>
      <c r="P982" t="str">
        <f t="shared" si="138"/>
        <v>TELECAMERA T10S</v>
      </c>
      <c r="R982" t="str">
        <f t="shared" si="139"/>
        <v>disponibile</v>
      </c>
      <c r="U982" t="str">
        <f t="shared" si="140"/>
        <v>disponibile</v>
      </c>
      <c r="V982" t="str">
        <f t="shared" si="141"/>
        <v>DIREZIONE SUD</v>
      </c>
      <c r="W982" t="str">
        <f t="shared" si="142"/>
        <v>GALLERIA SAN GIULIANO</v>
      </c>
      <c r="Z982" t="str">
        <f t="shared" si="143"/>
        <v>10.220.80.16</v>
      </c>
    </row>
    <row r="983" spans="1:26" x14ac:dyDescent="0.25">
      <c r="A983" t="s">
        <v>10</v>
      </c>
      <c r="B983" t="s">
        <v>1063</v>
      </c>
      <c r="C983" t="s">
        <v>1618</v>
      </c>
      <c r="D983" t="s">
        <v>1619</v>
      </c>
      <c r="E983" t="s">
        <v>1708</v>
      </c>
      <c r="F983" t="s">
        <v>14</v>
      </c>
      <c r="G983" t="s">
        <v>1375</v>
      </c>
      <c r="H983" t="s">
        <v>22</v>
      </c>
      <c r="I983" t="s">
        <v>1718</v>
      </c>
      <c r="J983" t="s">
        <v>1375</v>
      </c>
      <c r="K983" t="str">
        <f t="shared" si="135"/>
        <v>1220.9</v>
      </c>
      <c r="N983" t="str">
        <f t="shared" si="136"/>
        <v>HOLDING REGISTER</v>
      </c>
      <c r="O983" t="str">
        <f t="shared" si="137"/>
        <v>BOOL</v>
      </c>
      <c r="P983" t="str">
        <f t="shared" si="138"/>
        <v>TELECAMERA T10S</v>
      </c>
      <c r="R983" t="str">
        <f t="shared" si="139"/>
        <v>disponibile</v>
      </c>
      <c r="U983" t="str">
        <f t="shared" si="140"/>
        <v>disponibile</v>
      </c>
      <c r="V983" t="str">
        <f t="shared" si="141"/>
        <v>DIREZIONE SUD</v>
      </c>
      <c r="W983" t="str">
        <f t="shared" si="142"/>
        <v>GALLERIA SAN GIULIANO</v>
      </c>
      <c r="Z983" t="str">
        <f t="shared" si="143"/>
        <v>10.220.80.16</v>
      </c>
    </row>
    <row r="984" spans="1:26" x14ac:dyDescent="0.25">
      <c r="A984" t="s">
        <v>10</v>
      </c>
      <c r="B984" t="s">
        <v>1063</v>
      </c>
      <c r="C984" t="s">
        <v>1618</v>
      </c>
      <c r="D984" t="s">
        <v>1619</v>
      </c>
      <c r="E984" t="s">
        <v>1708</v>
      </c>
      <c r="F984" t="s">
        <v>14</v>
      </c>
      <c r="G984" t="s">
        <v>1375</v>
      </c>
      <c r="H984" t="s">
        <v>22</v>
      </c>
      <c r="I984" t="s">
        <v>1719</v>
      </c>
      <c r="J984" t="s">
        <v>1375</v>
      </c>
      <c r="K984" t="str">
        <f t="shared" si="135"/>
        <v>1220.10</v>
      </c>
      <c r="N984" t="str">
        <f t="shared" si="136"/>
        <v>HOLDING REGISTER</v>
      </c>
      <c r="O984" t="str">
        <f t="shared" si="137"/>
        <v>BOOL</v>
      </c>
      <c r="P984" t="str">
        <f t="shared" si="138"/>
        <v>TELECAMERA T10S</v>
      </c>
      <c r="R984" t="str">
        <f t="shared" si="139"/>
        <v>disponibile</v>
      </c>
      <c r="U984" t="str">
        <f t="shared" si="140"/>
        <v>disponibile</v>
      </c>
      <c r="V984" t="str">
        <f t="shared" si="141"/>
        <v>DIREZIONE SUD</v>
      </c>
      <c r="W984" t="str">
        <f t="shared" si="142"/>
        <v>GALLERIA SAN GIULIANO</v>
      </c>
      <c r="Z984" t="str">
        <f t="shared" si="143"/>
        <v>10.220.80.16</v>
      </c>
    </row>
    <row r="985" spans="1:26" x14ac:dyDescent="0.25">
      <c r="A985" t="s">
        <v>10</v>
      </c>
      <c r="B985" t="s">
        <v>1063</v>
      </c>
      <c r="C985" t="s">
        <v>1618</v>
      </c>
      <c r="D985" t="s">
        <v>1619</v>
      </c>
      <c r="E985" t="s">
        <v>1708</v>
      </c>
      <c r="F985" t="s">
        <v>14</v>
      </c>
      <c r="G985" t="s">
        <v>1375</v>
      </c>
      <c r="H985" t="s">
        <v>22</v>
      </c>
      <c r="I985" t="s">
        <v>1720</v>
      </c>
      <c r="J985" t="s">
        <v>1375</v>
      </c>
      <c r="K985" t="str">
        <f t="shared" si="135"/>
        <v>1220.11</v>
      </c>
      <c r="N985" t="str">
        <f t="shared" si="136"/>
        <v>HOLDING REGISTER</v>
      </c>
      <c r="O985" t="str">
        <f t="shared" si="137"/>
        <v>BOOL</v>
      </c>
      <c r="P985" t="str">
        <f t="shared" si="138"/>
        <v>TELECAMERA T10S</v>
      </c>
      <c r="R985" t="str">
        <f t="shared" si="139"/>
        <v>disponibile</v>
      </c>
      <c r="U985" t="str">
        <f t="shared" si="140"/>
        <v>disponibile</v>
      </c>
      <c r="V985" t="str">
        <f t="shared" si="141"/>
        <v>DIREZIONE SUD</v>
      </c>
      <c r="W985" t="str">
        <f t="shared" si="142"/>
        <v>GALLERIA SAN GIULIANO</v>
      </c>
      <c r="Z985" t="str">
        <f t="shared" si="143"/>
        <v>10.220.80.16</v>
      </c>
    </row>
    <row r="986" spans="1:26" x14ac:dyDescent="0.25">
      <c r="A986" t="s">
        <v>10</v>
      </c>
      <c r="B986" t="s">
        <v>1063</v>
      </c>
      <c r="C986" t="s">
        <v>1618</v>
      </c>
      <c r="D986" t="s">
        <v>1619</v>
      </c>
      <c r="E986" t="s">
        <v>1708</v>
      </c>
      <c r="F986" t="s">
        <v>14</v>
      </c>
      <c r="G986" t="s">
        <v>1375</v>
      </c>
      <c r="H986" t="s">
        <v>22</v>
      </c>
      <c r="I986" t="s">
        <v>1721</v>
      </c>
      <c r="J986" t="s">
        <v>1375</v>
      </c>
      <c r="K986" t="str">
        <f t="shared" si="135"/>
        <v>1220.12</v>
      </c>
      <c r="N986" t="str">
        <f t="shared" si="136"/>
        <v>HOLDING REGISTER</v>
      </c>
      <c r="O986" t="str">
        <f t="shared" si="137"/>
        <v>BOOL</v>
      </c>
      <c r="P986" t="str">
        <f t="shared" si="138"/>
        <v>TELECAMERA T10S</v>
      </c>
      <c r="R986" t="str">
        <f t="shared" si="139"/>
        <v>disponibile</v>
      </c>
      <c r="U986" t="str">
        <f t="shared" si="140"/>
        <v>disponibile</v>
      </c>
      <c r="V986" t="str">
        <f t="shared" si="141"/>
        <v>DIREZIONE SUD</v>
      </c>
      <c r="W986" t="str">
        <f t="shared" si="142"/>
        <v>GALLERIA SAN GIULIANO</v>
      </c>
      <c r="Z986" t="str">
        <f t="shared" si="143"/>
        <v>10.220.80.16</v>
      </c>
    </row>
    <row r="987" spans="1:26" x14ac:dyDescent="0.25">
      <c r="A987" t="s">
        <v>10</v>
      </c>
      <c r="B987" t="s">
        <v>1063</v>
      </c>
      <c r="C987" t="s">
        <v>1618</v>
      </c>
      <c r="D987" t="s">
        <v>1619</v>
      </c>
      <c r="E987" t="s">
        <v>1708</v>
      </c>
      <c r="F987" t="s">
        <v>14</v>
      </c>
      <c r="G987" t="s">
        <v>1375</v>
      </c>
      <c r="H987" t="s">
        <v>22</v>
      </c>
      <c r="I987" t="s">
        <v>1722</v>
      </c>
      <c r="J987" t="s">
        <v>1375</v>
      </c>
      <c r="K987" t="str">
        <f t="shared" si="135"/>
        <v>1220.13</v>
      </c>
      <c r="N987" t="str">
        <f t="shared" si="136"/>
        <v>HOLDING REGISTER</v>
      </c>
      <c r="O987" t="str">
        <f t="shared" si="137"/>
        <v>BOOL</v>
      </c>
      <c r="P987" t="str">
        <f t="shared" si="138"/>
        <v>TELECAMERA T10S</v>
      </c>
      <c r="R987" t="str">
        <f t="shared" si="139"/>
        <v>disponibile</v>
      </c>
      <c r="U987" t="str">
        <f t="shared" si="140"/>
        <v>disponibile</v>
      </c>
      <c r="V987" t="str">
        <f t="shared" si="141"/>
        <v>DIREZIONE SUD</v>
      </c>
      <c r="W987" t="str">
        <f t="shared" si="142"/>
        <v>GALLERIA SAN GIULIANO</v>
      </c>
      <c r="Z987" t="str">
        <f t="shared" si="143"/>
        <v>10.220.80.16</v>
      </c>
    </row>
    <row r="988" spans="1:26" x14ac:dyDescent="0.25">
      <c r="A988" t="s">
        <v>10</v>
      </c>
      <c r="B988" t="s">
        <v>1063</v>
      </c>
      <c r="C988" t="s">
        <v>1618</v>
      </c>
      <c r="D988" t="s">
        <v>1619</v>
      </c>
      <c r="E988" t="s">
        <v>1708</v>
      </c>
      <c r="F988" t="s">
        <v>14</v>
      </c>
      <c r="G988" t="s">
        <v>1375</v>
      </c>
      <c r="H988" t="s">
        <v>22</v>
      </c>
      <c r="I988" t="s">
        <v>1723</v>
      </c>
      <c r="J988" t="s">
        <v>1375</v>
      </c>
      <c r="K988" t="str">
        <f t="shared" si="135"/>
        <v>1220.14</v>
      </c>
      <c r="N988" t="str">
        <f t="shared" si="136"/>
        <v>HOLDING REGISTER</v>
      </c>
      <c r="O988" t="str">
        <f t="shared" si="137"/>
        <v>BOOL</v>
      </c>
      <c r="P988" t="str">
        <f t="shared" si="138"/>
        <v>TELECAMERA T10S</v>
      </c>
      <c r="R988" t="str">
        <f t="shared" si="139"/>
        <v>disponibile</v>
      </c>
      <c r="U988" t="str">
        <f t="shared" si="140"/>
        <v>disponibile</v>
      </c>
      <c r="V988" t="str">
        <f t="shared" si="141"/>
        <v>DIREZIONE SUD</v>
      </c>
      <c r="W988" t="str">
        <f t="shared" si="142"/>
        <v>GALLERIA SAN GIULIANO</v>
      </c>
      <c r="Z988" t="str">
        <f t="shared" si="143"/>
        <v>10.220.80.16</v>
      </c>
    </row>
    <row r="989" spans="1:26" x14ac:dyDescent="0.25">
      <c r="A989" t="s">
        <v>10</v>
      </c>
      <c r="B989" t="s">
        <v>1063</v>
      </c>
      <c r="C989" t="s">
        <v>1618</v>
      </c>
      <c r="D989" t="s">
        <v>1619</v>
      </c>
      <c r="E989" t="s">
        <v>1708</v>
      </c>
      <c r="F989" t="s">
        <v>14</v>
      </c>
      <c r="G989" t="s">
        <v>1375</v>
      </c>
      <c r="H989" t="s">
        <v>22</v>
      </c>
      <c r="I989" t="s">
        <v>1724</v>
      </c>
      <c r="J989" t="s">
        <v>1375</v>
      </c>
      <c r="K989" t="str">
        <f t="shared" si="135"/>
        <v>1220.15</v>
      </c>
      <c r="N989" t="str">
        <f t="shared" si="136"/>
        <v>HOLDING REGISTER</v>
      </c>
      <c r="O989" t="str">
        <f t="shared" si="137"/>
        <v>BOOL</v>
      </c>
      <c r="P989" t="str">
        <f t="shared" si="138"/>
        <v>TELECAMERA T10S</v>
      </c>
      <c r="R989" t="str">
        <f t="shared" si="139"/>
        <v>disponibile</v>
      </c>
      <c r="U989" t="str">
        <f t="shared" si="140"/>
        <v>disponibile</v>
      </c>
      <c r="V989" t="str">
        <f t="shared" si="141"/>
        <v>DIREZIONE SUD</v>
      </c>
      <c r="W989" t="str">
        <f t="shared" si="142"/>
        <v>GALLERIA SAN GIULIANO</v>
      </c>
      <c r="Z989" t="str">
        <f t="shared" si="143"/>
        <v>10.220.80.16</v>
      </c>
    </row>
    <row r="990" spans="1:26" x14ac:dyDescent="0.25">
      <c r="A990" t="s">
        <v>10</v>
      </c>
      <c r="B990" t="s">
        <v>1063</v>
      </c>
      <c r="C990" t="s">
        <v>1618</v>
      </c>
      <c r="D990" t="s">
        <v>1619</v>
      </c>
      <c r="E990" t="s">
        <v>1725</v>
      </c>
      <c r="F990" t="s">
        <v>14</v>
      </c>
      <c r="G990" t="s">
        <v>21</v>
      </c>
      <c r="H990" t="s">
        <v>22</v>
      </c>
      <c r="I990" t="s">
        <v>1726</v>
      </c>
      <c r="J990" t="s">
        <v>1622</v>
      </c>
      <c r="K990" t="str">
        <f t="shared" si="135"/>
        <v>1221.0</v>
      </c>
      <c r="N990" t="str">
        <f t="shared" si="136"/>
        <v>HOLDING REGISTER</v>
      </c>
      <c r="O990" t="str">
        <f t="shared" si="137"/>
        <v>BOOL</v>
      </c>
      <c r="P990" t="str">
        <f t="shared" si="138"/>
        <v>TELECAMERA T11S</v>
      </c>
      <c r="R990" t="str">
        <f t="shared" si="139"/>
        <v>ALLARMI TELECAMERA ESCLUSI</v>
      </c>
      <c r="U990" t="str">
        <f t="shared" si="140"/>
        <v>Stato</v>
      </c>
      <c r="V990" t="str">
        <f t="shared" si="141"/>
        <v>DIREZIONE SUD</v>
      </c>
      <c r="W990" t="str">
        <f t="shared" si="142"/>
        <v>GALLERIA SAN GIULIANO</v>
      </c>
      <c r="Z990" t="str">
        <f t="shared" si="143"/>
        <v>10.220.80.16</v>
      </c>
    </row>
    <row r="991" spans="1:26" x14ac:dyDescent="0.25">
      <c r="A991" t="s">
        <v>10</v>
      </c>
      <c r="B991" t="s">
        <v>1063</v>
      </c>
      <c r="C991" t="s">
        <v>1618</v>
      </c>
      <c r="D991" t="s">
        <v>1619</v>
      </c>
      <c r="E991" t="s">
        <v>1725</v>
      </c>
      <c r="F991" t="s">
        <v>14</v>
      </c>
      <c r="G991" t="s">
        <v>21</v>
      </c>
      <c r="H991" t="s">
        <v>22</v>
      </c>
      <c r="I991" t="s">
        <v>1727</v>
      </c>
      <c r="J991" t="s">
        <v>1624</v>
      </c>
      <c r="K991" t="str">
        <f t="shared" si="135"/>
        <v>1221.1</v>
      </c>
      <c r="N991" t="str">
        <f t="shared" si="136"/>
        <v>HOLDING REGISTER</v>
      </c>
      <c r="O991" t="str">
        <f t="shared" si="137"/>
        <v>BOOL</v>
      </c>
      <c r="P991" t="str">
        <f t="shared" si="138"/>
        <v>TELECAMERA T11S</v>
      </c>
      <c r="R991" t="str">
        <f t="shared" si="139"/>
        <v>IN MANUTENZIONE ALLARME FUMO</v>
      </c>
      <c r="U991" t="str">
        <f t="shared" si="140"/>
        <v>Stato</v>
      </c>
      <c r="V991" t="str">
        <f t="shared" si="141"/>
        <v>DIREZIONE SUD</v>
      </c>
      <c r="W991" t="str">
        <f t="shared" si="142"/>
        <v>GALLERIA SAN GIULIANO</v>
      </c>
      <c r="Z991" t="str">
        <f t="shared" si="143"/>
        <v>10.220.80.16</v>
      </c>
    </row>
    <row r="992" spans="1:26" x14ac:dyDescent="0.25">
      <c r="A992" t="s">
        <v>10</v>
      </c>
      <c r="B992" t="s">
        <v>1063</v>
      </c>
      <c r="C992" t="s">
        <v>1618</v>
      </c>
      <c r="D992" t="s">
        <v>1619</v>
      </c>
      <c r="E992" t="s">
        <v>1725</v>
      </c>
      <c r="F992" t="s">
        <v>14</v>
      </c>
      <c r="G992" t="s">
        <v>21</v>
      </c>
      <c r="H992" t="s">
        <v>22</v>
      </c>
      <c r="I992" t="s">
        <v>1728</v>
      </c>
      <c r="J992" t="s">
        <v>1626</v>
      </c>
      <c r="K992" t="str">
        <f t="shared" si="135"/>
        <v>1221.2</v>
      </c>
      <c r="N992" t="str">
        <f t="shared" si="136"/>
        <v>HOLDING REGISTER</v>
      </c>
      <c r="O992" t="str">
        <f t="shared" si="137"/>
        <v>BOOL</v>
      </c>
      <c r="P992" t="str">
        <f t="shared" si="138"/>
        <v>TELECAMERA T11S</v>
      </c>
      <c r="R992" t="str">
        <f t="shared" si="139"/>
        <v>IN MANUTENZIONE ALLARMI TRAFFICO</v>
      </c>
      <c r="U992" t="str">
        <f t="shared" si="140"/>
        <v>Stato</v>
      </c>
      <c r="V992" t="str">
        <f t="shared" si="141"/>
        <v>DIREZIONE SUD</v>
      </c>
      <c r="W992" t="str">
        <f t="shared" si="142"/>
        <v>GALLERIA SAN GIULIANO</v>
      </c>
      <c r="Z992" t="str">
        <f t="shared" si="143"/>
        <v>10.220.80.16</v>
      </c>
    </row>
    <row r="993" spans="1:26" x14ac:dyDescent="0.25">
      <c r="A993" t="s">
        <v>10</v>
      </c>
      <c r="B993" t="s">
        <v>1063</v>
      </c>
      <c r="C993" t="s">
        <v>1618</v>
      </c>
      <c r="D993" t="s">
        <v>1619</v>
      </c>
      <c r="E993" t="s">
        <v>1725</v>
      </c>
      <c r="F993" t="s">
        <v>14</v>
      </c>
      <c r="G993" t="s">
        <v>1375</v>
      </c>
      <c r="H993" t="s">
        <v>22</v>
      </c>
      <c r="I993" t="s">
        <v>1729</v>
      </c>
      <c r="J993" t="s">
        <v>1375</v>
      </c>
      <c r="K993" t="str">
        <f t="shared" si="135"/>
        <v>1221.3</v>
      </c>
      <c r="N993" t="str">
        <f t="shared" si="136"/>
        <v>HOLDING REGISTER</v>
      </c>
      <c r="O993" t="str">
        <f t="shared" si="137"/>
        <v>BOOL</v>
      </c>
      <c r="P993" t="str">
        <f t="shared" si="138"/>
        <v>TELECAMERA T11S</v>
      </c>
      <c r="R993" t="str">
        <f t="shared" si="139"/>
        <v>disponibile</v>
      </c>
      <c r="U993" t="str">
        <f t="shared" si="140"/>
        <v>disponibile</v>
      </c>
      <c r="V993" t="str">
        <f t="shared" si="141"/>
        <v>DIREZIONE SUD</v>
      </c>
      <c r="W993" t="str">
        <f t="shared" si="142"/>
        <v>GALLERIA SAN GIULIANO</v>
      </c>
      <c r="Z993" t="str">
        <f t="shared" si="143"/>
        <v>10.220.80.16</v>
      </c>
    </row>
    <row r="994" spans="1:26" x14ac:dyDescent="0.25">
      <c r="A994" t="s">
        <v>10</v>
      </c>
      <c r="B994" t="s">
        <v>1063</v>
      </c>
      <c r="C994" t="s">
        <v>1618</v>
      </c>
      <c r="D994" t="s">
        <v>1619</v>
      </c>
      <c r="E994" t="s">
        <v>1725</v>
      </c>
      <c r="F994" t="s">
        <v>14</v>
      </c>
      <c r="G994" t="s">
        <v>1375</v>
      </c>
      <c r="H994" t="s">
        <v>22</v>
      </c>
      <c r="I994" t="s">
        <v>1730</v>
      </c>
      <c r="J994" t="s">
        <v>1375</v>
      </c>
      <c r="K994" t="str">
        <f t="shared" si="135"/>
        <v>1221.4</v>
      </c>
      <c r="N994" t="str">
        <f t="shared" si="136"/>
        <v>HOLDING REGISTER</v>
      </c>
      <c r="O994" t="str">
        <f t="shared" si="137"/>
        <v>BOOL</v>
      </c>
      <c r="P994" t="str">
        <f t="shared" si="138"/>
        <v>TELECAMERA T11S</v>
      </c>
      <c r="R994" t="str">
        <f t="shared" si="139"/>
        <v>disponibile</v>
      </c>
      <c r="U994" t="str">
        <f t="shared" si="140"/>
        <v>disponibile</v>
      </c>
      <c r="V994" t="str">
        <f t="shared" si="141"/>
        <v>DIREZIONE SUD</v>
      </c>
      <c r="W994" t="str">
        <f t="shared" si="142"/>
        <v>GALLERIA SAN GIULIANO</v>
      </c>
      <c r="Z994" t="str">
        <f t="shared" si="143"/>
        <v>10.220.80.16</v>
      </c>
    </row>
    <row r="995" spans="1:26" x14ac:dyDescent="0.25">
      <c r="A995" t="s">
        <v>10</v>
      </c>
      <c r="B995" t="s">
        <v>1063</v>
      </c>
      <c r="C995" t="s">
        <v>1618</v>
      </c>
      <c r="D995" t="s">
        <v>1619</v>
      </c>
      <c r="E995" t="s">
        <v>1725</v>
      </c>
      <c r="F995" t="s">
        <v>14</v>
      </c>
      <c r="G995" t="s">
        <v>1375</v>
      </c>
      <c r="H995" t="s">
        <v>22</v>
      </c>
      <c r="I995" t="s">
        <v>1731</v>
      </c>
      <c r="J995" t="s">
        <v>1375</v>
      </c>
      <c r="K995" t="str">
        <f t="shared" si="135"/>
        <v>1221.5</v>
      </c>
      <c r="N995" t="str">
        <f t="shared" si="136"/>
        <v>HOLDING REGISTER</v>
      </c>
      <c r="O995" t="str">
        <f t="shared" si="137"/>
        <v>BOOL</v>
      </c>
      <c r="P995" t="str">
        <f t="shared" si="138"/>
        <v>TELECAMERA T11S</v>
      </c>
      <c r="R995" t="str">
        <f t="shared" si="139"/>
        <v>disponibile</v>
      </c>
      <c r="U995" t="str">
        <f t="shared" si="140"/>
        <v>disponibile</v>
      </c>
      <c r="V995" t="str">
        <f t="shared" si="141"/>
        <v>DIREZIONE SUD</v>
      </c>
      <c r="W995" t="str">
        <f t="shared" si="142"/>
        <v>GALLERIA SAN GIULIANO</v>
      </c>
      <c r="Z995" t="str">
        <f t="shared" si="143"/>
        <v>10.220.80.16</v>
      </c>
    </row>
    <row r="996" spans="1:26" x14ac:dyDescent="0.25">
      <c r="A996" t="s">
        <v>10</v>
      </c>
      <c r="B996" t="s">
        <v>1063</v>
      </c>
      <c r="C996" t="s">
        <v>1618</v>
      </c>
      <c r="D996" t="s">
        <v>1619</v>
      </c>
      <c r="E996" t="s">
        <v>1725</v>
      </c>
      <c r="F996" t="s">
        <v>14</v>
      </c>
      <c r="G996" t="s">
        <v>1375</v>
      </c>
      <c r="H996" t="s">
        <v>22</v>
      </c>
      <c r="I996" t="s">
        <v>1732</v>
      </c>
      <c r="J996" t="s">
        <v>1375</v>
      </c>
      <c r="K996" t="str">
        <f t="shared" si="135"/>
        <v>1221.6</v>
      </c>
      <c r="N996" t="str">
        <f t="shared" si="136"/>
        <v>HOLDING REGISTER</v>
      </c>
      <c r="O996" t="str">
        <f t="shared" si="137"/>
        <v>BOOL</v>
      </c>
      <c r="P996" t="str">
        <f t="shared" si="138"/>
        <v>TELECAMERA T11S</v>
      </c>
      <c r="R996" t="str">
        <f t="shared" si="139"/>
        <v>disponibile</v>
      </c>
      <c r="U996" t="str">
        <f t="shared" si="140"/>
        <v>disponibile</v>
      </c>
      <c r="V996" t="str">
        <f t="shared" si="141"/>
        <v>DIREZIONE SUD</v>
      </c>
      <c r="W996" t="str">
        <f t="shared" si="142"/>
        <v>GALLERIA SAN GIULIANO</v>
      </c>
      <c r="Z996" t="str">
        <f t="shared" si="143"/>
        <v>10.220.80.16</v>
      </c>
    </row>
    <row r="997" spans="1:26" x14ac:dyDescent="0.25">
      <c r="A997" t="s">
        <v>10</v>
      </c>
      <c r="B997" t="s">
        <v>1063</v>
      </c>
      <c r="C997" t="s">
        <v>1618</v>
      </c>
      <c r="D997" t="s">
        <v>1619</v>
      </c>
      <c r="E997" t="s">
        <v>1725</v>
      </c>
      <c r="F997" t="s">
        <v>14</v>
      </c>
      <c r="G997" t="s">
        <v>1375</v>
      </c>
      <c r="H997" t="s">
        <v>22</v>
      </c>
      <c r="I997" t="s">
        <v>1733</v>
      </c>
      <c r="J997" t="s">
        <v>1375</v>
      </c>
      <c r="K997" t="str">
        <f t="shared" si="135"/>
        <v>1221.7</v>
      </c>
      <c r="N997" t="str">
        <f t="shared" si="136"/>
        <v>HOLDING REGISTER</v>
      </c>
      <c r="O997" t="str">
        <f t="shared" si="137"/>
        <v>BOOL</v>
      </c>
      <c r="P997" t="str">
        <f t="shared" si="138"/>
        <v>TELECAMERA T11S</v>
      </c>
      <c r="R997" t="str">
        <f t="shared" si="139"/>
        <v>disponibile</v>
      </c>
      <c r="U997" t="str">
        <f t="shared" si="140"/>
        <v>disponibile</v>
      </c>
      <c r="V997" t="str">
        <f t="shared" si="141"/>
        <v>DIREZIONE SUD</v>
      </c>
      <c r="W997" t="str">
        <f t="shared" si="142"/>
        <v>GALLERIA SAN GIULIANO</v>
      </c>
      <c r="Z997" t="str">
        <f t="shared" si="143"/>
        <v>10.220.80.16</v>
      </c>
    </row>
    <row r="998" spans="1:26" x14ac:dyDescent="0.25">
      <c r="A998" t="s">
        <v>10</v>
      </c>
      <c r="B998" t="s">
        <v>1063</v>
      </c>
      <c r="C998" t="s">
        <v>1618</v>
      </c>
      <c r="D998" t="s">
        <v>1619</v>
      </c>
      <c r="E998" t="s">
        <v>1725</v>
      </c>
      <c r="F998" t="s">
        <v>14</v>
      </c>
      <c r="G998" t="s">
        <v>1375</v>
      </c>
      <c r="H998" t="s">
        <v>22</v>
      </c>
      <c r="I998" t="s">
        <v>1734</v>
      </c>
      <c r="J998" t="s">
        <v>1375</v>
      </c>
      <c r="K998" t="str">
        <f t="shared" si="135"/>
        <v>1221.8</v>
      </c>
      <c r="N998" t="str">
        <f t="shared" si="136"/>
        <v>HOLDING REGISTER</v>
      </c>
      <c r="O998" t="str">
        <f t="shared" si="137"/>
        <v>BOOL</v>
      </c>
      <c r="P998" t="str">
        <f t="shared" si="138"/>
        <v>TELECAMERA T11S</v>
      </c>
      <c r="R998" t="str">
        <f t="shared" si="139"/>
        <v>disponibile</v>
      </c>
      <c r="U998" t="str">
        <f t="shared" si="140"/>
        <v>disponibile</v>
      </c>
      <c r="V998" t="str">
        <f t="shared" si="141"/>
        <v>DIREZIONE SUD</v>
      </c>
      <c r="W998" t="str">
        <f t="shared" si="142"/>
        <v>GALLERIA SAN GIULIANO</v>
      </c>
      <c r="Z998" t="str">
        <f t="shared" si="143"/>
        <v>10.220.80.16</v>
      </c>
    </row>
    <row r="999" spans="1:26" x14ac:dyDescent="0.25">
      <c r="A999" t="s">
        <v>10</v>
      </c>
      <c r="B999" t="s">
        <v>1063</v>
      </c>
      <c r="C999" t="s">
        <v>1618</v>
      </c>
      <c r="D999" t="s">
        <v>1619</v>
      </c>
      <c r="E999" t="s">
        <v>1725</v>
      </c>
      <c r="F999" t="s">
        <v>14</v>
      </c>
      <c r="G999" t="s">
        <v>1375</v>
      </c>
      <c r="H999" t="s">
        <v>22</v>
      </c>
      <c r="I999" t="s">
        <v>1735</v>
      </c>
      <c r="J999" t="s">
        <v>1375</v>
      </c>
      <c r="K999" t="str">
        <f t="shared" si="135"/>
        <v>1221.9</v>
      </c>
      <c r="N999" t="str">
        <f t="shared" si="136"/>
        <v>HOLDING REGISTER</v>
      </c>
      <c r="O999" t="str">
        <f t="shared" si="137"/>
        <v>BOOL</v>
      </c>
      <c r="P999" t="str">
        <f t="shared" si="138"/>
        <v>TELECAMERA T11S</v>
      </c>
      <c r="R999" t="str">
        <f t="shared" si="139"/>
        <v>disponibile</v>
      </c>
      <c r="U999" t="str">
        <f t="shared" si="140"/>
        <v>disponibile</v>
      </c>
      <c r="V999" t="str">
        <f t="shared" si="141"/>
        <v>DIREZIONE SUD</v>
      </c>
      <c r="W999" t="str">
        <f t="shared" si="142"/>
        <v>GALLERIA SAN GIULIANO</v>
      </c>
      <c r="Z999" t="str">
        <f t="shared" si="143"/>
        <v>10.220.80.16</v>
      </c>
    </row>
    <row r="1000" spans="1:26" x14ac:dyDescent="0.25">
      <c r="A1000" t="s">
        <v>10</v>
      </c>
      <c r="B1000" t="s">
        <v>1063</v>
      </c>
      <c r="C1000" t="s">
        <v>1618</v>
      </c>
      <c r="D1000" t="s">
        <v>1619</v>
      </c>
      <c r="E1000" t="s">
        <v>1725</v>
      </c>
      <c r="F1000" t="s">
        <v>14</v>
      </c>
      <c r="G1000" t="s">
        <v>1375</v>
      </c>
      <c r="H1000" t="s">
        <v>22</v>
      </c>
      <c r="I1000" t="s">
        <v>1736</v>
      </c>
      <c r="J1000" t="s">
        <v>1375</v>
      </c>
      <c r="K1000" t="str">
        <f t="shared" si="135"/>
        <v>1221.10</v>
      </c>
      <c r="N1000" t="str">
        <f t="shared" si="136"/>
        <v>HOLDING REGISTER</v>
      </c>
      <c r="O1000" t="str">
        <f t="shared" si="137"/>
        <v>BOOL</v>
      </c>
      <c r="P1000" t="str">
        <f t="shared" si="138"/>
        <v>TELECAMERA T11S</v>
      </c>
      <c r="R1000" t="str">
        <f t="shared" si="139"/>
        <v>disponibile</v>
      </c>
      <c r="U1000" t="str">
        <f t="shared" si="140"/>
        <v>disponibile</v>
      </c>
      <c r="V1000" t="str">
        <f t="shared" si="141"/>
        <v>DIREZIONE SUD</v>
      </c>
      <c r="W1000" t="str">
        <f t="shared" si="142"/>
        <v>GALLERIA SAN GIULIANO</v>
      </c>
      <c r="Z1000" t="str">
        <f t="shared" si="143"/>
        <v>10.220.80.16</v>
      </c>
    </row>
    <row r="1001" spans="1:26" x14ac:dyDescent="0.25">
      <c r="A1001" t="s">
        <v>10</v>
      </c>
      <c r="B1001" t="s">
        <v>1063</v>
      </c>
      <c r="C1001" t="s">
        <v>1618</v>
      </c>
      <c r="D1001" t="s">
        <v>1619</v>
      </c>
      <c r="E1001" t="s">
        <v>1725</v>
      </c>
      <c r="F1001" t="s">
        <v>14</v>
      </c>
      <c r="G1001" t="s">
        <v>1375</v>
      </c>
      <c r="H1001" t="s">
        <v>22</v>
      </c>
      <c r="I1001" t="s">
        <v>1737</v>
      </c>
      <c r="J1001" t="s">
        <v>1375</v>
      </c>
      <c r="K1001" t="str">
        <f t="shared" si="135"/>
        <v>1221.11</v>
      </c>
      <c r="N1001" t="str">
        <f t="shared" si="136"/>
        <v>HOLDING REGISTER</v>
      </c>
      <c r="O1001" t="str">
        <f t="shared" si="137"/>
        <v>BOOL</v>
      </c>
      <c r="P1001" t="str">
        <f t="shared" si="138"/>
        <v>TELECAMERA T11S</v>
      </c>
      <c r="R1001" t="str">
        <f t="shared" si="139"/>
        <v>disponibile</v>
      </c>
      <c r="U1001" t="str">
        <f t="shared" si="140"/>
        <v>disponibile</v>
      </c>
      <c r="V1001" t="str">
        <f t="shared" si="141"/>
        <v>DIREZIONE SUD</v>
      </c>
      <c r="W1001" t="str">
        <f t="shared" si="142"/>
        <v>GALLERIA SAN GIULIANO</v>
      </c>
      <c r="Z1001" t="str">
        <f t="shared" si="143"/>
        <v>10.220.80.16</v>
      </c>
    </row>
    <row r="1002" spans="1:26" x14ac:dyDescent="0.25">
      <c r="A1002" t="s">
        <v>10</v>
      </c>
      <c r="B1002" t="s">
        <v>1063</v>
      </c>
      <c r="C1002" t="s">
        <v>1618</v>
      </c>
      <c r="D1002" t="s">
        <v>1619</v>
      </c>
      <c r="E1002" t="s">
        <v>1725</v>
      </c>
      <c r="F1002" t="s">
        <v>14</v>
      </c>
      <c r="G1002" t="s">
        <v>1375</v>
      </c>
      <c r="H1002" t="s">
        <v>22</v>
      </c>
      <c r="I1002" t="s">
        <v>1738</v>
      </c>
      <c r="J1002" t="s">
        <v>1375</v>
      </c>
      <c r="K1002" t="str">
        <f t="shared" si="135"/>
        <v>1221.12</v>
      </c>
      <c r="N1002" t="str">
        <f t="shared" si="136"/>
        <v>HOLDING REGISTER</v>
      </c>
      <c r="O1002" t="str">
        <f t="shared" si="137"/>
        <v>BOOL</v>
      </c>
      <c r="P1002" t="str">
        <f t="shared" si="138"/>
        <v>TELECAMERA T11S</v>
      </c>
      <c r="R1002" t="str">
        <f t="shared" si="139"/>
        <v>disponibile</v>
      </c>
      <c r="U1002" t="str">
        <f t="shared" si="140"/>
        <v>disponibile</v>
      </c>
      <c r="V1002" t="str">
        <f t="shared" si="141"/>
        <v>DIREZIONE SUD</v>
      </c>
      <c r="W1002" t="str">
        <f t="shared" si="142"/>
        <v>GALLERIA SAN GIULIANO</v>
      </c>
      <c r="Z1002" t="str">
        <f t="shared" si="143"/>
        <v>10.220.80.16</v>
      </c>
    </row>
    <row r="1003" spans="1:26" x14ac:dyDescent="0.25">
      <c r="A1003" t="s">
        <v>10</v>
      </c>
      <c r="B1003" t="s">
        <v>1063</v>
      </c>
      <c r="C1003" t="s">
        <v>1618</v>
      </c>
      <c r="D1003" t="s">
        <v>1619</v>
      </c>
      <c r="E1003" t="s">
        <v>1725</v>
      </c>
      <c r="F1003" t="s">
        <v>14</v>
      </c>
      <c r="G1003" t="s">
        <v>1375</v>
      </c>
      <c r="H1003" t="s">
        <v>22</v>
      </c>
      <c r="I1003" t="s">
        <v>1739</v>
      </c>
      <c r="J1003" t="s">
        <v>1375</v>
      </c>
      <c r="K1003" t="str">
        <f t="shared" si="135"/>
        <v>1221.13</v>
      </c>
      <c r="N1003" t="str">
        <f t="shared" si="136"/>
        <v>HOLDING REGISTER</v>
      </c>
      <c r="O1003" t="str">
        <f t="shared" si="137"/>
        <v>BOOL</v>
      </c>
      <c r="P1003" t="str">
        <f t="shared" si="138"/>
        <v>TELECAMERA T11S</v>
      </c>
      <c r="R1003" t="str">
        <f t="shared" si="139"/>
        <v>disponibile</v>
      </c>
      <c r="U1003" t="str">
        <f t="shared" si="140"/>
        <v>disponibile</v>
      </c>
      <c r="V1003" t="str">
        <f t="shared" si="141"/>
        <v>DIREZIONE SUD</v>
      </c>
      <c r="W1003" t="str">
        <f t="shared" si="142"/>
        <v>GALLERIA SAN GIULIANO</v>
      </c>
      <c r="Z1003" t="str">
        <f t="shared" si="143"/>
        <v>10.220.80.16</v>
      </c>
    </row>
    <row r="1004" spans="1:26" x14ac:dyDescent="0.25">
      <c r="A1004" t="s">
        <v>10</v>
      </c>
      <c r="B1004" t="s">
        <v>1063</v>
      </c>
      <c r="C1004" t="s">
        <v>1618</v>
      </c>
      <c r="D1004" t="s">
        <v>1619</v>
      </c>
      <c r="E1004" t="s">
        <v>1725</v>
      </c>
      <c r="F1004" t="s">
        <v>14</v>
      </c>
      <c r="G1004" t="s">
        <v>1375</v>
      </c>
      <c r="H1004" t="s">
        <v>22</v>
      </c>
      <c r="I1004" t="s">
        <v>1740</v>
      </c>
      <c r="J1004" t="s">
        <v>1375</v>
      </c>
      <c r="K1004" t="str">
        <f t="shared" si="135"/>
        <v>1221.14</v>
      </c>
      <c r="N1004" t="str">
        <f t="shared" si="136"/>
        <v>HOLDING REGISTER</v>
      </c>
      <c r="O1004" t="str">
        <f t="shared" si="137"/>
        <v>BOOL</v>
      </c>
      <c r="P1004" t="str">
        <f t="shared" si="138"/>
        <v>TELECAMERA T11S</v>
      </c>
      <c r="R1004" t="str">
        <f t="shared" si="139"/>
        <v>disponibile</v>
      </c>
      <c r="U1004" t="str">
        <f t="shared" si="140"/>
        <v>disponibile</v>
      </c>
      <c r="V1004" t="str">
        <f t="shared" si="141"/>
        <v>DIREZIONE SUD</v>
      </c>
      <c r="W1004" t="str">
        <f t="shared" si="142"/>
        <v>GALLERIA SAN GIULIANO</v>
      </c>
      <c r="Z1004" t="str">
        <f t="shared" si="143"/>
        <v>10.220.80.16</v>
      </c>
    </row>
    <row r="1005" spans="1:26" x14ac:dyDescent="0.25">
      <c r="A1005" t="s">
        <v>10</v>
      </c>
      <c r="B1005" t="s">
        <v>1063</v>
      </c>
      <c r="C1005" t="s">
        <v>1618</v>
      </c>
      <c r="D1005" t="s">
        <v>1619</v>
      </c>
      <c r="E1005" t="s">
        <v>1725</v>
      </c>
      <c r="F1005" t="s">
        <v>14</v>
      </c>
      <c r="G1005" t="s">
        <v>1375</v>
      </c>
      <c r="H1005" t="s">
        <v>22</v>
      </c>
      <c r="I1005" t="s">
        <v>1741</v>
      </c>
      <c r="J1005" t="s">
        <v>1375</v>
      </c>
      <c r="K1005" t="str">
        <f t="shared" si="135"/>
        <v>1221.15</v>
      </c>
      <c r="N1005" t="str">
        <f t="shared" si="136"/>
        <v>HOLDING REGISTER</v>
      </c>
      <c r="O1005" t="str">
        <f t="shared" si="137"/>
        <v>BOOL</v>
      </c>
      <c r="P1005" t="str">
        <f t="shared" si="138"/>
        <v>TELECAMERA T11S</v>
      </c>
      <c r="R1005" t="str">
        <f t="shared" si="139"/>
        <v>disponibile</v>
      </c>
      <c r="U1005" t="str">
        <f t="shared" si="140"/>
        <v>disponibile</v>
      </c>
      <c r="V1005" t="str">
        <f t="shared" si="141"/>
        <v>DIREZIONE SUD</v>
      </c>
      <c r="W1005" t="str">
        <f t="shared" si="142"/>
        <v>GALLERIA SAN GIULIANO</v>
      </c>
      <c r="Z1005" t="str">
        <f t="shared" si="143"/>
        <v>10.220.80.16</v>
      </c>
    </row>
    <row r="1006" spans="1:26" x14ac:dyDescent="0.25">
      <c r="A1006" t="s">
        <v>10</v>
      </c>
      <c r="B1006" t="s">
        <v>1063</v>
      </c>
      <c r="C1006" t="s">
        <v>1618</v>
      </c>
      <c r="D1006" t="s">
        <v>1619</v>
      </c>
      <c r="E1006" t="s">
        <v>1742</v>
      </c>
      <c r="F1006" t="s">
        <v>14</v>
      </c>
      <c r="G1006" t="s">
        <v>21</v>
      </c>
      <c r="H1006" t="s">
        <v>22</v>
      </c>
      <c r="I1006" t="s">
        <v>1743</v>
      </c>
      <c r="J1006" t="s">
        <v>1622</v>
      </c>
      <c r="K1006" t="str">
        <f t="shared" si="135"/>
        <v>1222.0</v>
      </c>
      <c r="N1006" t="str">
        <f t="shared" si="136"/>
        <v>HOLDING REGISTER</v>
      </c>
      <c r="O1006" t="str">
        <f t="shared" si="137"/>
        <v>BOOL</v>
      </c>
      <c r="P1006" t="str">
        <f t="shared" si="138"/>
        <v>TELECAMERA T12S</v>
      </c>
      <c r="R1006" t="str">
        <f t="shared" si="139"/>
        <v>ALLARMI TELECAMERA ESCLUSI</v>
      </c>
      <c r="U1006" t="str">
        <f t="shared" si="140"/>
        <v>Stato</v>
      </c>
      <c r="V1006" t="str">
        <f t="shared" si="141"/>
        <v>DIREZIONE SUD</v>
      </c>
      <c r="W1006" t="str">
        <f t="shared" si="142"/>
        <v>GALLERIA SAN GIULIANO</v>
      </c>
      <c r="Z1006" t="str">
        <f t="shared" si="143"/>
        <v>10.220.80.16</v>
      </c>
    </row>
    <row r="1007" spans="1:26" x14ac:dyDescent="0.25">
      <c r="A1007" t="s">
        <v>10</v>
      </c>
      <c r="B1007" t="s">
        <v>1063</v>
      </c>
      <c r="C1007" t="s">
        <v>1618</v>
      </c>
      <c r="D1007" t="s">
        <v>1619</v>
      </c>
      <c r="E1007" t="s">
        <v>1742</v>
      </c>
      <c r="F1007" t="s">
        <v>14</v>
      </c>
      <c r="G1007" t="s">
        <v>21</v>
      </c>
      <c r="H1007" t="s">
        <v>22</v>
      </c>
      <c r="I1007" t="s">
        <v>1744</v>
      </c>
      <c r="J1007" t="s">
        <v>1624</v>
      </c>
      <c r="K1007" t="str">
        <f t="shared" si="135"/>
        <v>1222.1</v>
      </c>
      <c r="N1007" t="str">
        <f t="shared" si="136"/>
        <v>HOLDING REGISTER</v>
      </c>
      <c r="O1007" t="str">
        <f t="shared" si="137"/>
        <v>BOOL</v>
      </c>
      <c r="P1007" t="str">
        <f t="shared" si="138"/>
        <v>TELECAMERA T12S</v>
      </c>
      <c r="R1007" t="str">
        <f t="shared" si="139"/>
        <v>IN MANUTENZIONE ALLARME FUMO</v>
      </c>
      <c r="U1007" t="str">
        <f t="shared" si="140"/>
        <v>Stato</v>
      </c>
      <c r="V1007" t="str">
        <f t="shared" si="141"/>
        <v>DIREZIONE SUD</v>
      </c>
      <c r="W1007" t="str">
        <f t="shared" si="142"/>
        <v>GALLERIA SAN GIULIANO</v>
      </c>
      <c r="Z1007" t="str">
        <f t="shared" si="143"/>
        <v>10.220.80.16</v>
      </c>
    </row>
    <row r="1008" spans="1:26" x14ac:dyDescent="0.25">
      <c r="A1008" t="s">
        <v>10</v>
      </c>
      <c r="B1008" t="s">
        <v>1063</v>
      </c>
      <c r="C1008" t="s">
        <v>1618</v>
      </c>
      <c r="D1008" t="s">
        <v>1619</v>
      </c>
      <c r="E1008" t="s">
        <v>1742</v>
      </c>
      <c r="F1008" t="s">
        <v>14</v>
      </c>
      <c r="G1008" t="s">
        <v>21</v>
      </c>
      <c r="H1008" t="s">
        <v>22</v>
      </c>
      <c r="I1008" t="s">
        <v>1745</v>
      </c>
      <c r="J1008" t="s">
        <v>1626</v>
      </c>
      <c r="K1008" t="str">
        <f t="shared" si="135"/>
        <v>1222.2</v>
      </c>
      <c r="N1008" t="str">
        <f t="shared" si="136"/>
        <v>HOLDING REGISTER</v>
      </c>
      <c r="O1008" t="str">
        <f t="shared" si="137"/>
        <v>BOOL</v>
      </c>
      <c r="P1008" t="str">
        <f t="shared" si="138"/>
        <v>TELECAMERA T12S</v>
      </c>
      <c r="R1008" t="str">
        <f t="shared" si="139"/>
        <v>IN MANUTENZIONE ALLARMI TRAFFICO</v>
      </c>
      <c r="U1008" t="str">
        <f t="shared" si="140"/>
        <v>Stato</v>
      </c>
      <c r="V1008" t="str">
        <f t="shared" si="141"/>
        <v>DIREZIONE SUD</v>
      </c>
      <c r="W1008" t="str">
        <f t="shared" si="142"/>
        <v>GALLERIA SAN GIULIANO</v>
      </c>
      <c r="Z1008" t="str">
        <f t="shared" si="143"/>
        <v>10.220.80.16</v>
      </c>
    </row>
    <row r="1009" spans="1:26" x14ac:dyDescent="0.25">
      <c r="A1009" t="s">
        <v>10</v>
      </c>
      <c r="B1009" t="s">
        <v>1063</v>
      </c>
      <c r="C1009" t="s">
        <v>1618</v>
      </c>
      <c r="D1009" t="s">
        <v>1619</v>
      </c>
      <c r="E1009" t="s">
        <v>1742</v>
      </c>
      <c r="F1009" t="s">
        <v>14</v>
      </c>
      <c r="G1009" t="s">
        <v>1375</v>
      </c>
      <c r="H1009" t="s">
        <v>22</v>
      </c>
      <c r="I1009" t="s">
        <v>1746</v>
      </c>
      <c r="J1009" t="s">
        <v>1375</v>
      </c>
      <c r="K1009" t="str">
        <f t="shared" si="135"/>
        <v>1222.3</v>
      </c>
      <c r="N1009" t="str">
        <f t="shared" si="136"/>
        <v>HOLDING REGISTER</v>
      </c>
      <c r="O1009" t="str">
        <f t="shared" si="137"/>
        <v>BOOL</v>
      </c>
      <c r="P1009" t="str">
        <f t="shared" si="138"/>
        <v>TELECAMERA T12S</v>
      </c>
      <c r="R1009" t="str">
        <f t="shared" si="139"/>
        <v>disponibile</v>
      </c>
      <c r="U1009" t="str">
        <f t="shared" si="140"/>
        <v>disponibile</v>
      </c>
      <c r="V1009" t="str">
        <f t="shared" si="141"/>
        <v>DIREZIONE SUD</v>
      </c>
      <c r="W1009" t="str">
        <f t="shared" si="142"/>
        <v>GALLERIA SAN GIULIANO</v>
      </c>
      <c r="Z1009" t="str">
        <f t="shared" si="143"/>
        <v>10.220.80.16</v>
      </c>
    </row>
    <row r="1010" spans="1:26" x14ac:dyDescent="0.25">
      <c r="A1010" t="s">
        <v>10</v>
      </c>
      <c r="B1010" t="s">
        <v>1063</v>
      </c>
      <c r="C1010" t="s">
        <v>1618</v>
      </c>
      <c r="D1010" t="s">
        <v>1619</v>
      </c>
      <c r="E1010" t="s">
        <v>1742</v>
      </c>
      <c r="F1010" t="s">
        <v>14</v>
      </c>
      <c r="G1010" t="s">
        <v>1375</v>
      </c>
      <c r="H1010" t="s">
        <v>22</v>
      </c>
      <c r="I1010" t="s">
        <v>1747</v>
      </c>
      <c r="J1010" t="s">
        <v>1375</v>
      </c>
      <c r="K1010" t="str">
        <f t="shared" si="135"/>
        <v>1222.4</v>
      </c>
      <c r="N1010" t="str">
        <f t="shared" si="136"/>
        <v>HOLDING REGISTER</v>
      </c>
      <c r="O1010" t="str">
        <f t="shared" si="137"/>
        <v>BOOL</v>
      </c>
      <c r="P1010" t="str">
        <f t="shared" si="138"/>
        <v>TELECAMERA T12S</v>
      </c>
      <c r="R1010" t="str">
        <f t="shared" si="139"/>
        <v>disponibile</v>
      </c>
      <c r="U1010" t="str">
        <f t="shared" si="140"/>
        <v>disponibile</v>
      </c>
      <c r="V1010" t="str">
        <f t="shared" si="141"/>
        <v>DIREZIONE SUD</v>
      </c>
      <c r="W1010" t="str">
        <f t="shared" si="142"/>
        <v>GALLERIA SAN GIULIANO</v>
      </c>
      <c r="Z1010" t="str">
        <f t="shared" si="143"/>
        <v>10.220.80.16</v>
      </c>
    </row>
    <row r="1011" spans="1:26" x14ac:dyDescent="0.25">
      <c r="A1011" t="s">
        <v>10</v>
      </c>
      <c r="B1011" t="s">
        <v>1063</v>
      </c>
      <c r="C1011" t="s">
        <v>1618</v>
      </c>
      <c r="D1011" t="s">
        <v>1619</v>
      </c>
      <c r="E1011" t="s">
        <v>1742</v>
      </c>
      <c r="F1011" t="s">
        <v>14</v>
      </c>
      <c r="G1011" t="s">
        <v>1375</v>
      </c>
      <c r="H1011" t="s">
        <v>22</v>
      </c>
      <c r="I1011" t="s">
        <v>1748</v>
      </c>
      <c r="J1011" t="s">
        <v>1375</v>
      </c>
      <c r="K1011" t="str">
        <f t="shared" si="135"/>
        <v>1222.5</v>
      </c>
      <c r="N1011" t="str">
        <f t="shared" si="136"/>
        <v>HOLDING REGISTER</v>
      </c>
      <c r="O1011" t="str">
        <f t="shared" si="137"/>
        <v>BOOL</v>
      </c>
      <c r="P1011" t="str">
        <f t="shared" si="138"/>
        <v>TELECAMERA T12S</v>
      </c>
      <c r="R1011" t="str">
        <f t="shared" si="139"/>
        <v>disponibile</v>
      </c>
      <c r="U1011" t="str">
        <f t="shared" si="140"/>
        <v>disponibile</v>
      </c>
      <c r="V1011" t="str">
        <f t="shared" si="141"/>
        <v>DIREZIONE SUD</v>
      </c>
      <c r="W1011" t="str">
        <f t="shared" si="142"/>
        <v>GALLERIA SAN GIULIANO</v>
      </c>
      <c r="Z1011" t="str">
        <f t="shared" si="143"/>
        <v>10.220.80.16</v>
      </c>
    </row>
    <row r="1012" spans="1:26" x14ac:dyDescent="0.25">
      <c r="A1012" t="s">
        <v>10</v>
      </c>
      <c r="B1012" t="s">
        <v>1063</v>
      </c>
      <c r="C1012" t="s">
        <v>1618</v>
      </c>
      <c r="D1012" t="s">
        <v>1619</v>
      </c>
      <c r="E1012" t="s">
        <v>1742</v>
      </c>
      <c r="F1012" t="s">
        <v>14</v>
      </c>
      <c r="G1012" t="s">
        <v>1375</v>
      </c>
      <c r="H1012" t="s">
        <v>22</v>
      </c>
      <c r="I1012" t="s">
        <v>1749</v>
      </c>
      <c r="J1012" t="s">
        <v>1375</v>
      </c>
      <c r="K1012" t="str">
        <f t="shared" si="135"/>
        <v>1222.6</v>
      </c>
      <c r="N1012" t="str">
        <f t="shared" si="136"/>
        <v>HOLDING REGISTER</v>
      </c>
      <c r="O1012" t="str">
        <f t="shared" si="137"/>
        <v>BOOL</v>
      </c>
      <c r="P1012" t="str">
        <f t="shared" si="138"/>
        <v>TELECAMERA T12S</v>
      </c>
      <c r="R1012" t="str">
        <f t="shared" si="139"/>
        <v>disponibile</v>
      </c>
      <c r="U1012" t="str">
        <f t="shared" si="140"/>
        <v>disponibile</v>
      </c>
      <c r="V1012" t="str">
        <f t="shared" si="141"/>
        <v>DIREZIONE SUD</v>
      </c>
      <c r="W1012" t="str">
        <f t="shared" si="142"/>
        <v>GALLERIA SAN GIULIANO</v>
      </c>
      <c r="Z1012" t="str">
        <f t="shared" si="143"/>
        <v>10.220.80.16</v>
      </c>
    </row>
    <row r="1013" spans="1:26" x14ac:dyDescent="0.25">
      <c r="A1013" t="s">
        <v>10</v>
      </c>
      <c r="B1013" t="s">
        <v>1063</v>
      </c>
      <c r="C1013" t="s">
        <v>1618</v>
      </c>
      <c r="D1013" t="s">
        <v>1619</v>
      </c>
      <c r="E1013" t="s">
        <v>1742</v>
      </c>
      <c r="F1013" t="s">
        <v>14</v>
      </c>
      <c r="G1013" t="s">
        <v>1375</v>
      </c>
      <c r="H1013" t="s">
        <v>22</v>
      </c>
      <c r="I1013" t="s">
        <v>1750</v>
      </c>
      <c r="J1013" t="s">
        <v>1375</v>
      </c>
      <c r="K1013" t="str">
        <f t="shared" si="135"/>
        <v>1222.7</v>
      </c>
      <c r="N1013" t="str">
        <f t="shared" si="136"/>
        <v>HOLDING REGISTER</v>
      </c>
      <c r="O1013" t="str">
        <f t="shared" si="137"/>
        <v>BOOL</v>
      </c>
      <c r="P1013" t="str">
        <f t="shared" si="138"/>
        <v>TELECAMERA T12S</v>
      </c>
      <c r="R1013" t="str">
        <f t="shared" si="139"/>
        <v>disponibile</v>
      </c>
      <c r="U1013" t="str">
        <f t="shared" si="140"/>
        <v>disponibile</v>
      </c>
      <c r="V1013" t="str">
        <f t="shared" si="141"/>
        <v>DIREZIONE SUD</v>
      </c>
      <c r="W1013" t="str">
        <f t="shared" si="142"/>
        <v>GALLERIA SAN GIULIANO</v>
      </c>
      <c r="Z1013" t="str">
        <f t="shared" si="143"/>
        <v>10.220.80.16</v>
      </c>
    </row>
    <row r="1014" spans="1:26" x14ac:dyDescent="0.25">
      <c r="A1014" t="s">
        <v>10</v>
      </c>
      <c r="B1014" t="s">
        <v>1063</v>
      </c>
      <c r="C1014" t="s">
        <v>1618</v>
      </c>
      <c r="D1014" t="s">
        <v>1619</v>
      </c>
      <c r="E1014" t="s">
        <v>1742</v>
      </c>
      <c r="F1014" t="s">
        <v>14</v>
      </c>
      <c r="G1014" t="s">
        <v>1375</v>
      </c>
      <c r="H1014" t="s">
        <v>22</v>
      </c>
      <c r="I1014" t="s">
        <v>1751</v>
      </c>
      <c r="J1014" t="s">
        <v>1375</v>
      </c>
      <c r="K1014" t="str">
        <f t="shared" si="135"/>
        <v>1222.8</v>
      </c>
      <c r="N1014" t="str">
        <f t="shared" si="136"/>
        <v>HOLDING REGISTER</v>
      </c>
      <c r="O1014" t="str">
        <f t="shared" si="137"/>
        <v>BOOL</v>
      </c>
      <c r="P1014" t="str">
        <f t="shared" si="138"/>
        <v>TELECAMERA T12S</v>
      </c>
      <c r="R1014" t="str">
        <f t="shared" si="139"/>
        <v>disponibile</v>
      </c>
      <c r="U1014" t="str">
        <f t="shared" si="140"/>
        <v>disponibile</v>
      </c>
      <c r="V1014" t="str">
        <f t="shared" si="141"/>
        <v>DIREZIONE SUD</v>
      </c>
      <c r="W1014" t="str">
        <f t="shared" si="142"/>
        <v>GALLERIA SAN GIULIANO</v>
      </c>
      <c r="Z1014" t="str">
        <f t="shared" si="143"/>
        <v>10.220.80.16</v>
      </c>
    </row>
    <row r="1015" spans="1:26" x14ac:dyDescent="0.25">
      <c r="A1015" t="s">
        <v>10</v>
      </c>
      <c r="B1015" t="s">
        <v>1063</v>
      </c>
      <c r="C1015" t="s">
        <v>1618</v>
      </c>
      <c r="D1015" t="s">
        <v>1619</v>
      </c>
      <c r="E1015" t="s">
        <v>1742</v>
      </c>
      <c r="F1015" t="s">
        <v>14</v>
      </c>
      <c r="G1015" t="s">
        <v>1375</v>
      </c>
      <c r="H1015" t="s">
        <v>22</v>
      </c>
      <c r="I1015" t="s">
        <v>1752</v>
      </c>
      <c r="J1015" t="s">
        <v>1375</v>
      </c>
      <c r="K1015" t="str">
        <f t="shared" si="135"/>
        <v>1222.9</v>
      </c>
      <c r="N1015" t="str">
        <f t="shared" si="136"/>
        <v>HOLDING REGISTER</v>
      </c>
      <c r="O1015" t="str">
        <f t="shared" si="137"/>
        <v>BOOL</v>
      </c>
      <c r="P1015" t="str">
        <f t="shared" si="138"/>
        <v>TELECAMERA T12S</v>
      </c>
      <c r="R1015" t="str">
        <f t="shared" si="139"/>
        <v>disponibile</v>
      </c>
      <c r="U1015" t="str">
        <f t="shared" si="140"/>
        <v>disponibile</v>
      </c>
      <c r="V1015" t="str">
        <f t="shared" si="141"/>
        <v>DIREZIONE SUD</v>
      </c>
      <c r="W1015" t="str">
        <f t="shared" si="142"/>
        <v>GALLERIA SAN GIULIANO</v>
      </c>
      <c r="Z1015" t="str">
        <f t="shared" si="143"/>
        <v>10.220.80.16</v>
      </c>
    </row>
    <row r="1016" spans="1:26" x14ac:dyDescent="0.25">
      <c r="A1016" t="s">
        <v>10</v>
      </c>
      <c r="B1016" t="s">
        <v>1063</v>
      </c>
      <c r="C1016" t="s">
        <v>1618</v>
      </c>
      <c r="D1016" t="s">
        <v>1619</v>
      </c>
      <c r="E1016" t="s">
        <v>1742</v>
      </c>
      <c r="F1016" t="s">
        <v>14</v>
      </c>
      <c r="G1016" t="s">
        <v>1375</v>
      </c>
      <c r="H1016" t="s">
        <v>22</v>
      </c>
      <c r="I1016" t="s">
        <v>1753</v>
      </c>
      <c r="J1016" t="s">
        <v>1375</v>
      </c>
      <c r="K1016" t="str">
        <f t="shared" si="135"/>
        <v>1222.10</v>
      </c>
      <c r="N1016" t="str">
        <f t="shared" si="136"/>
        <v>HOLDING REGISTER</v>
      </c>
      <c r="O1016" t="str">
        <f t="shared" si="137"/>
        <v>BOOL</v>
      </c>
      <c r="P1016" t="str">
        <f t="shared" si="138"/>
        <v>TELECAMERA T12S</v>
      </c>
      <c r="R1016" t="str">
        <f t="shared" si="139"/>
        <v>disponibile</v>
      </c>
      <c r="U1016" t="str">
        <f t="shared" si="140"/>
        <v>disponibile</v>
      </c>
      <c r="V1016" t="str">
        <f t="shared" si="141"/>
        <v>DIREZIONE SUD</v>
      </c>
      <c r="W1016" t="str">
        <f t="shared" si="142"/>
        <v>GALLERIA SAN GIULIANO</v>
      </c>
      <c r="Z1016" t="str">
        <f t="shared" si="143"/>
        <v>10.220.80.16</v>
      </c>
    </row>
    <row r="1017" spans="1:26" x14ac:dyDescent="0.25">
      <c r="A1017" t="s">
        <v>10</v>
      </c>
      <c r="B1017" t="s">
        <v>1063</v>
      </c>
      <c r="C1017" t="s">
        <v>1618</v>
      </c>
      <c r="D1017" t="s">
        <v>1619</v>
      </c>
      <c r="E1017" t="s">
        <v>1742</v>
      </c>
      <c r="F1017" t="s">
        <v>14</v>
      </c>
      <c r="G1017" t="s">
        <v>1375</v>
      </c>
      <c r="H1017" t="s">
        <v>22</v>
      </c>
      <c r="I1017" t="s">
        <v>1754</v>
      </c>
      <c r="J1017" t="s">
        <v>1375</v>
      </c>
      <c r="K1017" t="str">
        <f t="shared" si="135"/>
        <v>1222.11</v>
      </c>
      <c r="N1017" t="str">
        <f t="shared" si="136"/>
        <v>HOLDING REGISTER</v>
      </c>
      <c r="O1017" t="str">
        <f t="shared" si="137"/>
        <v>BOOL</v>
      </c>
      <c r="P1017" t="str">
        <f t="shared" si="138"/>
        <v>TELECAMERA T12S</v>
      </c>
      <c r="R1017" t="str">
        <f t="shared" si="139"/>
        <v>disponibile</v>
      </c>
      <c r="U1017" t="str">
        <f t="shared" si="140"/>
        <v>disponibile</v>
      </c>
      <c r="V1017" t="str">
        <f t="shared" si="141"/>
        <v>DIREZIONE SUD</v>
      </c>
      <c r="W1017" t="str">
        <f t="shared" si="142"/>
        <v>GALLERIA SAN GIULIANO</v>
      </c>
      <c r="Z1017" t="str">
        <f t="shared" si="143"/>
        <v>10.220.80.16</v>
      </c>
    </row>
    <row r="1018" spans="1:26" x14ac:dyDescent="0.25">
      <c r="A1018" t="s">
        <v>10</v>
      </c>
      <c r="B1018" t="s">
        <v>1063</v>
      </c>
      <c r="C1018" t="s">
        <v>1618</v>
      </c>
      <c r="D1018" t="s">
        <v>1619</v>
      </c>
      <c r="E1018" t="s">
        <v>1742</v>
      </c>
      <c r="F1018" t="s">
        <v>14</v>
      </c>
      <c r="G1018" t="s">
        <v>1375</v>
      </c>
      <c r="H1018" t="s">
        <v>22</v>
      </c>
      <c r="I1018" t="s">
        <v>1755</v>
      </c>
      <c r="J1018" t="s">
        <v>1375</v>
      </c>
      <c r="K1018" t="str">
        <f t="shared" si="135"/>
        <v>1222.12</v>
      </c>
      <c r="N1018" t="str">
        <f t="shared" si="136"/>
        <v>HOLDING REGISTER</v>
      </c>
      <c r="O1018" t="str">
        <f t="shared" si="137"/>
        <v>BOOL</v>
      </c>
      <c r="P1018" t="str">
        <f t="shared" si="138"/>
        <v>TELECAMERA T12S</v>
      </c>
      <c r="R1018" t="str">
        <f t="shared" si="139"/>
        <v>disponibile</v>
      </c>
      <c r="U1018" t="str">
        <f t="shared" si="140"/>
        <v>disponibile</v>
      </c>
      <c r="V1018" t="str">
        <f t="shared" si="141"/>
        <v>DIREZIONE SUD</v>
      </c>
      <c r="W1018" t="str">
        <f t="shared" si="142"/>
        <v>GALLERIA SAN GIULIANO</v>
      </c>
      <c r="Z1018" t="str">
        <f t="shared" si="143"/>
        <v>10.220.80.16</v>
      </c>
    </row>
    <row r="1019" spans="1:26" x14ac:dyDescent="0.25">
      <c r="A1019" t="s">
        <v>10</v>
      </c>
      <c r="B1019" t="s">
        <v>1063</v>
      </c>
      <c r="C1019" t="s">
        <v>1618</v>
      </c>
      <c r="D1019" t="s">
        <v>1619</v>
      </c>
      <c r="E1019" t="s">
        <v>1742</v>
      </c>
      <c r="F1019" t="s">
        <v>14</v>
      </c>
      <c r="G1019" t="s">
        <v>1375</v>
      </c>
      <c r="H1019" t="s">
        <v>22</v>
      </c>
      <c r="I1019" t="s">
        <v>1756</v>
      </c>
      <c r="J1019" t="s">
        <v>1375</v>
      </c>
      <c r="K1019" t="str">
        <f t="shared" si="135"/>
        <v>1222.13</v>
      </c>
      <c r="N1019" t="str">
        <f t="shared" si="136"/>
        <v>HOLDING REGISTER</v>
      </c>
      <c r="O1019" t="str">
        <f t="shared" si="137"/>
        <v>BOOL</v>
      </c>
      <c r="P1019" t="str">
        <f t="shared" si="138"/>
        <v>TELECAMERA T12S</v>
      </c>
      <c r="R1019" t="str">
        <f t="shared" si="139"/>
        <v>disponibile</v>
      </c>
      <c r="U1019" t="str">
        <f t="shared" si="140"/>
        <v>disponibile</v>
      </c>
      <c r="V1019" t="str">
        <f t="shared" si="141"/>
        <v>DIREZIONE SUD</v>
      </c>
      <c r="W1019" t="str">
        <f t="shared" si="142"/>
        <v>GALLERIA SAN GIULIANO</v>
      </c>
      <c r="Z1019" t="str">
        <f t="shared" si="143"/>
        <v>10.220.80.16</v>
      </c>
    </row>
    <row r="1020" spans="1:26" x14ac:dyDescent="0.25">
      <c r="A1020" t="s">
        <v>10</v>
      </c>
      <c r="B1020" t="s">
        <v>1063</v>
      </c>
      <c r="C1020" t="s">
        <v>1618</v>
      </c>
      <c r="D1020" t="s">
        <v>1619</v>
      </c>
      <c r="E1020" t="s">
        <v>1742</v>
      </c>
      <c r="F1020" t="s">
        <v>14</v>
      </c>
      <c r="G1020" t="s">
        <v>1375</v>
      </c>
      <c r="H1020" t="s">
        <v>22</v>
      </c>
      <c r="I1020" t="s">
        <v>1757</v>
      </c>
      <c r="J1020" t="s">
        <v>1375</v>
      </c>
      <c r="K1020" t="str">
        <f t="shared" si="135"/>
        <v>1222.14</v>
      </c>
      <c r="N1020" t="str">
        <f t="shared" si="136"/>
        <v>HOLDING REGISTER</v>
      </c>
      <c r="O1020" t="str">
        <f t="shared" si="137"/>
        <v>BOOL</v>
      </c>
      <c r="P1020" t="str">
        <f t="shared" si="138"/>
        <v>TELECAMERA T12S</v>
      </c>
      <c r="R1020" t="str">
        <f t="shared" si="139"/>
        <v>disponibile</v>
      </c>
      <c r="U1020" t="str">
        <f t="shared" si="140"/>
        <v>disponibile</v>
      </c>
      <c r="V1020" t="str">
        <f t="shared" si="141"/>
        <v>DIREZIONE SUD</v>
      </c>
      <c r="W1020" t="str">
        <f t="shared" si="142"/>
        <v>GALLERIA SAN GIULIANO</v>
      </c>
      <c r="Z1020" t="str">
        <f t="shared" si="143"/>
        <v>10.220.80.16</v>
      </c>
    </row>
    <row r="1021" spans="1:26" x14ac:dyDescent="0.25">
      <c r="A1021" t="s">
        <v>10</v>
      </c>
      <c r="B1021" t="s">
        <v>1063</v>
      </c>
      <c r="C1021" t="s">
        <v>1618</v>
      </c>
      <c r="D1021" t="s">
        <v>1619</v>
      </c>
      <c r="E1021" t="s">
        <v>1742</v>
      </c>
      <c r="F1021" t="s">
        <v>14</v>
      </c>
      <c r="G1021" t="s">
        <v>1375</v>
      </c>
      <c r="H1021" t="s">
        <v>22</v>
      </c>
      <c r="I1021" t="s">
        <v>1758</v>
      </c>
      <c r="J1021" t="s">
        <v>1375</v>
      </c>
      <c r="K1021" t="str">
        <f t="shared" si="135"/>
        <v>1222.15</v>
      </c>
      <c r="N1021" t="str">
        <f t="shared" si="136"/>
        <v>HOLDING REGISTER</v>
      </c>
      <c r="O1021" t="str">
        <f t="shared" si="137"/>
        <v>BOOL</v>
      </c>
      <c r="P1021" t="str">
        <f t="shared" si="138"/>
        <v>TELECAMERA T12S</v>
      </c>
      <c r="R1021" t="str">
        <f t="shared" si="139"/>
        <v>disponibile</v>
      </c>
      <c r="U1021" t="str">
        <f t="shared" si="140"/>
        <v>disponibile</v>
      </c>
      <c r="V1021" t="str">
        <f t="shared" si="141"/>
        <v>DIREZIONE SUD</v>
      </c>
      <c r="W1021" t="str">
        <f t="shared" si="142"/>
        <v>GALLERIA SAN GIULIANO</v>
      </c>
      <c r="Z1021" t="str">
        <f t="shared" si="143"/>
        <v>10.220.80.16</v>
      </c>
    </row>
    <row r="1022" spans="1:26" x14ac:dyDescent="0.25">
      <c r="A1022" t="s">
        <v>10</v>
      </c>
      <c r="B1022" t="s">
        <v>1063</v>
      </c>
      <c r="C1022" t="s">
        <v>1618</v>
      </c>
      <c r="D1022" t="s">
        <v>1619</v>
      </c>
      <c r="E1022" t="s">
        <v>1759</v>
      </c>
      <c r="F1022" t="s">
        <v>14</v>
      </c>
      <c r="G1022" t="s">
        <v>28</v>
      </c>
      <c r="H1022" t="s">
        <v>22</v>
      </c>
      <c r="I1022" t="s">
        <v>1760</v>
      </c>
      <c r="J1022" t="s">
        <v>1622</v>
      </c>
      <c r="K1022" t="str">
        <f t="shared" si="135"/>
        <v>1223.0</v>
      </c>
      <c r="N1022" t="str">
        <f t="shared" si="136"/>
        <v>HOLDING REGISTER</v>
      </c>
      <c r="O1022" t="str">
        <f t="shared" si="137"/>
        <v>BOOL</v>
      </c>
      <c r="P1022" t="str">
        <f t="shared" si="138"/>
        <v>TELECAMERA T13N</v>
      </c>
      <c r="R1022" t="str">
        <f t="shared" si="139"/>
        <v>ALLARMI TELECAMERA ESCLUSI</v>
      </c>
      <c r="U1022" t="str">
        <f t="shared" si="140"/>
        <v>Allarme</v>
      </c>
      <c r="V1022" t="str">
        <f t="shared" si="141"/>
        <v>DIREZIONE SUD</v>
      </c>
      <c r="W1022" t="str">
        <f t="shared" si="142"/>
        <v>GALLERIA SAN GIULIANO</v>
      </c>
      <c r="Z1022" t="str">
        <f t="shared" si="143"/>
        <v>10.220.80.16</v>
      </c>
    </row>
    <row r="1023" spans="1:26" x14ac:dyDescent="0.25">
      <c r="A1023" t="s">
        <v>10</v>
      </c>
      <c r="B1023" t="s">
        <v>1063</v>
      </c>
      <c r="C1023" t="s">
        <v>1761</v>
      </c>
      <c r="D1023" t="s">
        <v>1619</v>
      </c>
      <c r="E1023" t="s">
        <v>1759</v>
      </c>
      <c r="F1023" t="s">
        <v>14</v>
      </c>
      <c r="G1023" t="s">
        <v>28</v>
      </c>
      <c r="H1023" t="s">
        <v>22</v>
      </c>
      <c r="I1023" t="s">
        <v>1762</v>
      </c>
      <c r="J1023" t="s">
        <v>1624</v>
      </c>
      <c r="K1023" t="str">
        <f t="shared" si="135"/>
        <v>1223.1</v>
      </c>
      <c r="N1023" t="str">
        <f t="shared" si="136"/>
        <v>HOLDING REGISTER</v>
      </c>
      <c r="O1023" t="str">
        <f t="shared" si="137"/>
        <v>BOOL</v>
      </c>
      <c r="P1023" t="str">
        <f t="shared" si="138"/>
        <v>TELECAMERA T13N</v>
      </c>
      <c r="R1023" t="str">
        <f t="shared" si="139"/>
        <v>IN MANUTENZIONE ALLARME FUMO</v>
      </c>
      <c r="U1023" t="str">
        <f t="shared" si="140"/>
        <v>Allarme</v>
      </c>
      <c r="V1023" t="str">
        <f t="shared" si="141"/>
        <v>DIREZIONE NORD</v>
      </c>
      <c r="W1023" t="str">
        <f t="shared" si="142"/>
        <v>GALLERIA SAN GIULIANO</v>
      </c>
      <c r="Z1023" t="str">
        <f t="shared" si="143"/>
        <v>10.220.80.16</v>
      </c>
    </row>
    <row r="1024" spans="1:26" x14ac:dyDescent="0.25">
      <c r="A1024" t="s">
        <v>10</v>
      </c>
      <c r="B1024" t="s">
        <v>1063</v>
      </c>
      <c r="C1024" t="s">
        <v>1761</v>
      </c>
      <c r="D1024" t="s">
        <v>1619</v>
      </c>
      <c r="E1024" t="s">
        <v>1759</v>
      </c>
      <c r="F1024" t="s">
        <v>14</v>
      </c>
      <c r="G1024" t="s">
        <v>1375</v>
      </c>
      <c r="H1024" t="s">
        <v>22</v>
      </c>
      <c r="I1024" t="s">
        <v>1763</v>
      </c>
      <c r="J1024" t="s">
        <v>1626</v>
      </c>
      <c r="K1024" t="str">
        <f t="shared" si="135"/>
        <v>1223.2</v>
      </c>
      <c r="N1024" t="str">
        <f t="shared" si="136"/>
        <v>HOLDING REGISTER</v>
      </c>
      <c r="O1024" t="str">
        <f t="shared" si="137"/>
        <v>BOOL</v>
      </c>
      <c r="P1024" t="str">
        <f t="shared" si="138"/>
        <v>TELECAMERA T13N</v>
      </c>
      <c r="R1024" t="str">
        <f t="shared" si="139"/>
        <v>IN MANUTENZIONE ALLARMI TRAFFICO</v>
      </c>
      <c r="U1024" t="str">
        <f t="shared" si="140"/>
        <v>disponibile</v>
      </c>
      <c r="V1024" t="str">
        <f t="shared" si="141"/>
        <v>DIREZIONE NORD</v>
      </c>
      <c r="W1024" t="str">
        <f t="shared" si="142"/>
        <v>GALLERIA SAN GIULIANO</v>
      </c>
      <c r="Z1024" t="str">
        <f t="shared" si="143"/>
        <v>10.220.80.16</v>
      </c>
    </row>
    <row r="1025" spans="1:26" x14ac:dyDescent="0.25">
      <c r="A1025" t="s">
        <v>10</v>
      </c>
      <c r="B1025" t="s">
        <v>1063</v>
      </c>
      <c r="C1025" t="s">
        <v>1761</v>
      </c>
      <c r="D1025" t="s">
        <v>1619</v>
      </c>
      <c r="E1025" t="s">
        <v>1759</v>
      </c>
      <c r="F1025" t="s">
        <v>14</v>
      </c>
      <c r="G1025" t="s">
        <v>28</v>
      </c>
      <c r="H1025" t="s">
        <v>22</v>
      </c>
      <c r="I1025" t="s">
        <v>1764</v>
      </c>
      <c r="J1025" t="s">
        <v>1375</v>
      </c>
      <c r="K1025" t="str">
        <f t="shared" si="135"/>
        <v>1223.3</v>
      </c>
      <c r="N1025" t="str">
        <f t="shared" si="136"/>
        <v>HOLDING REGISTER</v>
      </c>
      <c r="O1025" t="str">
        <f t="shared" si="137"/>
        <v>BOOL</v>
      </c>
      <c r="P1025" t="str">
        <f t="shared" si="138"/>
        <v>TELECAMERA T13N</v>
      </c>
      <c r="R1025" t="str">
        <f t="shared" si="139"/>
        <v>disponibile</v>
      </c>
      <c r="U1025" t="str">
        <f t="shared" si="140"/>
        <v>Allarme</v>
      </c>
      <c r="V1025" t="str">
        <f t="shared" si="141"/>
        <v>DIREZIONE NORD</v>
      </c>
      <c r="W1025" t="str">
        <f t="shared" si="142"/>
        <v>GALLERIA SAN GIULIANO</v>
      </c>
      <c r="Z1025" t="str">
        <f t="shared" si="143"/>
        <v>10.220.80.16</v>
      </c>
    </row>
    <row r="1026" spans="1:26" x14ac:dyDescent="0.25">
      <c r="A1026" t="s">
        <v>10</v>
      </c>
      <c r="B1026" t="s">
        <v>1063</v>
      </c>
      <c r="C1026" t="s">
        <v>1761</v>
      </c>
      <c r="D1026" t="s">
        <v>1619</v>
      </c>
      <c r="E1026" t="s">
        <v>1759</v>
      </c>
      <c r="F1026" t="s">
        <v>14</v>
      </c>
      <c r="G1026" t="s">
        <v>28</v>
      </c>
      <c r="H1026" t="s">
        <v>22</v>
      </c>
      <c r="I1026" t="s">
        <v>1765</v>
      </c>
      <c r="J1026" t="s">
        <v>1375</v>
      </c>
      <c r="K1026" t="str">
        <f t="shared" si="135"/>
        <v>1223.4</v>
      </c>
      <c r="N1026" t="str">
        <f t="shared" si="136"/>
        <v>HOLDING REGISTER</v>
      </c>
      <c r="O1026" t="str">
        <f t="shared" si="137"/>
        <v>BOOL</v>
      </c>
      <c r="P1026" t="str">
        <f t="shared" si="138"/>
        <v>TELECAMERA T13N</v>
      </c>
      <c r="R1026" t="str">
        <f t="shared" si="139"/>
        <v>disponibile</v>
      </c>
      <c r="U1026" t="str">
        <f t="shared" si="140"/>
        <v>Allarme</v>
      </c>
      <c r="V1026" t="str">
        <f t="shared" si="141"/>
        <v>DIREZIONE NORD</v>
      </c>
      <c r="W1026" t="str">
        <f t="shared" si="142"/>
        <v>GALLERIA SAN GIULIANO</v>
      </c>
      <c r="Z1026" t="str">
        <f t="shared" si="143"/>
        <v>10.220.80.16</v>
      </c>
    </row>
    <row r="1027" spans="1:26" x14ac:dyDescent="0.25">
      <c r="A1027" t="s">
        <v>10</v>
      </c>
      <c r="B1027" t="s">
        <v>1063</v>
      </c>
      <c r="C1027" t="s">
        <v>1761</v>
      </c>
      <c r="D1027" t="s">
        <v>1619</v>
      </c>
      <c r="E1027" t="s">
        <v>1759</v>
      </c>
      <c r="F1027" t="s">
        <v>14</v>
      </c>
      <c r="G1027" t="s">
        <v>1375</v>
      </c>
      <c r="H1027" t="s">
        <v>22</v>
      </c>
      <c r="I1027" t="s">
        <v>1766</v>
      </c>
      <c r="J1027" t="s">
        <v>1375</v>
      </c>
      <c r="K1027" t="str">
        <f t="shared" ref="K1027:K1090" si="144">IF(I1027="","",I1027)</f>
        <v>1223.5</v>
      </c>
      <c r="N1027" t="str">
        <f t="shared" ref="N1027:N1090" si="145">IF(F1027="","",F1027)</f>
        <v>HOLDING REGISTER</v>
      </c>
      <c r="O1027" t="str">
        <f t="shared" ref="O1027:O1090" si="146">IF(H1027="","",H1027)</f>
        <v>BOOL</v>
      </c>
      <c r="P1027" t="str">
        <f t="shared" ref="P1027:P1090" si="147">_xlfn.CONCAT(D1027," ",E1027)</f>
        <v>TELECAMERA T13N</v>
      </c>
      <c r="R1027" t="str">
        <f t="shared" ref="R1027:R1090" si="148">IF(J1027="","",J1027)</f>
        <v>disponibile</v>
      </c>
      <c r="U1027" t="str">
        <f t="shared" ref="U1027:U1090" si="149">IF(G1027="","",G1027)</f>
        <v>disponibile</v>
      </c>
      <c r="V1027" t="str">
        <f t="shared" ref="V1027:V1090" si="150">IF(C1027="","",C1027)</f>
        <v>DIREZIONE NORD</v>
      </c>
      <c r="W1027" t="str">
        <f t="shared" ref="W1027:W1090" si="151">IF(B1027="","",B1027)</f>
        <v>GALLERIA SAN GIULIANO</v>
      </c>
      <c r="Z1027" t="str">
        <f t="shared" ref="Z1027:Z1090" si="152">IF(A1027="","",A1027)</f>
        <v>10.220.80.16</v>
      </c>
    </row>
    <row r="1028" spans="1:26" x14ac:dyDescent="0.25">
      <c r="A1028" t="s">
        <v>10</v>
      </c>
      <c r="B1028" t="s">
        <v>1063</v>
      </c>
      <c r="C1028" t="s">
        <v>1761</v>
      </c>
      <c r="D1028" t="s">
        <v>1619</v>
      </c>
      <c r="E1028" t="s">
        <v>1759</v>
      </c>
      <c r="F1028" t="s">
        <v>14</v>
      </c>
      <c r="G1028" t="s">
        <v>28</v>
      </c>
      <c r="H1028" t="s">
        <v>22</v>
      </c>
      <c r="I1028" t="s">
        <v>1767</v>
      </c>
      <c r="J1028" t="s">
        <v>1375</v>
      </c>
      <c r="K1028" t="str">
        <f t="shared" si="144"/>
        <v>1223.6</v>
      </c>
      <c r="N1028" t="str">
        <f t="shared" si="145"/>
        <v>HOLDING REGISTER</v>
      </c>
      <c r="O1028" t="str">
        <f t="shared" si="146"/>
        <v>BOOL</v>
      </c>
      <c r="P1028" t="str">
        <f t="shared" si="147"/>
        <v>TELECAMERA T13N</v>
      </c>
      <c r="R1028" t="str">
        <f t="shared" si="148"/>
        <v>disponibile</v>
      </c>
      <c r="U1028" t="str">
        <f t="shared" si="149"/>
        <v>Allarme</v>
      </c>
      <c r="V1028" t="str">
        <f t="shared" si="150"/>
        <v>DIREZIONE NORD</v>
      </c>
      <c r="W1028" t="str">
        <f t="shared" si="151"/>
        <v>GALLERIA SAN GIULIANO</v>
      </c>
      <c r="Z1028" t="str">
        <f t="shared" si="152"/>
        <v>10.220.80.16</v>
      </c>
    </row>
    <row r="1029" spans="1:26" x14ac:dyDescent="0.25">
      <c r="A1029" t="s">
        <v>10</v>
      </c>
      <c r="B1029" t="s">
        <v>1063</v>
      </c>
      <c r="C1029" t="s">
        <v>1761</v>
      </c>
      <c r="D1029" t="s">
        <v>1619</v>
      </c>
      <c r="E1029" t="s">
        <v>1759</v>
      </c>
      <c r="F1029" t="s">
        <v>14</v>
      </c>
      <c r="G1029" t="s">
        <v>28</v>
      </c>
      <c r="H1029" t="s">
        <v>22</v>
      </c>
      <c r="I1029" t="s">
        <v>1768</v>
      </c>
      <c r="J1029" t="s">
        <v>1375</v>
      </c>
      <c r="K1029" t="str">
        <f t="shared" si="144"/>
        <v>1223.7</v>
      </c>
      <c r="N1029" t="str">
        <f t="shared" si="145"/>
        <v>HOLDING REGISTER</v>
      </c>
      <c r="O1029" t="str">
        <f t="shared" si="146"/>
        <v>BOOL</v>
      </c>
      <c r="P1029" t="str">
        <f t="shared" si="147"/>
        <v>TELECAMERA T13N</v>
      </c>
      <c r="R1029" t="str">
        <f t="shared" si="148"/>
        <v>disponibile</v>
      </c>
      <c r="U1029" t="str">
        <f t="shared" si="149"/>
        <v>Allarme</v>
      </c>
      <c r="V1029" t="str">
        <f t="shared" si="150"/>
        <v>DIREZIONE NORD</v>
      </c>
      <c r="W1029" t="str">
        <f t="shared" si="151"/>
        <v>GALLERIA SAN GIULIANO</v>
      </c>
      <c r="Z1029" t="str">
        <f t="shared" si="152"/>
        <v>10.220.80.16</v>
      </c>
    </row>
    <row r="1030" spans="1:26" x14ac:dyDescent="0.25">
      <c r="A1030" t="s">
        <v>10</v>
      </c>
      <c r="B1030" t="s">
        <v>1063</v>
      </c>
      <c r="C1030" t="s">
        <v>1761</v>
      </c>
      <c r="D1030" t="s">
        <v>1619</v>
      </c>
      <c r="E1030" t="s">
        <v>1759</v>
      </c>
      <c r="F1030" t="s">
        <v>14</v>
      </c>
      <c r="G1030" t="s">
        <v>28</v>
      </c>
      <c r="H1030" t="s">
        <v>22</v>
      </c>
      <c r="I1030" t="s">
        <v>1769</v>
      </c>
      <c r="J1030" t="s">
        <v>1375</v>
      </c>
      <c r="K1030" t="str">
        <f t="shared" si="144"/>
        <v>1223.8</v>
      </c>
      <c r="N1030" t="str">
        <f t="shared" si="145"/>
        <v>HOLDING REGISTER</v>
      </c>
      <c r="O1030" t="str">
        <f t="shared" si="146"/>
        <v>BOOL</v>
      </c>
      <c r="P1030" t="str">
        <f t="shared" si="147"/>
        <v>TELECAMERA T13N</v>
      </c>
      <c r="R1030" t="str">
        <f t="shared" si="148"/>
        <v>disponibile</v>
      </c>
      <c r="U1030" t="str">
        <f t="shared" si="149"/>
        <v>Allarme</v>
      </c>
      <c r="V1030" t="str">
        <f t="shared" si="150"/>
        <v>DIREZIONE NORD</v>
      </c>
      <c r="W1030" t="str">
        <f t="shared" si="151"/>
        <v>GALLERIA SAN GIULIANO</v>
      </c>
      <c r="Z1030" t="str">
        <f t="shared" si="152"/>
        <v>10.220.80.16</v>
      </c>
    </row>
    <row r="1031" spans="1:26" x14ac:dyDescent="0.25">
      <c r="A1031" t="s">
        <v>10</v>
      </c>
      <c r="B1031" t="s">
        <v>1063</v>
      </c>
      <c r="C1031" t="s">
        <v>1761</v>
      </c>
      <c r="D1031" t="s">
        <v>1619</v>
      </c>
      <c r="E1031" t="s">
        <v>1759</v>
      </c>
      <c r="F1031" t="s">
        <v>14</v>
      </c>
      <c r="G1031" t="s">
        <v>28</v>
      </c>
      <c r="H1031" t="s">
        <v>22</v>
      </c>
      <c r="I1031" t="s">
        <v>1770</v>
      </c>
      <c r="J1031" t="s">
        <v>1375</v>
      </c>
      <c r="K1031" t="str">
        <f t="shared" si="144"/>
        <v>1223.9</v>
      </c>
      <c r="N1031" t="str">
        <f t="shared" si="145"/>
        <v>HOLDING REGISTER</v>
      </c>
      <c r="O1031" t="str">
        <f t="shared" si="146"/>
        <v>BOOL</v>
      </c>
      <c r="P1031" t="str">
        <f t="shared" si="147"/>
        <v>TELECAMERA T13N</v>
      </c>
      <c r="R1031" t="str">
        <f t="shared" si="148"/>
        <v>disponibile</v>
      </c>
      <c r="U1031" t="str">
        <f t="shared" si="149"/>
        <v>Allarme</v>
      </c>
      <c r="V1031" t="str">
        <f t="shared" si="150"/>
        <v>DIREZIONE NORD</v>
      </c>
      <c r="W1031" t="str">
        <f t="shared" si="151"/>
        <v>GALLERIA SAN GIULIANO</v>
      </c>
      <c r="Z1031" t="str">
        <f t="shared" si="152"/>
        <v>10.220.80.16</v>
      </c>
    </row>
    <row r="1032" spans="1:26" x14ac:dyDescent="0.25">
      <c r="A1032" t="s">
        <v>10</v>
      </c>
      <c r="B1032" t="s">
        <v>1063</v>
      </c>
      <c r="C1032" t="s">
        <v>1761</v>
      </c>
      <c r="D1032" t="s">
        <v>1619</v>
      </c>
      <c r="E1032" t="s">
        <v>1759</v>
      </c>
      <c r="F1032" t="s">
        <v>14</v>
      </c>
      <c r="G1032" t="s">
        <v>1375</v>
      </c>
      <c r="H1032" t="s">
        <v>22</v>
      </c>
      <c r="I1032" t="s">
        <v>1771</v>
      </c>
      <c r="J1032" t="s">
        <v>1375</v>
      </c>
      <c r="K1032" t="str">
        <f t="shared" si="144"/>
        <v>1223.10</v>
      </c>
      <c r="N1032" t="str">
        <f t="shared" si="145"/>
        <v>HOLDING REGISTER</v>
      </c>
      <c r="O1032" t="str">
        <f t="shared" si="146"/>
        <v>BOOL</v>
      </c>
      <c r="P1032" t="str">
        <f t="shared" si="147"/>
        <v>TELECAMERA T13N</v>
      </c>
      <c r="R1032" t="str">
        <f t="shared" si="148"/>
        <v>disponibile</v>
      </c>
      <c r="U1032" t="str">
        <f t="shared" si="149"/>
        <v>disponibile</v>
      </c>
      <c r="V1032" t="str">
        <f t="shared" si="150"/>
        <v>DIREZIONE NORD</v>
      </c>
      <c r="W1032" t="str">
        <f t="shared" si="151"/>
        <v>GALLERIA SAN GIULIANO</v>
      </c>
      <c r="Z1032" t="str">
        <f t="shared" si="152"/>
        <v>10.220.80.16</v>
      </c>
    </row>
    <row r="1033" spans="1:26" x14ac:dyDescent="0.25">
      <c r="A1033" t="s">
        <v>10</v>
      </c>
      <c r="B1033" t="s">
        <v>1063</v>
      </c>
      <c r="C1033" t="s">
        <v>1761</v>
      </c>
      <c r="D1033" t="s">
        <v>1619</v>
      </c>
      <c r="E1033" t="s">
        <v>1759</v>
      </c>
      <c r="F1033" t="s">
        <v>14</v>
      </c>
      <c r="G1033" t="s">
        <v>1375</v>
      </c>
      <c r="H1033" t="s">
        <v>22</v>
      </c>
      <c r="I1033" t="s">
        <v>1772</v>
      </c>
      <c r="J1033" t="s">
        <v>1375</v>
      </c>
      <c r="K1033" t="str">
        <f t="shared" si="144"/>
        <v>1223.11</v>
      </c>
      <c r="N1033" t="str">
        <f t="shared" si="145"/>
        <v>HOLDING REGISTER</v>
      </c>
      <c r="O1033" t="str">
        <f t="shared" si="146"/>
        <v>BOOL</v>
      </c>
      <c r="P1033" t="str">
        <f t="shared" si="147"/>
        <v>TELECAMERA T13N</v>
      </c>
      <c r="R1033" t="str">
        <f t="shared" si="148"/>
        <v>disponibile</v>
      </c>
      <c r="U1033" t="str">
        <f t="shared" si="149"/>
        <v>disponibile</v>
      </c>
      <c r="V1033" t="str">
        <f t="shared" si="150"/>
        <v>DIREZIONE NORD</v>
      </c>
      <c r="W1033" t="str">
        <f t="shared" si="151"/>
        <v>GALLERIA SAN GIULIANO</v>
      </c>
      <c r="Z1033" t="str">
        <f t="shared" si="152"/>
        <v>10.220.80.16</v>
      </c>
    </row>
    <row r="1034" spans="1:26" x14ac:dyDescent="0.25">
      <c r="A1034" t="s">
        <v>10</v>
      </c>
      <c r="B1034" t="s">
        <v>1063</v>
      </c>
      <c r="C1034" t="s">
        <v>1761</v>
      </c>
      <c r="D1034" t="s">
        <v>1619</v>
      </c>
      <c r="E1034" t="s">
        <v>1759</v>
      </c>
      <c r="F1034" t="s">
        <v>14</v>
      </c>
      <c r="G1034" t="s">
        <v>1375</v>
      </c>
      <c r="H1034" t="s">
        <v>22</v>
      </c>
      <c r="I1034" t="s">
        <v>1773</v>
      </c>
      <c r="J1034" t="s">
        <v>1375</v>
      </c>
      <c r="K1034" t="str">
        <f t="shared" si="144"/>
        <v>1223.12</v>
      </c>
      <c r="N1034" t="str">
        <f t="shared" si="145"/>
        <v>HOLDING REGISTER</v>
      </c>
      <c r="O1034" t="str">
        <f t="shared" si="146"/>
        <v>BOOL</v>
      </c>
      <c r="P1034" t="str">
        <f t="shared" si="147"/>
        <v>TELECAMERA T13N</v>
      </c>
      <c r="R1034" t="str">
        <f t="shared" si="148"/>
        <v>disponibile</v>
      </c>
      <c r="U1034" t="str">
        <f t="shared" si="149"/>
        <v>disponibile</v>
      </c>
      <c r="V1034" t="str">
        <f t="shared" si="150"/>
        <v>DIREZIONE NORD</v>
      </c>
      <c r="W1034" t="str">
        <f t="shared" si="151"/>
        <v>GALLERIA SAN GIULIANO</v>
      </c>
      <c r="Z1034" t="str">
        <f t="shared" si="152"/>
        <v>10.220.80.16</v>
      </c>
    </row>
    <row r="1035" spans="1:26" x14ac:dyDescent="0.25">
      <c r="A1035" t="s">
        <v>10</v>
      </c>
      <c r="B1035" t="s">
        <v>1063</v>
      </c>
      <c r="C1035" t="s">
        <v>1761</v>
      </c>
      <c r="D1035" t="s">
        <v>1619</v>
      </c>
      <c r="E1035" t="s">
        <v>1759</v>
      </c>
      <c r="F1035" t="s">
        <v>14</v>
      </c>
      <c r="G1035" t="s">
        <v>1375</v>
      </c>
      <c r="H1035" t="s">
        <v>22</v>
      </c>
      <c r="I1035" t="s">
        <v>1774</v>
      </c>
      <c r="J1035" t="s">
        <v>1375</v>
      </c>
      <c r="K1035" t="str">
        <f t="shared" si="144"/>
        <v>1223.13</v>
      </c>
      <c r="N1035" t="str">
        <f t="shared" si="145"/>
        <v>HOLDING REGISTER</v>
      </c>
      <c r="O1035" t="str">
        <f t="shared" si="146"/>
        <v>BOOL</v>
      </c>
      <c r="P1035" t="str">
        <f t="shared" si="147"/>
        <v>TELECAMERA T13N</v>
      </c>
      <c r="R1035" t="str">
        <f t="shared" si="148"/>
        <v>disponibile</v>
      </c>
      <c r="U1035" t="str">
        <f t="shared" si="149"/>
        <v>disponibile</v>
      </c>
      <c r="V1035" t="str">
        <f t="shared" si="150"/>
        <v>DIREZIONE NORD</v>
      </c>
      <c r="W1035" t="str">
        <f t="shared" si="151"/>
        <v>GALLERIA SAN GIULIANO</v>
      </c>
      <c r="Z1035" t="str">
        <f t="shared" si="152"/>
        <v>10.220.80.16</v>
      </c>
    </row>
    <row r="1036" spans="1:26" x14ac:dyDescent="0.25">
      <c r="A1036" t="s">
        <v>10</v>
      </c>
      <c r="B1036" t="s">
        <v>1063</v>
      </c>
      <c r="C1036" t="s">
        <v>1761</v>
      </c>
      <c r="D1036" t="s">
        <v>1619</v>
      </c>
      <c r="E1036" t="s">
        <v>1759</v>
      </c>
      <c r="F1036" t="s">
        <v>14</v>
      </c>
      <c r="G1036" t="s">
        <v>1375</v>
      </c>
      <c r="H1036" t="s">
        <v>22</v>
      </c>
      <c r="I1036" t="s">
        <v>1775</v>
      </c>
      <c r="J1036" t="s">
        <v>1375</v>
      </c>
      <c r="K1036" t="str">
        <f t="shared" si="144"/>
        <v>1223.14</v>
      </c>
      <c r="N1036" t="str">
        <f t="shared" si="145"/>
        <v>HOLDING REGISTER</v>
      </c>
      <c r="O1036" t="str">
        <f t="shared" si="146"/>
        <v>BOOL</v>
      </c>
      <c r="P1036" t="str">
        <f t="shared" si="147"/>
        <v>TELECAMERA T13N</v>
      </c>
      <c r="R1036" t="str">
        <f t="shared" si="148"/>
        <v>disponibile</v>
      </c>
      <c r="U1036" t="str">
        <f t="shared" si="149"/>
        <v>disponibile</v>
      </c>
      <c r="V1036" t="str">
        <f t="shared" si="150"/>
        <v>DIREZIONE NORD</v>
      </c>
      <c r="W1036" t="str">
        <f t="shared" si="151"/>
        <v>GALLERIA SAN GIULIANO</v>
      </c>
      <c r="Z1036" t="str">
        <f t="shared" si="152"/>
        <v>10.220.80.16</v>
      </c>
    </row>
    <row r="1037" spans="1:26" x14ac:dyDescent="0.25">
      <c r="A1037" t="s">
        <v>10</v>
      </c>
      <c r="B1037" t="s">
        <v>1063</v>
      </c>
      <c r="C1037" t="s">
        <v>1761</v>
      </c>
      <c r="D1037" t="s">
        <v>1619</v>
      </c>
      <c r="E1037" t="s">
        <v>1759</v>
      </c>
      <c r="F1037" t="s">
        <v>14</v>
      </c>
      <c r="G1037" t="s">
        <v>1375</v>
      </c>
      <c r="H1037" t="s">
        <v>22</v>
      </c>
      <c r="I1037" t="s">
        <v>1776</v>
      </c>
      <c r="J1037" t="s">
        <v>1375</v>
      </c>
      <c r="K1037" t="str">
        <f t="shared" si="144"/>
        <v>1223.15</v>
      </c>
      <c r="N1037" t="str">
        <f t="shared" si="145"/>
        <v>HOLDING REGISTER</v>
      </c>
      <c r="O1037" t="str">
        <f t="shared" si="146"/>
        <v>BOOL</v>
      </c>
      <c r="P1037" t="str">
        <f t="shared" si="147"/>
        <v>TELECAMERA T13N</v>
      </c>
      <c r="R1037" t="str">
        <f t="shared" si="148"/>
        <v>disponibile</v>
      </c>
      <c r="U1037" t="str">
        <f t="shared" si="149"/>
        <v>disponibile</v>
      </c>
      <c r="V1037" t="str">
        <f t="shared" si="150"/>
        <v>DIREZIONE NORD</v>
      </c>
      <c r="W1037" t="str">
        <f t="shared" si="151"/>
        <v>GALLERIA SAN GIULIANO</v>
      </c>
      <c r="Z1037" t="str">
        <f t="shared" si="152"/>
        <v>10.220.80.16</v>
      </c>
    </row>
    <row r="1038" spans="1:26" x14ac:dyDescent="0.25">
      <c r="A1038" t="s">
        <v>10</v>
      </c>
      <c r="B1038" t="s">
        <v>1063</v>
      </c>
      <c r="C1038" t="s">
        <v>1761</v>
      </c>
      <c r="D1038" t="s">
        <v>1619</v>
      </c>
      <c r="E1038" t="s">
        <v>1777</v>
      </c>
      <c r="F1038" t="s">
        <v>14</v>
      </c>
      <c r="G1038" t="s">
        <v>28</v>
      </c>
      <c r="H1038" t="s">
        <v>22</v>
      </c>
      <c r="I1038" t="s">
        <v>1778</v>
      </c>
      <c r="J1038" t="s">
        <v>1622</v>
      </c>
      <c r="K1038" t="str">
        <f t="shared" si="144"/>
        <v>1224.0</v>
      </c>
      <c r="N1038" t="str">
        <f t="shared" si="145"/>
        <v>HOLDING REGISTER</v>
      </c>
      <c r="O1038" t="str">
        <f t="shared" si="146"/>
        <v>BOOL</v>
      </c>
      <c r="P1038" t="str">
        <f t="shared" si="147"/>
        <v>TELECAMERA T14N</v>
      </c>
      <c r="R1038" t="str">
        <f t="shared" si="148"/>
        <v>ALLARMI TELECAMERA ESCLUSI</v>
      </c>
      <c r="U1038" t="str">
        <f t="shared" si="149"/>
        <v>Allarme</v>
      </c>
      <c r="V1038" t="str">
        <f t="shared" si="150"/>
        <v>DIREZIONE NORD</v>
      </c>
      <c r="W1038" t="str">
        <f t="shared" si="151"/>
        <v>GALLERIA SAN GIULIANO</v>
      </c>
      <c r="Z1038" t="str">
        <f t="shared" si="152"/>
        <v>10.220.80.16</v>
      </c>
    </row>
    <row r="1039" spans="1:26" x14ac:dyDescent="0.25">
      <c r="A1039" t="s">
        <v>10</v>
      </c>
      <c r="B1039" t="s">
        <v>1063</v>
      </c>
      <c r="C1039" t="s">
        <v>1761</v>
      </c>
      <c r="D1039" t="s">
        <v>1619</v>
      </c>
      <c r="E1039" t="s">
        <v>1777</v>
      </c>
      <c r="F1039" t="s">
        <v>14</v>
      </c>
      <c r="G1039" t="s">
        <v>28</v>
      </c>
      <c r="H1039" t="s">
        <v>22</v>
      </c>
      <c r="I1039" t="s">
        <v>1779</v>
      </c>
      <c r="J1039" t="s">
        <v>1624</v>
      </c>
      <c r="K1039" t="str">
        <f t="shared" si="144"/>
        <v>1224.1</v>
      </c>
      <c r="N1039" t="str">
        <f t="shared" si="145"/>
        <v>HOLDING REGISTER</v>
      </c>
      <c r="O1039" t="str">
        <f t="shared" si="146"/>
        <v>BOOL</v>
      </c>
      <c r="P1039" t="str">
        <f t="shared" si="147"/>
        <v>TELECAMERA T14N</v>
      </c>
      <c r="R1039" t="str">
        <f t="shared" si="148"/>
        <v>IN MANUTENZIONE ALLARME FUMO</v>
      </c>
      <c r="U1039" t="str">
        <f t="shared" si="149"/>
        <v>Allarme</v>
      </c>
      <c r="V1039" t="str">
        <f t="shared" si="150"/>
        <v>DIREZIONE NORD</v>
      </c>
      <c r="W1039" t="str">
        <f t="shared" si="151"/>
        <v>GALLERIA SAN GIULIANO</v>
      </c>
      <c r="Z1039" t="str">
        <f t="shared" si="152"/>
        <v>10.220.80.16</v>
      </c>
    </row>
    <row r="1040" spans="1:26" x14ac:dyDescent="0.25">
      <c r="A1040" t="s">
        <v>10</v>
      </c>
      <c r="B1040" t="s">
        <v>1063</v>
      </c>
      <c r="C1040" t="s">
        <v>1761</v>
      </c>
      <c r="D1040" t="s">
        <v>1619</v>
      </c>
      <c r="E1040" t="s">
        <v>1777</v>
      </c>
      <c r="F1040" t="s">
        <v>14</v>
      </c>
      <c r="G1040" t="s">
        <v>1375</v>
      </c>
      <c r="H1040" t="s">
        <v>22</v>
      </c>
      <c r="I1040" t="s">
        <v>1780</v>
      </c>
      <c r="J1040" t="s">
        <v>1626</v>
      </c>
      <c r="K1040" t="str">
        <f t="shared" si="144"/>
        <v>1224.2</v>
      </c>
      <c r="N1040" t="str">
        <f t="shared" si="145"/>
        <v>HOLDING REGISTER</v>
      </c>
      <c r="O1040" t="str">
        <f t="shared" si="146"/>
        <v>BOOL</v>
      </c>
      <c r="P1040" t="str">
        <f t="shared" si="147"/>
        <v>TELECAMERA T14N</v>
      </c>
      <c r="R1040" t="str">
        <f t="shared" si="148"/>
        <v>IN MANUTENZIONE ALLARMI TRAFFICO</v>
      </c>
      <c r="U1040" t="str">
        <f t="shared" si="149"/>
        <v>disponibile</v>
      </c>
      <c r="V1040" t="str">
        <f t="shared" si="150"/>
        <v>DIREZIONE NORD</v>
      </c>
      <c r="W1040" t="str">
        <f t="shared" si="151"/>
        <v>GALLERIA SAN GIULIANO</v>
      </c>
      <c r="Z1040" t="str">
        <f t="shared" si="152"/>
        <v>10.220.80.16</v>
      </c>
    </row>
    <row r="1041" spans="1:26" x14ac:dyDescent="0.25">
      <c r="A1041" t="s">
        <v>10</v>
      </c>
      <c r="B1041" t="s">
        <v>1063</v>
      </c>
      <c r="C1041" t="s">
        <v>1761</v>
      </c>
      <c r="D1041" t="s">
        <v>1619</v>
      </c>
      <c r="E1041" t="s">
        <v>1777</v>
      </c>
      <c r="F1041" t="s">
        <v>14</v>
      </c>
      <c r="G1041" t="s">
        <v>28</v>
      </c>
      <c r="H1041" t="s">
        <v>22</v>
      </c>
      <c r="I1041" t="s">
        <v>1781</v>
      </c>
      <c r="J1041" t="s">
        <v>1375</v>
      </c>
      <c r="K1041" t="str">
        <f t="shared" si="144"/>
        <v>1224.3</v>
      </c>
      <c r="N1041" t="str">
        <f t="shared" si="145"/>
        <v>HOLDING REGISTER</v>
      </c>
      <c r="O1041" t="str">
        <f t="shared" si="146"/>
        <v>BOOL</v>
      </c>
      <c r="P1041" t="str">
        <f t="shared" si="147"/>
        <v>TELECAMERA T14N</v>
      </c>
      <c r="R1041" t="str">
        <f t="shared" si="148"/>
        <v>disponibile</v>
      </c>
      <c r="U1041" t="str">
        <f t="shared" si="149"/>
        <v>Allarme</v>
      </c>
      <c r="V1041" t="str">
        <f t="shared" si="150"/>
        <v>DIREZIONE NORD</v>
      </c>
      <c r="W1041" t="str">
        <f t="shared" si="151"/>
        <v>GALLERIA SAN GIULIANO</v>
      </c>
      <c r="Z1041" t="str">
        <f t="shared" si="152"/>
        <v>10.220.80.16</v>
      </c>
    </row>
    <row r="1042" spans="1:26" x14ac:dyDescent="0.25">
      <c r="A1042" t="s">
        <v>10</v>
      </c>
      <c r="B1042" t="s">
        <v>1063</v>
      </c>
      <c r="C1042" t="s">
        <v>1761</v>
      </c>
      <c r="D1042" t="s">
        <v>1619</v>
      </c>
      <c r="E1042" t="s">
        <v>1777</v>
      </c>
      <c r="F1042" t="s">
        <v>14</v>
      </c>
      <c r="G1042" t="s">
        <v>28</v>
      </c>
      <c r="H1042" t="s">
        <v>22</v>
      </c>
      <c r="I1042" t="s">
        <v>1782</v>
      </c>
      <c r="J1042" t="s">
        <v>1375</v>
      </c>
      <c r="K1042" t="str">
        <f t="shared" si="144"/>
        <v>1224.4</v>
      </c>
      <c r="N1042" t="str">
        <f t="shared" si="145"/>
        <v>HOLDING REGISTER</v>
      </c>
      <c r="O1042" t="str">
        <f t="shared" si="146"/>
        <v>BOOL</v>
      </c>
      <c r="P1042" t="str">
        <f t="shared" si="147"/>
        <v>TELECAMERA T14N</v>
      </c>
      <c r="R1042" t="str">
        <f t="shared" si="148"/>
        <v>disponibile</v>
      </c>
      <c r="U1042" t="str">
        <f t="shared" si="149"/>
        <v>Allarme</v>
      </c>
      <c r="V1042" t="str">
        <f t="shared" si="150"/>
        <v>DIREZIONE NORD</v>
      </c>
      <c r="W1042" t="str">
        <f t="shared" si="151"/>
        <v>GALLERIA SAN GIULIANO</v>
      </c>
      <c r="Z1042" t="str">
        <f t="shared" si="152"/>
        <v>10.220.80.16</v>
      </c>
    </row>
    <row r="1043" spans="1:26" x14ac:dyDescent="0.25">
      <c r="A1043" t="s">
        <v>10</v>
      </c>
      <c r="B1043" t="s">
        <v>1063</v>
      </c>
      <c r="C1043" t="s">
        <v>1761</v>
      </c>
      <c r="D1043" t="s">
        <v>1619</v>
      </c>
      <c r="E1043" t="s">
        <v>1777</v>
      </c>
      <c r="F1043" t="s">
        <v>14</v>
      </c>
      <c r="G1043" t="s">
        <v>1375</v>
      </c>
      <c r="H1043" t="s">
        <v>22</v>
      </c>
      <c r="I1043" t="s">
        <v>1783</v>
      </c>
      <c r="J1043" t="s">
        <v>1375</v>
      </c>
      <c r="K1043" t="str">
        <f t="shared" si="144"/>
        <v>1224.5</v>
      </c>
      <c r="N1043" t="str">
        <f t="shared" si="145"/>
        <v>HOLDING REGISTER</v>
      </c>
      <c r="O1043" t="str">
        <f t="shared" si="146"/>
        <v>BOOL</v>
      </c>
      <c r="P1043" t="str">
        <f t="shared" si="147"/>
        <v>TELECAMERA T14N</v>
      </c>
      <c r="R1043" t="str">
        <f t="shared" si="148"/>
        <v>disponibile</v>
      </c>
      <c r="U1043" t="str">
        <f t="shared" si="149"/>
        <v>disponibile</v>
      </c>
      <c r="V1043" t="str">
        <f t="shared" si="150"/>
        <v>DIREZIONE NORD</v>
      </c>
      <c r="W1043" t="str">
        <f t="shared" si="151"/>
        <v>GALLERIA SAN GIULIANO</v>
      </c>
      <c r="Z1043" t="str">
        <f t="shared" si="152"/>
        <v>10.220.80.16</v>
      </c>
    </row>
    <row r="1044" spans="1:26" x14ac:dyDescent="0.25">
      <c r="A1044" t="s">
        <v>10</v>
      </c>
      <c r="B1044" t="s">
        <v>1063</v>
      </c>
      <c r="C1044" t="s">
        <v>1761</v>
      </c>
      <c r="D1044" t="s">
        <v>1619</v>
      </c>
      <c r="E1044" t="s">
        <v>1777</v>
      </c>
      <c r="F1044" t="s">
        <v>14</v>
      </c>
      <c r="G1044" t="s">
        <v>28</v>
      </c>
      <c r="H1044" t="s">
        <v>22</v>
      </c>
      <c r="I1044" t="s">
        <v>1784</v>
      </c>
      <c r="J1044" t="s">
        <v>1375</v>
      </c>
      <c r="K1044" t="str">
        <f t="shared" si="144"/>
        <v>1224.6</v>
      </c>
      <c r="N1044" t="str">
        <f t="shared" si="145"/>
        <v>HOLDING REGISTER</v>
      </c>
      <c r="O1044" t="str">
        <f t="shared" si="146"/>
        <v>BOOL</v>
      </c>
      <c r="P1044" t="str">
        <f t="shared" si="147"/>
        <v>TELECAMERA T14N</v>
      </c>
      <c r="R1044" t="str">
        <f t="shared" si="148"/>
        <v>disponibile</v>
      </c>
      <c r="U1044" t="str">
        <f t="shared" si="149"/>
        <v>Allarme</v>
      </c>
      <c r="V1044" t="str">
        <f t="shared" si="150"/>
        <v>DIREZIONE NORD</v>
      </c>
      <c r="W1044" t="str">
        <f t="shared" si="151"/>
        <v>GALLERIA SAN GIULIANO</v>
      </c>
      <c r="Z1044" t="str">
        <f t="shared" si="152"/>
        <v>10.220.80.16</v>
      </c>
    </row>
    <row r="1045" spans="1:26" x14ac:dyDescent="0.25">
      <c r="A1045" t="s">
        <v>10</v>
      </c>
      <c r="B1045" t="s">
        <v>1063</v>
      </c>
      <c r="C1045" t="s">
        <v>1761</v>
      </c>
      <c r="D1045" t="s">
        <v>1619</v>
      </c>
      <c r="E1045" t="s">
        <v>1777</v>
      </c>
      <c r="F1045" t="s">
        <v>14</v>
      </c>
      <c r="G1045" t="s">
        <v>28</v>
      </c>
      <c r="H1045" t="s">
        <v>22</v>
      </c>
      <c r="I1045" t="s">
        <v>1785</v>
      </c>
      <c r="J1045" t="s">
        <v>1375</v>
      </c>
      <c r="K1045" t="str">
        <f t="shared" si="144"/>
        <v>1224.7</v>
      </c>
      <c r="N1045" t="str">
        <f t="shared" si="145"/>
        <v>HOLDING REGISTER</v>
      </c>
      <c r="O1045" t="str">
        <f t="shared" si="146"/>
        <v>BOOL</v>
      </c>
      <c r="P1045" t="str">
        <f t="shared" si="147"/>
        <v>TELECAMERA T14N</v>
      </c>
      <c r="R1045" t="str">
        <f t="shared" si="148"/>
        <v>disponibile</v>
      </c>
      <c r="U1045" t="str">
        <f t="shared" si="149"/>
        <v>Allarme</v>
      </c>
      <c r="V1045" t="str">
        <f t="shared" si="150"/>
        <v>DIREZIONE NORD</v>
      </c>
      <c r="W1045" t="str">
        <f t="shared" si="151"/>
        <v>GALLERIA SAN GIULIANO</v>
      </c>
      <c r="Z1045" t="str">
        <f t="shared" si="152"/>
        <v>10.220.80.16</v>
      </c>
    </row>
    <row r="1046" spans="1:26" x14ac:dyDescent="0.25">
      <c r="A1046" t="s">
        <v>10</v>
      </c>
      <c r="B1046" t="s">
        <v>1063</v>
      </c>
      <c r="C1046" t="s">
        <v>1761</v>
      </c>
      <c r="D1046" t="s">
        <v>1619</v>
      </c>
      <c r="E1046" t="s">
        <v>1777</v>
      </c>
      <c r="F1046" t="s">
        <v>14</v>
      </c>
      <c r="G1046" t="s">
        <v>28</v>
      </c>
      <c r="H1046" t="s">
        <v>22</v>
      </c>
      <c r="I1046" t="s">
        <v>1786</v>
      </c>
      <c r="J1046" t="s">
        <v>1375</v>
      </c>
      <c r="K1046" t="str">
        <f t="shared" si="144"/>
        <v>1224.8</v>
      </c>
      <c r="N1046" t="str">
        <f t="shared" si="145"/>
        <v>HOLDING REGISTER</v>
      </c>
      <c r="O1046" t="str">
        <f t="shared" si="146"/>
        <v>BOOL</v>
      </c>
      <c r="P1046" t="str">
        <f t="shared" si="147"/>
        <v>TELECAMERA T14N</v>
      </c>
      <c r="R1046" t="str">
        <f t="shared" si="148"/>
        <v>disponibile</v>
      </c>
      <c r="U1046" t="str">
        <f t="shared" si="149"/>
        <v>Allarme</v>
      </c>
      <c r="V1046" t="str">
        <f t="shared" si="150"/>
        <v>DIREZIONE NORD</v>
      </c>
      <c r="W1046" t="str">
        <f t="shared" si="151"/>
        <v>GALLERIA SAN GIULIANO</v>
      </c>
      <c r="Z1046" t="str">
        <f t="shared" si="152"/>
        <v>10.220.80.16</v>
      </c>
    </row>
    <row r="1047" spans="1:26" x14ac:dyDescent="0.25">
      <c r="A1047" t="s">
        <v>10</v>
      </c>
      <c r="B1047" t="s">
        <v>1063</v>
      </c>
      <c r="C1047" t="s">
        <v>1761</v>
      </c>
      <c r="D1047" t="s">
        <v>1619</v>
      </c>
      <c r="E1047" t="s">
        <v>1777</v>
      </c>
      <c r="F1047" t="s">
        <v>14</v>
      </c>
      <c r="G1047" t="s">
        <v>28</v>
      </c>
      <c r="H1047" t="s">
        <v>22</v>
      </c>
      <c r="I1047" t="s">
        <v>1787</v>
      </c>
      <c r="J1047" t="s">
        <v>1375</v>
      </c>
      <c r="K1047" t="str">
        <f t="shared" si="144"/>
        <v>1224.9</v>
      </c>
      <c r="N1047" t="str">
        <f t="shared" si="145"/>
        <v>HOLDING REGISTER</v>
      </c>
      <c r="O1047" t="str">
        <f t="shared" si="146"/>
        <v>BOOL</v>
      </c>
      <c r="P1047" t="str">
        <f t="shared" si="147"/>
        <v>TELECAMERA T14N</v>
      </c>
      <c r="R1047" t="str">
        <f t="shared" si="148"/>
        <v>disponibile</v>
      </c>
      <c r="U1047" t="str">
        <f t="shared" si="149"/>
        <v>Allarme</v>
      </c>
      <c r="V1047" t="str">
        <f t="shared" si="150"/>
        <v>DIREZIONE NORD</v>
      </c>
      <c r="W1047" t="str">
        <f t="shared" si="151"/>
        <v>GALLERIA SAN GIULIANO</v>
      </c>
      <c r="Z1047" t="str">
        <f t="shared" si="152"/>
        <v>10.220.80.16</v>
      </c>
    </row>
    <row r="1048" spans="1:26" x14ac:dyDescent="0.25">
      <c r="A1048" t="s">
        <v>10</v>
      </c>
      <c r="B1048" t="s">
        <v>1063</v>
      </c>
      <c r="C1048" t="s">
        <v>1761</v>
      </c>
      <c r="D1048" t="s">
        <v>1619</v>
      </c>
      <c r="E1048" t="s">
        <v>1777</v>
      </c>
      <c r="F1048" t="s">
        <v>14</v>
      </c>
      <c r="G1048" t="s">
        <v>1375</v>
      </c>
      <c r="H1048" t="s">
        <v>22</v>
      </c>
      <c r="I1048" t="s">
        <v>1788</v>
      </c>
      <c r="J1048" t="s">
        <v>1375</v>
      </c>
      <c r="K1048" t="str">
        <f t="shared" si="144"/>
        <v>1224.10</v>
      </c>
      <c r="N1048" t="str">
        <f t="shared" si="145"/>
        <v>HOLDING REGISTER</v>
      </c>
      <c r="O1048" t="str">
        <f t="shared" si="146"/>
        <v>BOOL</v>
      </c>
      <c r="P1048" t="str">
        <f t="shared" si="147"/>
        <v>TELECAMERA T14N</v>
      </c>
      <c r="R1048" t="str">
        <f t="shared" si="148"/>
        <v>disponibile</v>
      </c>
      <c r="U1048" t="str">
        <f t="shared" si="149"/>
        <v>disponibile</v>
      </c>
      <c r="V1048" t="str">
        <f t="shared" si="150"/>
        <v>DIREZIONE NORD</v>
      </c>
      <c r="W1048" t="str">
        <f t="shared" si="151"/>
        <v>GALLERIA SAN GIULIANO</v>
      </c>
      <c r="Z1048" t="str">
        <f t="shared" si="152"/>
        <v>10.220.80.16</v>
      </c>
    </row>
    <row r="1049" spans="1:26" x14ac:dyDescent="0.25">
      <c r="A1049" t="s">
        <v>10</v>
      </c>
      <c r="B1049" t="s">
        <v>1063</v>
      </c>
      <c r="C1049" t="s">
        <v>1761</v>
      </c>
      <c r="D1049" t="s">
        <v>1619</v>
      </c>
      <c r="E1049" t="s">
        <v>1777</v>
      </c>
      <c r="F1049" t="s">
        <v>14</v>
      </c>
      <c r="G1049" t="s">
        <v>1375</v>
      </c>
      <c r="H1049" t="s">
        <v>22</v>
      </c>
      <c r="I1049" t="s">
        <v>1789</v>
      </c>
      <c r="J1049" t="s">
        <v>1375</v>
      </c>
      <c r="K1049" t="str">
        <f t="shared" si="144"/>
        <v>1224.11</v>
      </c>
      <c r="N1049" t="str">
        <f t="shared" si="145"/>
        <v>HOLDING REGISTER</v>
      </c>
      <c r="O1049" t="str">
        <f t="shared" si="146"/>
        <v>BOOL</v>
      </c>
      <c r="P1049" t="str">
        <f t="shared" si="147"/>
        <v>TELECAMERA T14N</v>
      </c>
      <c r="R1049" t="str">
        <f t="shared" si="148"/>
        <v>disponibile</v>
      </c>
      <c r="U1049" t="str">
        <f t="shared" si="149"/>
        <v>disponibile</v>
      </c>
      <c r="V1049" t="str">
        <f t="shared" si="150"/>
        <v>DIREZIONE NORD</v>
      </c>
      <c r="W1049" t="str">
        <f t="shared" si="151"/>
        <v>GALLERIA SAN GIULIANO</v>
      </c>
      <c r="Z1049" t="str">
        <f t="shared" si="152"/>
        <v>10.220.80.16</v>
      </c>
    </row>
    <row r="1050" spans="1:26" x14ac:dyDescent="0.25">
      <c r="A1050" t="s">
        <v>10</v>
      </c>
      <c r="B1050" t="s">
        <v>1063</v>
      </c>
      <c r="C1050" t="s">
        <v>1761</v>
      </c>
      <c r="D1050" t="s">
        <v>1619</v>
      </c>
      <c r="E1050" t="s">
        <v>1777</v>
      </c>
      <c r="F1050" t="s">
        <v>14</v>
      </c>
      <c r="G1050" t="s">
        <v>1375</v>
      </c>
      <c r="H1050" t="s">
        <v>22</v>
      </c>
      <c r="I1050" t="s">
        <v>1790</v>
      </c>
      <c r="J1050" t="s">
        <v>1375</v>
      </c>
      <c r="K1050" t="str">
        <f t="shared" si="144"/>
        <v>1224.12</v>
      </c>
      <c r="N1050" t="str">
        <f t="shared" si="145"/>
        <v>HOLDING REGISTER</v>
      </c>
      <c r="O1050" t="str">
        <f t="shared" si="146"/>
        <v>BOOL</v>
      </c>
      <c r="P1050" t="str">
        <f t="shared" si="147"/>
        <v>TELECAMERA T14N</v>
      </c>
      <c r="R1050" t="str">
        <f t="shared" si="148"/>
        <v>disponibile</v>
      </c>
      <c r="U1050" t="str">
        <f t="shared" si="149"/>
        <v>disponibile</v>
      </c>
      <c r="V1050" t="str">
        <f t="shared" si="150"/>
        <v>DIREZIONE NORD</v>
      </c>
      <c r="W1050" t="str">
        <f t="shared" si="151"/>
        <v>GALLERIA SAN GIULIANO</v>
      </c>
      <c r="Z1050" t="str">
        <f t="shared" si="152"/>
        <v>10.220.80.16</v>
      </c>
    </row>
    <row r="1051" spans="1:26" x14ac:dyDescent="0.25">
      <c r="A1051" t="s">
        <v>10</v>
      </c>
      <c r="B1051" t="s">
        <v>1063</v>
      </c>
      <c r="C1051" t="s">
        <v>1761</v>
      </c>
      <c r="D1051" t="s">
        <v>1619</v>
      </c>
      <c r="E1051" t="s">
        <v>1777</v>
      </c>
      <c r="F1051" t="s">
        <v>14</v>
      </c>
      <c r="G1051" t="s">
        <v>1375</v>
      </c>
      <c r="H1051" t="s">
        <v>22</v>
      </c>
      <c r="I1051" t="s">
        <v>1791</v>
      </c>
      <c r="J1051" t="s">
        <v>1375</v>
      </c>
      <c r="K1051" t="str">
        <f t="shared" si="144"/>
        <v>1224.13</v>
      </c>
      <c r="N1051" t="str">
        <f t="shared" si="145"/>
        <v>HOLDING REGISTER</v>
      </c>
      <c r="O1051" t="str">
        <f t="shared" si="146"/>
        <v>BOOL</v>
      </c>
      <c r="P1051" t="str">
        <f t="shared" si="147"/>
        <v>TELECAMERA T14N</v>
      </c>
      <c r="R1051" t="str">
        <f t="shared" si="148"/>
        <v>disponibile</v>
      </c>
      <c r="U1051" t="str">
        <f t="shared" si="149"/>
        <v>disponibile</v>
      </c>
      <c r="V1051" t="str">
        <f t="shared" si="150"/>
        <v>DIREZIONE NORD</v>
      </c>
      <c r="W1051" t="str">
        <f t="shared" si="151"/>
        <v>GALLERIA SAN GIULIANO</v>
      </c>
      <c r="Z1051" t="str">
        <f t="shared" si="152"/>
        <v>10.220.80.16</v>
      </c>
    </row>
    <row r="1052" spans="1:26" x14ac:dyDescent="0.25">
      <c r="A1052" t="s">
        <v>10</v>
      </c>
      <c r="B1052" t="s">
        <v>1063</v>
      </c>
      <c r="C1052" t="s">
        <v>1761</v>
      </c>
      <c r="D1052" t="s">
        <v>1619</v>
      </c>
      <c r="E1052" t="s">
        <v>1777</v>
      </c>
      <c r="F1052" t="s">
        <v>14</v>
      </c>
      <c r="G1052" t="s">
        <v>1375</v>
      </c>
      <c r="H1052" t="s">
        <v>22</v>
      </c>
      <c r="I1052" t="s">
        <v>1792</v>
      </c>
      <c r="J1052" t="s">
        <v>1375</v>
      </c>
      <c r="K1052" t="str">
        <f t="shared" si="144"/>
        <v>1224.14</v>
      </c>
      <c r="N1052" t="str">
        <f t="shared" si="145"/>
        <v>HOLDING REGISTER</v>
      </c>
      <c r="O1052" t="str">
        <f t="shared" si="146"/>
        <v>BOOL</v>
      </c>
      <c r="P1052" t="str">
        <f t="shared" si="147"/>
        <v>TELECAMERA T14N</v>
      </c>
      <c r="R1052" t="str">
        <f t="shared" si="148"/>
        <v>disponibile</v>
      </c>
      <c r="U1052" t="str">
        <f t="shared" si="149"/>
        <v>disponibile</v>
      </c>
      <c r="V1052" t="str">
        <f t="shared" si="150"/>
        <v>DIREZIONE NORD</v>
      </c>
      <c r="W1052" t="str">
        <f t="shared" si="151"/>
        <v>GALLERIA SAN GIULIANO</v>
      </c>
      <c r="Z1052" t="str">
        <f t="shared" si="152"/>
        <v>10.220.80.16</v>
      </c>
    </row>
    <row r="1053" spans="1:26" x14ac:dyDescent="0.25">
      <c r="A1053" t="s">
        <v>10</v>
      </c>
      <c r="B1053" t="s">
        <v>1063</v>
      </c>
      <c r="C1053" t="s">
        <v>1761</v>
      </c>
      <c r="D1053" t="s">
        <v>1619</v>
      </c>
      <c r="E1053" t="s">
        <v>1777</v>
      </c>
      <c r="F1053" t="s">
        <v>14</v>
      </c>
      <c r="G1053" t="s">
        <v>1375</v>
      </c>
      <c r="H1053" t="s">
        <v>22</v>
      </c>
      <c r="I1053" t="s">
        <v>1793</v>
      </c>
      <c r="J1053" t="s">
        <v>1375</v>
      </c>
      <c r="K1053" t="str">
        <f t="shared" si="144"/>
        <v>1224.15</v>
      </c>
      <c r="N1053" t="str">
        <f t="shared" si="145"/>
        <v>HOLDING REGISTER</v>
      </c>
      <c r="O1053" t="str">
        <f t="shared" si="146"/>
        <v>BOOL</v>
      </c>
      <c r="P1053" t="str">
        <f t="shared" si="147"/>
        <v>TELECAMERA T14N</v>
      </c>
      <c r="R1053" t="str">
        <f t="shared" si="148"/>
        <v>disponibile</v>
      </c>
      <c r="U1053" t="str">
        <f t="shared" si="149"/>
        <v>disponibile</v>
      </c>
      <c r="V1053" t="str">
        <f t="shared" si="150"/>
        <v>DIREZIONE NORD</v>
      </c>
      <c r="W1053" t="str">
        <f t="shared" si="151"/>
        <v>GALLERIA SAN GIULIANO</v>
      </c>
      <c r="Z1053" t="str">
        <f t="shared" si="152"/>
        <v>10.220.80.16</v>
      </c>
    </row>
    <row r="1054" spans="1:26" x14ac:dyDescent="0.25">
      <c r="A1054" t="s">
        <v>10</v>
      </c>
      <c r="B1054" t="s">
        <v>1063</v>
      </c>
      <c r="C1054" t="s">
        <v>1761</v>
      </c>
      <c r="D1054" t="s">
        <v>1619</v>
      </c>
      <c r="E1054" t="s">
        <v>1794</v>
      </c>
      <c r="F1054" t="s">
        <v>14</v>
      </c>
      <c r="G1054" t="s">
        <v>28</v>
      </c>
      <c r="H1054" t="s">
        <v>22</v>
      </c>
      <c r="I1054" t="s">
        <v>1795</v>
      </c>
      <c r="J1054" t="s">
        <v>1622</v>
      </c>
      <c r="K1054" t="str">
        <f t="shared" si="144"/>
        <v>1225.0</v>
      </c>
      <c r="N1054" t="str">
        <f t="shared" si="145"/>
        <v>HOLDING REGISTER</v>
      </c>
      <c r="O1054" t="str">
        <f t="shared" si="146"/>
        <v>BOOL</v>
      </c>
      <c r="P1054" t="str">
        <f t="shared" si="147"/>
        <v>TELECAMERA T15N</v>
      </c>
      <c r="R1054" t="str">
        <f t="shared" si="148"/>
        <v>ALLARMI TELECAMERA ESCLUSI</v>
      </c>
      <c r="U1054" t="str">
        <f t="shared" si="149"/>
        <v>Allarme</v>
      </c>
      <c r="V1054" t="str">
        <f t="shared" si="150"/>
        <v>DIREZIONE NORD</v>
      </c>
      <c r="W1054" t="str">
        <f t="shared" si="151"/>
        <v>GALLERIA SAN GIULIANO</v>
      </c>
      <c r="Z1054" t="str">
        <f t="shared" si="152"/>
        <v>10.220.80.16</v>
      </c>
    </row>
    <row r="1055" spans="1:26" x14ac:dyDescent="0.25">
      <c r="A1055" t="s">
        <v>10</v>
      </c>
      <c r="B1055" t="s">
        <v>1063</v>
      </c>
      <c r="C1055" t="s">
        <v>1761</v>
      </c>
      <c r="D1055" t="s">
        <v>1619</v>
      </c>
      <c r="E1055" t="s">
        <v>1794</v>
      </c>
      <c r="F1055" t="s">
        <v>14</v>
      </c>
      <c r="G1055" t="s">
        <v>28</v>
      </c>
      <c r="H1055" t="s">
        <v>22</v>
      </c>
      <c r="I1055" t="s">
        <v>1796</v>
      </c>
      <c r="J1055" t="s">
        <v>1624</v>
      </c>
      <c r="K1055" t="str">
        <f t="shared" si="144"/>
        <v>1225.1</v>
      </c>
      <c r="N1055" t="str">
        <f t="shared" si="145"/>
        <v>HOLDING REGISTER</v>
      </c>
      <c r="O1055" t="str">
        <f t="shared" si="146"/>
        <v>BOOL</v>
      </c>
      <c r="P1055" t="str">
        <f t="shared" si="147"/>
        <v>TELECAMERA T15N</v>
      </c>
      <c r="R1055" t="str">
        <f t="shared" si="148"/>
        <v>IN MANUTENZIONE ALLARME FUMO</v>
      </c>
      <c r="U1055" t="str">
        <f t="shared" si="149"/>
        <v>Allarme</v>
      </c>
      <c r="V1055" t="str">
        <f t="shared" si="150"/>
        <v>DIREZIONE NORD</v>
      </c>
      <c r="W1055" t="str">
        <f t="shared" si="151"/>
        <v>GALLERIA SAN GIULIANO</v>
      </c>
      <c r="Z1055" t="str">
        <f t="shared" si="152"/>
        <v>10.220.80.16</v>
      </c>
    </row>
    <row r="1056" spans="1:26" x14ac:dyDescent="0.25">
      <c r="A1056" t="s">
        <v>10</v>
      </c>
      <c r="B1056" t="s">
        <v>1063</v>
      </c>
      <c r="C1056" t="s">
        <v>1761</v>
      </c>
      <c r="D1056" t="s">
        <v>1619</v>
      </c>
      <c r="E1056" t="s">
        <v>1794</v>
      </c>
      <c r="F1056" t="s">
        <v>14</v>
      </c>
      <c r="G1056" t="s">
        <v>1375</v>
      </c>
      <c r="H1056" t="s">
        <v>22</v>
      </c>
      <c r="I1056" t="s">
        <v>1797</v>
      </c>
      <c r="J1056" t="s">
        <v>1626</v>
      </c>
      <c r="K1056" t="str">
        <f t="shared" si="144"/>
        <v>1225.2</v>
      </c>
      <c r="N1056" t="str">
        <f t="shared" si="145"/>
        <v>HOLDING REGISTER</v>
      </c>
      <c r="O1056" t="str">
        <f t="shared" si="146"/>
        <v>BOOL</v>
      </c>
      <c r="P1056" t="str">
        <f t="shared" si="147"/>
        <v>TELECAMERA T15N</v>
      </c>
      <c r="R1056" t="str">
        <f t="shared" si="148"/>
        <v>IN MANUTENZIONE ALLARMI TRAFFICO</v>
      </c>
      <c r="U1056" t="str">
        <f t="shared" si="149"/>
        <v>disponibile</v>
      </c>
      <c r="V1056" t="str">
        <f t="shared" si="150"/>
        <v>DIREZIONE NORD</v>
      </c>
      <c r="W1056" t="str">
        <f t="shared" si="151"/>
        <v>GALLERIA SAN GIULIANO</v>
      </c>
      <c r="Z1056" t="str">
        <f t="shared" si="152"/>
        <v>10.220.80.16</v>
      </c>
    </row>
    <row r="1057" spans="1:26" x14ac:dyDescent="0.25">
      <c r="A1057" t="s">
        <v>10</v>
      </c>
      <c r="B1057" t="s">
        <v>1063</v>
      </c>
      <c r="C1057" t="s">
        <v>1761</v>
      </c>
      <c r="D1057" t="s">
        <v>1619</v>
      </c>
      <c r="E1057" t="s">
        <v>1794</v>
      </c>
      <c r="F1057" t="s">
        <v>14</v>
      </c>
      <c r="G1057" t="s">
        <v>28</v>
      </c>
      <c r="H1057" t="s">
        <v>22</v>
      </c>
      <c r="I1057" t="s">
        <v>1798</v>
      </c>
      <c r="J1057" t="s">
        <v>1375</v>
      </c>
      <c r="K1057" t="str">
        <f t="shared" si="144"/>
        <v>1225.3</v>
      </c>
      <c r="N1057" t="str">
        <f t="shared" si="145"/>
        <v>HOLDING REGISTER</v>
      </c>
      <c r="O1057" t="str">
        <f t="shared" si="146"/>
        <v>BOOL</v>
      </c>
      <c r="P1057" t="str">
        <f t="shared" si="147"/>
        <v>TELECAMERA T15N</v>
      </c>
      <c r="R1057" t="str">
        <f t="shared" si="148"/>
        <v>disponibile</v>
      </c>
      <c r="U1057" t="str">
        <f t="shared" si="149"/>
        <v>Allarme</v>
      </c>
      <c r="V1057" t="str">
        <f t="shared" si="150"/>
        <v>DIREZIONE NORD</v>
      </c>
      <c r="W1057" t="str">
        <f t="shared" si="151"/>
        <v>GALLERIA SAN GIULIANO</v>
      </c>
      <c r="Z1057" t="str">
        <f t="shared" si="152"/>
        <v>10.220.80.16</v>
      </c>
    </row>
    <row r="1058" spans="1:26" x14ac:dyDescent="0.25">
      <c r="A1058" t="s">
        <v>10</v>
      </c>
      <c r="B1058" t="s">
        <v>1063</v>
      </c>
      <c r="C1058" t="s">
        <v>1761</v>
      </c>
      <c r="D1058" t="s">
        <v>1619</v>
      </c>
      <c r="E1058" t="s">
        <v>1794</v>
      </c>
      <c r="F1058" t="s">
        <v>14</v>
      </c>
      <c r="G1058" t="s">
        <v>28</v>
      </c>
      <c r="H1058" t="s">
        <v>22</v>
      </c>
      <c r="I1058" t="s">
        <v>1799</v>
      </c>
      <c r="J1058" t="s">
        <v>1375</v>
      </c>
      <c r="K1058" t="str">
        <f t="shared" si="144"/>
        <v>1225.4</v>
      </c>
      <c r="N1058" t="str">
        <f t="shared" si="145"/>
        <v>HOLDING REGISTER</v>
      </c>
      <c r="O1058" t="str">
        <f t="shared" si="146"/>
        <v>BOOL</v>
      </c>
      <c r="P1058" t="str">
        <f t="shared" si="147"/>
        <v>TELECAMERA T15N</v>
      </c>
      <c r="R1058" t="str">
        <f t="shared" si="148"/>
        <v>disponibile</v>
      </c>
      <c r="U1058" t="str">
        <f t="shared" si="149"/>
        <v>Allarme</v>
      </c>
      <c r="V1058" t="str">
        <f t="shared" si="150"/>
        <v>DIREZIONE NORD</v>
      </c>
      <c r="W1058" t="str">
        <f t="shared" si="151"/>
        <v>GALLERIA SAN GIULIANO</v>
      </c>
      <c r="Z1058" t="str">
        <f t="shared" si="152"/>
        <v>10.220.80.16</v>
      </c>
    </row>
    <row r="1059" spans="1:26" x14ac:dyDescent="0.25">
      <c r="A1059" t="s">
        <v>10</v>
      </c>
      <c r="B1059" t="s">
        <v>1063</v>
      </c>
      <c r="C1059" t="s">
        <v>1761</v>
      </c>
      <c r="D1059" t="s">
        <v>1619</v>
      </c>
      <c r="E1059" t="s">
        <v>1794</v>
      </c>
      <c r="F1059" t="s">
        <v>14</v>
      </c>
      <c r="G1059" t="s">
        <v>1375</v>
      </c>
      <c r="H1059" t="s">
        <v>22</v>
      </c>
      <c r="I1059" t="s">
        <v>1800</v>
      </c>
      <c r="J1059" t="s">
        <v>1375</v>
      </c>
      <c r="K1059" t="str">
        <f t="shared" si="144"/>
        <v>1225.5</v>
      </c>
      <c r="N1059" t="str">
        <f t="shared" si="145"/>
        <v>HOLDING REGISTER</v>
      </c>
      <c r="O1059" t="str">
        <f t="shared" si="146"/>
        <v>BOOL</v>
      </c>
      <c r="P1059" t="str">
        <f t="shared" si="147"/>
        <v>TELECAMERA T15N</v>
      </c>
      <c r="R1059" t="str">
        <f t="shared" si="148"/>
        <v>disponibile</v>
      </c>
      <c r="U1059" t="str">
        <f t="shared" si="149"/>
        <v>disponibile</v>
      </c>
      <c r="V1059" t="str">
        <f t="shared" si="150"/>
        <v>DIREZIONE NORD</v>
      </c>
      <c r="W1059" t="str">
        <f t="shared" si="151"/>
        <v>GALLERIA SAN GIULIANO</v>
      </c>
      <c r="Z1059" t="str">
        <f t="shared" si="152"/>
        <v>10.220.80.16</v>
      </c>
    </row>
    <row r="1060" spans="1:26" x14ac:dyDescent="0.25">
      <c r="A1060" t="s">
        <v>10</v>
      </c>
      <c r="B1060" t="s">
        <v>1063</v>
      </c>
      <c r="C1060" t="s">
        <v>1761</v>
      </c>
      <c r="D1060" t="s">
        <v>1619</v>
      </c>
      <c r="E1060" t="s">
        <v>1794</v>
      </c>
      <c r="F1060" t="s">
        <v>14</v>
      </c>
      <c r="G1060" t="s">
        <v>28</v>
      </c>
      <c r="H1060" t="s">
        <v>22</v>
      </c>
      <c r="I1060" t="s">
        <v>1801</v>
      </c>
      <c r="J1060" t="s">
        <v>1375</v>
      </c>
      <c r="K1060" t="str">
        <f t="shared" si="144"/>
        <v>1225.6</v>
      </c>
      <c r="N1060" t="str">
        <f t="shared" si="145"/>
        <v>HOLDING REGISTER</v>
      </c>
      <c r="O1060" t="str">
        <f t="shared" si="146"/>
        <v>BOOL</v>
      </c>
      <c r="P1060" t="str">
        <f t="shared" si="147"/>
        <v>TELECAMERA T15N</v>
      </c>
      <c r="R1060" t="str">
        <f t="shared" si="148"/>
        <v>disponibile</v>
      </c>
      <c r="U1060" t="str">
        <f t="shared" si="149"/>
        <v>Allarme</v>
      </c>
      <c r="V1060" t="str">
        <f t="shared" si="150"/>
        <v>DIREZIONE NORD</v>
      </c>
      <c r="W1060" t="str">
        <f t="shared" si="151"/>
        <v>GALLERIA SAN GIULIANO</v>
      </c>
      <c r="Z1060" t="str">
        <f t="shared" si="152"/>
        <v>10.220.80.16</v>
      </c>
    </row>
    <row r="1061" spans="1:26" x14ac:dyDescent="0.25">
      <c r="A1061" t="s">
        <v>10</v>
      </c>
      <c r="B1061" t="s">
        <v>1063</v>
      </c>
      <c r="C1061" t="s">
        <v>1761</v>
      </c>
      <c r="D1061" t="s">
        <v>1619</v>
      </c>
      <c r="E1061" t="s">
        <v>1794</v>
      </c>
      <c r="F1061" t="s">
        <v>14</v>
      </c>
      <c r="G1061" t="s">
        <v>28</v>
      </c>
      <c r="H1061" t="s">
        <v>22</v>
      </c>
      <c r="I1061" t="s">
        <v>1802</v>
      </c>
      <c r="J1061" t="s">
        <v>1375</v>
      </c>
      <c r="K1061" t="str">
        <f t="shared" si="144"/>
        <v>1225.7</v>
      </c>
      <c r="N1061" t="str">
        <f t="shared" si="145"/>
        <v>HOLDING REGISTER</v>
      </c>
      <c r="O1061" t="str">
        <f t="shared" si="146"/>
        <v>BOOL</v>
      </c>
      <c r="P1061" t="str">
        <f t="shared" si="147"/>
        <v>TELECAMERA T15N</v>
      </c>
      <c r="R1061" t="str">
        <f t="shared" si="148"/>
        <v>disponibile</v>
      </c>
      <c r="U1061" t="str">
        <f t="shared" si="149"/>
        <v>Allarme</v>
      </c>
      <c r="V1061" t="str">
        <f t="shared" si="150"/>
        <v>DIREZIONE NORD</v>
      </c>
      <c r="W1061" t="str">
        <f t="shared" si="151"/>
        <v>GALLERIA SAN GIULIANO</v>
      </c>
      <c r="Z1061" t="str">
        <f t="shared" si="152"/>
        <v>10.220.80.16</v>
      </c>
    </row>
    <row r="1062" spans="1:26" x14ac:dyDescent="0.25">
      <c r="A1062" t="s">
        <v>10</v>
      </c>
      <c r="B1062" t="s">
        <v>1063</v>
      </c>
      <c r="C1062" t="s">
        <v>1761</v>
      </c>
      <c r="D1062" t="s">
        <v>1619</v>
      </c>
      <c r="E1062" t="s">
        <v>1794</v>
      </c>
      <c r="F1062" t="s">
        <v>14</v>
      </c>
      <c r="G1062" t="s">
        <v>28</v>
      </c>
      <c r="H1062" t="s">
        <v>22</v>
      </c>
      <c r="I1062" t="s">
        <v>1803</v>
      </c>
      <c r="J1062" t="s">
        <v>1375</v>
      </c>
      <c r="K1062" t="str">
        <f t="shared" si="144"/>
        <v>1225.8</v>
      </c>
      <c r="N1062" t="str">
        <f t="shared" si="145"/>
        <v>HOLDING REGISTER</v>
      </c>
      <c r="O1062" t="str">
        <f t="shared" si="146"/>
        <v>BOOL</v>
      </c>
      <c r="P1062" t="str">
        <f t="shared" si="147"/>
        <v>TELECAMERA T15N</v>
      </c>
      <c r="R1062" t="str">
        <f t="shared" si="148"/>
        <v>disponibile</v>
      </c>
      <c r="U1062" t="str">
        <f t="shared" si="149"/>
        <v>Allarme</v>
      </c>
      <c r="V1062" t="str">
        <f t="shared" si="150"/>
        <v>DIREZIONE NORD</v>
      </c>
      <c r="W1062" t="str">
        <f t="shared" si="151"/>
        <v>GALLERIA SAN GIULIANO</v>
      </c>
      <c r="Z1062" t="str">
        <f t="shared" si="152"/>
        <v>10.220.80.16</v>
      </c>
    </row>
    <row r="1063" spans="1:26" x14ac:dyDescent="0.25">
      <c r="A1063" t="s">
        <v>10</v>
      </c>
      <c r="B1063" t="s">
        <v>1063</v>
      </c>
      <c r="C1063" t="s">
        <v>1761</v>
      </c>
      <c r="D1063" t="s">
        <v>1619</v>
      </c>
      <c r="E1063" t="s">
        <v>1794</v>
      </c>
      <c r="F1063" t="s">
        <v>14</v>
      </c>
      <c r="G1063" t="s">
        <v>28</v>
      </c>
      <c r="H1063" t="s">
        <v>22</v>
      </c>
      <c r="I1063" t="s">
        <v>1804</v>
      </c>
      <c r="J1063" t="s">
        <v>1375</v>
      </c>
      <c r="K1063" t="str">
        <f t="shared" si="144"/>
        <v>1225.9</v>
      </c>
      <c r="N1063" t="str">
        <f t="shared" si="145"/>
        <v>HOLDING REGISTER</v>
      </c>
      <c r="O1063" t="str">
        <f t="shared" si="146"/>
        <v>BOOL</v>
      </c>
      <c r="P1063" t="str">
        <f t="shared" si="147"/>
        <v>TELECAMERA T15N</v>
      </c>
      <c r="R1063" t="str">
        <f t="shared" si="148"/>
        <v>disponibile</v>
      </c>
      <c r="U1063" t="str">
        <f t="shared" si="149"/>
        <v>Allarme</v>
      </c>
      <c r="V1063" t="str">
        <f t="shared" si="150"/>
        <v>DIREZIONE NORD</v>
      </c>
      <c r="W1063" t="str">
        <f t="shared" si="151"/>
        <v>GALLERIA SAN GIULIANO</v>
      </c>
      <c r="Z1063" t="str">
        <f t="shared" si="152"/>
        <v>10.220.80.16</v>
      </c>
    </row>
    <row r="1064" spans="1:26" x14ac:dyDescent="0.25">
      <c r="A1064" t="s">
        <v>10</v>
      </c>
      <c r="B1064" t="s">
        <v>1063</v>
      </c>
      <c r="C1064" t="s">
        <v>1761</v>
      </c>
      <c r="D1064" t="s">
        <v>1619</v>
      </c>
      <c r="E1064" t="s">
        <v>1794</v>
      </c>
      <c r="F1064" t="s">
        <v>14</v>
      </c>
      <c r="G1064" t="s">
        <v>1375</v>
      </c>
      <c r="H1064" t="s">
        <v>22</v>
      </c>
      <c r="I1064" t="s">
        <v>1805</v>
      </c>
      <c r="J1064" t="s">
        <v>1375</v>
      </c>
      <c r="K1064" t="str">
        <f t="shared" si="144"/>
        <v>1225.10</v>
      </c>
      <c r="N1064" t="str">
        <f t="shared" si="145"/>
        <v>HOLDING REGISTER</v>
      </c>
      <c r="O1064" t="str">
        <f t="shared" si="146"/>
        <v>BOOL</v>
      </c>
      <c r="P1064" t="str">
        <f t="shared" si="147"/>
        <v>TELECAMERA T15N</v>
      </c>
      <c r="R1064" t="str">
        <f t="shared" si="148"/>
        <v>disponibile</v>
      </c>
      <c r="U1064" t="str">
        <f t="shared" si="149"/>
        <v>disponibile</v>
      </c>
      <c r="V1064" t="str">
        <f t="shared" si="150"/>
        <v>DIREZIONE NORD</v>
      </c>
      <c r="W1064" t="str">
        <f t="shared" si="151"/>
        <v>GALLERIA SAN GIULIANO</v>
      </c>
      <c r="Z1064" t="str">
        <f t="shared" si="152"/>
        <v>10.220.80.16</v>
      </c>
    </row>
    <row r="1065" spans="1:26" x14ac:dyDescent="0.25">
      <c r="A1065" t="s">
        <v>10</v>
      </c>
      <c r="B1065" t="s">
        <v>1063</v>
      </c>
      <c r="C1065" t="s">
        <v>1761</v>
      </c>
      <c r="D1065" t="s">
        <v>1619</v>
      </c>
      <c r="E1065" t="s">
        <v>1794</v>
      </c>
      <c r="F1065" t="s">
        <v>14</v>
      </c>
      <c r="G1065" t="s">
        <v>1375</v>
      </c>
      <c r="H1065" t="s">
        <v>22</v>
      </c>
      <c r="I1065" t="s">
        <v>1806</v>
      </c>
      <c r="J1065" t="s">
        <v>1375</v>
      </c>
      <c r="K1065" t="str">
        <f t="shared" si="144"/>
        <v>1225.11</v>
      </c>
      <c r="N1065" t="str">
        <f t="shared" si="145"/>
        <v>HOLDING REGISTER</v>
      </c>
      <c r="O1065" t="str">
        <f t="shared" si="146"/>
        <v>BOOL</v>
      </c>
      <c r="P1065" t="str">
        <f t="shared" si="147"/>
        <v>TELECAMERA T15N</v>
      </c>
      <c r="R1065" t="str">
        <f t="shared" si="148"/>
        <v>disponibile</v>
      </c>
      <c r="U1065" t="str">
        <f t="shared" si="149"/>
        <v>disponibile</v>
      </c>
      <c r="V1065" t="str">
        <f t="shared" si="150"/>
        <v>DIREZIONE NORD</v>
      </c>
      <c r="W1065" t="str">
        <f t="shared" si="151"/>
        <v>GALLERIA SAN GIULIANO</v>
      </c>
      <c r="Z1065" t="str">
        <f t="shared" si="152"/>
        <v>10.220.80.16</v>
      </c>
    </row>
    <row r="1066" spans="1:26" x14ac:dyDescent="0.25">
      <c r="A1066" t="s">
        <v>10</v>
      </c>
      <c r="B1066" t="s">
        <v>1063</v>
      </c>
      <c r="C1066" t="s">
        <v>1761</v>
      </c>
      <c r="D1066" t="s">
        <v>1619</v>
      </c>
      <c r="E1066" t="s">
        <v>1794</v>
      </c>
      <c r="F1066" t="s">
        <v>14</v>
      </c>
      <c r="G1066" t="s">
        <v>1375</v>
      </c>
      <c r="H1066" t="s">
        <v>22</v>
      </c>
      <c r="I1066" t="s">
        <v>1807</v>
      </c>
      <c r="J1066" t="s">
        <v>1375</v>
      </c>
      <c r="K1066" t="str">
        <f t="shared" si="144"/>
        <v>1225.12</v>
      </c>
      <c r="N1066" t="str">
        <f t="shared" si="145"/>
        <v>HOLDING REGISTER</v>
      </c>
      <c r="O1066" t="str">
        <f t="shared" si="146"/>
        <v>BOOL</v>
      </c>
      <c r="P1066" t="str">
        <f t="shared" si="147"/>
        <v>TELECAMERA T15N</v>
      </c>
      <c r="R1066" t="str">
        <f t="shared" si="148"/>
        <v>disponibile</v>
      </c>
      <c r="U1066" t="str">
        <f t="shared" si="149"/>
        <v>disponibile</v>
      </c>
      <c r="V1066" t="str">
        <f t="shared" si="150"/>
        <v>DIREZIONE NORD</v>
      </c>
      <c r="W1066" t="str">
        <f t="shared" si="151"/>
        <v>GALLERIA SAN GIULIANO</v>
      </c>
      <c r="Z1066" t="str">
        <f t="shared" si="152"/>
        <v>10.220.80.16</v>
      </c>
    </row>
    <row r="1067" spans="1:26" x14ac:dyDescent="0.25">
      <c r="A1067" t="s">
        <v>10</v>
      </c>
      <c r="B1067" t="s">
        <v>1063</v>
      </c>
      <c r="C1067" t="s">
        <v>1761</v>
      </c>
      <c r="D1067" t="s">
        <v>1619</v>
      </c>
      <c r="E1067" t="s">
        <v>1794</v>
      </c>
      <c r="F1067" t="s">
        <v>14</v>
      </c>
      <c r="G1067" t="s">
        <v>1375</v>
      </c>
      <c r="H1067" t="s">
        <v>22</v>
      </c>
      <c r="I1067" t="s">
        <v>1808</v>
      </c>
      <c r="J1067" t="s">
        <v>1375</v>
      </c>
      <c r="K1067" t="str">
        <f t="shared" si="144"/>
        <v>1225.13</v>
      </c>
      <c r="N1067" t="str">
        <f t="shared" si="145"/>
        <v>HOLDING REGISTER</v>
      </c>
      <c r="O1067" t="str">
        <f t="shared" si="146"/>
        <v>BOOL</v>
      </c>
      <c r="P1067" t="str">
        <f t="shared" si="147"/>
        <v>TELECAMERA T15N</v>
      </c>
      <c r="R1067" t="str">
        <f t="shared" si="148"/>
        <v>disponibile</v>
      </c>
      <c r="U1067" t="str">
        <f t="shared" si="149"/>
        <v>disponibile</v>
      </c>
      <c r="V1067" t="str">
        <f t="shared" si="150"/>
        <v>DIREZIONE NORD</v>
      </c>
      <c r="W1067" t="str">
        <f t="shared" si="151"/>
        <v>GALLERIA SAN GIULIANO</v>
      </c>
      <c r="Z1067" t="str">
        <f t="shared" si="152"/>
        <v>10.220.80.16</v>
      </c>
    </row>
    <row r="1068" spans="1:26" x14ac:dyDescent="0.25">
      <c r="A1068" t="s">
        <v>10</v>
      </c>
      <c r="B1068" t="s">
        <v>1063</v>
      </c>
      <c r="C1068" t="s">
        <v>1761</v>
      </c>
      <c r="D1068" t="s">
        <v>1619</v>
      </c>
      <c r="E1068" t="s">
        <v>1794</v>
      </c>
      <c r="F1068" t="s">
        <v>14</v>
      </c>
      <c r="G1068" t="s">
        <v>1375</v>
      </c>
      <c r="H1068" t="s">
        <v>22</v>
      </c>
      <c r="I1068" t="s">
        <v>1809</v>
      </c>
      <c r="J1068" t="s">
        <v>1375</v>
      </c>
      <c r="K1068" t="str">
        <f t="shared" si="144"/>
        <v>1225.14</v>
      </c>
      <c r="N1068" t="str">
        <f t="shared" si="145"/>
        <v>HOLDING REGISTER</v>
      </c>
      <c r="O1068" t="str">
        <f t="shared" si="146"/>
        <v>BOOL</v>
      </c>
      <c r="P1068" t="str">
        <f t="shared" si="147"/>
        <v>TELECAMERA T15N</v>
      </c>
      <c r="R1068" t="str">
        <f t="shared" si="148"/>
        <v>disponibile</v>
      </c>
      <c r="U1068" t="str">
        <f t="shared" si="149"/>
        <v>disponibile</v>
      </c>
      <c r="V1068" t="str">
        <f t="shared" si="150"/>
        <v>DIREZIONE NORD</v>
      </c>
      <c r="W1068" t="str">
        <f t="shared" si="151"/>
        <v>GALLERIA SAN GIULIANO</v>
      </c>
      <c r="Z1068" t="str">
        <f t="shared" si="152"/>
        <v>10.220.80.16</v>
      </c>
    </row>
    <row r="1069" spans="1:26" x14ac:dyDescent="0.25">
      <c r="A1069" t="s">
        <v>10</v>
      </c>
      <c r="B1069" t="s">
        <v>1063</v>
      </c>
      <c r="C1069" t="s">
        <v>1761</v>
      </c>
      <c r="D1069" t="s">
        <v>1619</v>
      </c>
      <c r="E1069" t="s">
        <v>1794</v>
      </c>
      <c r="F1069" t="s">
        <v>14</v>
      </c>
      <c r="G1069" t="s">
        <v>1375</v>
      </c>
      <c r="H1069" t="s">
        <v>22</v>
      </c>
      <c r="I1069" t="s">
        <v>1810</v>
      </c>
      <c r="J1069" t="s">
        <v>1375</v>
      </c>
      <c r="K1069" t="str">
        <f t="shared" si="144"/>
        <v>1225.15</v>
      </c>
      <c r="N1069" t="str">
        <f t="shared" si="145"/>
        <v>HOLDING REGISTER</v>
      </c>
      <c r="O1069" t="str">
        <f t="shared" si="146"/>
        <v>BOOL</v>
      </c>
      <c r="P1069" t="str">
        <f t="shared" si="147"/>
        <v>TELECAMERA T15N</v>
      </c>
      <c r="R1069" t="str">
        <f t="shared" si="148"/>
        <v>disponibile</v>
      </c>
      <c r="U1069" t="str">
        <f t="shared" si="149"/>
        <v>disponibile</v>
      </c>
      <c r="V1069" t="str">
        <f t="shared" si="150"/>
        <v>DIREZIONE NORD</v>
      </c>
      <c r="W1069" t="str">
        <f t="shared" si="151"/>
        <v>GALLERIA SAN GIULIANO</v>
      </c>
      <c r="Z1069" t="str">
        <f t="shared" si="152"/>
        <v>10.220.80.16</v>
      </c>
    </row>
    <row r="1070" spans="1:26" x14ac:dyDescent="0.25">
      <c r="A1070" t="s">
        <v>10</v>
      </c>
      <c r="B1070" t="s">
        <v>1063</v>
      </c>
      <c r="C1070" t="s">
        <v>1761</v>
      </c>
      <c r="D1070" t="s">
        <v>1619</v>
      </c>
      <c r="E1070" t="s">
        <v>1811</v>
      </c>
      <c r="F1070" t="s">
        <v>14</v>
      </c>
      <c r="G1070" t="s">
        <v>28</v>
      </c>
      <c r="H1070" t="s">
        <v>22</v>
      </c>
      <c r="I1070" t="s">
        <v>1812</v>
      </c>
      <c r="J1070" t="s">
        <v>1622</v>
      </c>
      <c r="K1070" t="str">
        <f t="shared" si="144"/>
        <v>1226.0</v>
      </c>
      <c r="N1070" t="str">
        <f t="shared" si="145"/>
        <v>HOLDING REGISTER</v>
      </c>
      <c r="O1070" t="str">
        <f t="shared" si="146"/>
        <v>BOOL</v>
      </c>
      <c r="P1070" t="str">
        <f t="shared" si="147"/>
        <v>TELECAMERA T16N</v>
      </c>
      <c r="R1070" t="str">
        <f t="shared" si="148"/>
        <v>ALLARMI TELECAMERA ESCLUSI</v>
      </c>
      <c r="U1070" t="str">
        <f t="shared" si="149"/>
        <v>Allarme</v>
      </c>
      <c r="V1070" t="str">
        <f t="shared" si="150"/>
        <v>DIREZIONE NORD</v>
      </c>
      <c r="W1070" t="str">
        <f t="shared" si="151"/>
        <v>GALLERIA SAN GIULIANO</v>
      </c>
      <c r="Z1070" t="str">
        <f t="shared" si="152"/>
        <v>10.220.80.16</v>
      </c>
    </row>
    <row r="1071" spans="1:26" x14ac:dyDescent="0.25">
      <c r="A1071" t="s">
        <v>10</v>
      </c>
      <c r="B1071" t="s">
        <v>1063</v>
      </c>
      <c r="C1071" t="s">
        <v>1761</v>
      </c>
      <c r="D1071" t="s">
        <v>1619</v>
      </c>
      <c r="E1071" t="s">
        <v>1811</v>
      </c>
      <c r="F1071" t="s">
        <v>14</v>
      </c>
      <c r="G1071" t="s">
        <v>28</v>
      </c>
      <c r="H1071" t="s">
        <v>22</v>
      </c>
      <c r="I1071" t="s">
        <v>1813</v>
      </c>
      <c r="J1071" t="s">
        <v>1624</v>
      </c>
      <c r="K1071" t="str">
        <f t="shared" si="144"/>
        <v>1226.1</v>
      </c>
      <c r="N1071" t="str">
        <f t="shared" si="145"/>
        <v>HOLDING REGISTER</v>
      </c>
      <c r="O1071" t="str">
        <f t="shared" si="146"/>
        <v>BOOL</v>
      </c>
      <c r="P1071" t="str">
        <f t="shared" si="147"/>
        <v>TELECAMERA T16N</v>
      </c>
      <c r="R1071" t="str">
        <f t="shared" si="148"/>
        <v>IN MANUTENZIONE ALLARME FUMO</v>
      </c>
      <c r="U1071" t="str">
        <f t="shared" si="149"/>
        <v>Allarme</v>
      </c>
      <c r="V1071" t="str">
        <f t="shared" si="150"/>
        <v>DIREZIONE NORD</v>
      </c>
      <c r="W1071" t="str">
        <f t="shared" si="151"/>
        <v>GALLERIA SAN GIULIANO</v>
      </c>
      <c r="Z1071" t="str">
        <f t="shared" si="152"/>
        <v>10.220.80.16</v>
      </c>
    </row>
    <row r="1072" spans="1:26" x14ac:dyDescent="0.25">
      <c r="A1072" t="s">
        <v>10</v>
      </c>
      <c r="B1072" t="s">
        <v>1063</v>
      </c>
      <c r="C1072" t="s">
        <v>1761</v>
      </c>
      <c r="D1072" t="s">
        <v>1619</v>
      </c>
      <c r="E1072" t="s">
        <v>1811</v>
      </c>
      <c r="F1072" t="s">
        <v>14</v>
      </c>
      <c r="G1072" t="s">
        <v>1375</v>
      </c>
      <c r="H1072" t="s">
        <v>22</v>
      </c>
      <c r="I1072" t="s">
        <v>1814</v>
      </c>
      <c r="J1072" t="s">
        <v>1626</v>
      </c>
      <c r="K1072" t="str">
        <f t="shared" si="144"/>
        <v>1226.2</v>
      </c>
      <c r="N1072" t="str">
        <f t="shared" si="145"/>
        <v>HOLDING REGISTER</v>
      </c>
      <c r="O1072" t="str">
        <f t="shared" si="146"/>
        <v>BOOL</v>
      </c>
      <c r="P1072" t="str">
        <f t="shared" si="147"/>
        <v>TELECAMERA T16N</v>
      </c>
      <c r="R1072" t="str">
        <f t="shared" si="148"/>
        <v>IN MANUTENZIONE ALLARMI TRAFFICO</v>
      </c>
      <c r="U1072" t="str">
        <f t="shared" si="149"/>
        <v>disponibile</v>
      </c>
      <c r="V1072" t="str">
        <f t="shared" si="150"/>
        <v>DIREZIONE NORD</v>
      </c>
      <c r="W1072" t="str">
        <f t="shared" si="151"/>
        <v>GALLERIA SAN GIULIANO</v>
      </c>
      <c r="Z1072" t="str">
        <f t="shared" si="152"/>
        <v>10.220.80.16</v>
      </c>
    </row>
    <row r="1073" spans="1:26" x14ac:dyDescent="0.25">
      <c r="A1073" t="s">
        <v>10</v>
      </c>
      <c r="B1073" t="s">
        <v>1063</v>
      </c>
      <c r="C1073" t="s">
        <v>1761</v>
      </c>
      <c r="D1073" t="s">
        <v>1619</v>
      </c>
      <c r="E1073" t="s">
        <v>1811</v>
      </c>
      <c r="F1073" t="s">
        <v>14</v>
      </c>
      <c r="G1073" t="s">
        <v>28</v>
      </c>
      <c r="H1073" t="s">
        <v>22</v>
      </c>
      <c r="I1073" t="s">
        <v>1815</v>
      </c>
      <c r="J1073" t="s">
        <v>1375</v>
      </c>
      <c r="K1073" t="str">
        <f t="shared" si="144"/>
        <v>1226.3</v>
      </c>
      <c r="N1073" t="str">
        <f t="shared" si="145"/>
        <v>HOLDING REGISTER</v>
      </c>
      <c r="O1073" t="str">
        <f t="shared" si="146"/>
        <v>BOOL</v>
      </c>
      <c r="P1073" t="str">
        <f t="shared" si="147"/>
        <v>TELECAMERA T16N</v>
      </c>
      <c r="R1073" t="str">
        <f t="shared" si="148"/>
        <v>disponibile</v>
      </c>
      <c r="U1073" t="str">
        <f t="shared" si="149"/>
        <v>Allarme</v>
      </c>
      <c r="V1073" t="str">
        <f t="shared" si="150"/>
        <v>DIREZIONE NORD</v>
      </c>
      <c r="W1073" t="str">
        <f t="shared" si="151"/>
        <v>GALLERIA SAN GIULIANO</v>
      </c>
      <c r="Z1073" t="str">
        <f t="shared" si="152"/>
        <v>10.220.80.16</v>
      </c>
    </row>
    <row r="1074" spans="1:26" x14ac:dyDescent="0.25">
      <c r="A1074" t="s">
        <v>10</v>
      </c>
      <c r="B1074" t="s">
        <v>1063</v>
      </c>
      <c r="C1074" t="s">
        <v>1761</v>
      </c>
      <c r="D1074" t="s">
        <v>1619</v>
      </c>
      <c r="E1074" t="s">
        <v>1811</v>
      </c>
      <c r="F1074" t="s">
        <v>14</v>
      </c>
      <c r="G1074" t="s">
        <v>28</v>
      </c>
      <c r="H1074" t="s">
        <v>22</v>
      </c>
      <c r="I1074" t="s">
        <v>1816</v>
      </c>
      <c r="J1074" t="s">
        <v>1375</v>
      </c>
      <c r="K1074" t="str">
        <f t="shared" si="144"/>
        <v>1226.4</v>
      </c>
      <c r="N1074" t="str">
        <f t="shared" si="145"/>
        <v>HOLDING REGISTER</v>
      </c>
      <c r="O1074" t="str">
        <f t="shared" si="146"/>
        <v>BOOL</v>
      </c>
      <c r="P1074" t="str">
        <f t="shared" si="147"/>
        <v>TELECAMERA T16N</v>
      </c>
      <c r="R1074" t="str">
        <f t="shared" si="148"/>
        <v>disponibile</v>
      </c>
      <c r="U1074" t="str">
        <f t="shared" si="149"/>
        <v>Allarme</v>
      </c>
      <c r="V1074" t="str">
        <f t="shared" si="150"/>
        <v>DIREZIONE NORD</v>
      </c>
      <c r="W1074" t="str">
        <f t="shared" si="151"/>
        <v>GALLERIA SAN GIULIANO</v>
      </c>
      <c r="Z1074" t="str">
        <f t="shared" si="152"/>
        <v>10.220.80.16</v>
      </c>
    </row>
    <row r="1075" spans="1:26" x14ac:dyDescent="0.25">
      <c r="A1075" t="s">
        <v>10</v>
      </c>
      <c r="B1075" t="s">
        <v>1063</v>
      </c>
      <c r="C1075" t="s">
        <v>1761</v>
      </c>
      <c r="D1075" t="s">
        <v>1619</v>
      </c>
      <c r="E1075" t="s">
        <v>1811</v>
      </c>
      <c r="F1075" t="s">
        <v>14</v>
      </c>
      <c r="G1075" t="s">
        <v>1375</v>
      </c>
      <c r="H1075" t="s">
        <v>22</v>
      </c>
      <c r="I1075" t="s">
        <v>1817</v>
      </c>
      <c r="J1075" t="s">
        <v>1375</v>
      </c>
      <c r="K1075" t="str">
        <f t="shared" si="144"/>
        <v>1226.5</v>
      </c>
      <c r="N1075" t="str">
        <f t="shared" si="145"/>
        <v>HOLDING REGISTER</v>
      </c>
      <c r="O1075" t="str">
        <f t="shared" si="146"/>
        <v>BOOL</v>
      </c>
      <c r="P1075" t="str">
        <f t="shared" si="147"/>
        <v>TELECAMERA T16N</v>
      </c>
      <c r="R1075" t="str">
        <f t="shared" si="148"/>
        <v>disponibile</v>
      </c>
      <c r="U1075" t="str">
        <f t="shared" si="149"/>
        <v>disponibile</v>
      </c>
      <c r="V1075" t="str">
        <f t="shared" si="150"/>
        <v>DIREZIONE NORD</v>
      </c>
      <c r="W1075" t="str">
        <f t="shared" si="151"/>
        <v>GALLERIA SAN GIULIANO</v>
      </c>
      <c r="Z1075" t="str">
        <f t="shared" si="152"/>
        <v>10.220.80.16</v>
      </c>
    </row>
    <row r="1076" spans="1:26" x14ac:dyDescent="0.25">
      <c r="A1076" t="s">
        <v>10</v>
      </c>
      <c r="B1076" t="s">
        <v>1063</v>
      </c>
      <c r="C1076" t="s">
        <v>1761</v>
      </c>
      <c r="D1076" t="s">
        <v>1619</v>
      </c>
      <c r="E1076" t="s">
        <v>1811</v>
      </c>
      <c r="F1076" t="s">
        <v>14</v>
      </c>
      <c r="G1076" t="s">
        <v>28</v>
      </c>
      <c r="H1076" t="s">
        <v>22</v>
      </c>
      <c r="I1076" t="s">
        <v>1818</v>
      </c>
      <c r="J1076" t="s">
        <v>1375</v>
      </c>
      <c r="K1076" t="str">
        <f t="shared" si="144"/>
        <v>1226.6</v>
      </c>
      <c r="N1076" t="str">
        <f t="shared" si="145"/>
        <v>HOLDING REGISTER</v>
      </c>
      <c r="O1076" t="str">
        <f t="shared" si="146"/>
        <v>BOOL</v>
      </c>
      <c r="P1076" t="str">
        <f t="shared" si="147"/>
        <v>TELECAMERA T16N</v>
      </c>
      <c r="R1076" t="str">
        <f t="shared" si="148"/>
        <v>disponibile</v>
      </c>
      <c r="U1076" t="str">
        <f t="shared" si="149"/>
        <v>Allarme</v>
      </c>
      <c r="V1076" t="str">
        <f t="shared" si="150"/>
        <v>DIREZIONE NORD</v>
      </c>
      <c r="W1076" t="str">
        <f t="shared" si="151"/>
        <v>GALLERIA SAN GIULIANO</v>
      </c>
      <c r="Z1076" t="str">
        <f t="shared" si="152"/>
        <v>10.220.80.16</v>
      </c>
    </row>
    <row r="1077" spans="1:26" x14ac:dyDescent="0.25">
      <c r="A1077" t="s">
        <v>10</v>
      </c>
      <c r="B1077" t="s">
        <v>1063</v>
      </c>
      <c r="C1077" t="s">
        <v>1761</v>
      </c>
      <c r="D1077" t="s">
        <v>1619</v>
      </c>
      <c r="E1077" t="s">
        <v>1811</v>
      </c>
      <c r="F1077" t="s">
        <v>14</v>
      </c>
      <c r="G1077" t="s">
        <v>28</v>
      </c>
      <c r="H1077" t="s">
        <v>22</v>
      </c>
      <c r="I1077" t="s">
        <v>1819</v>
      </c>
      <c r="J1077" t="s">
        <v>1375</v>
      </c>
      <c r="K1077" t="str">
        <f t="shared" si="144"/>
        <v>1226.7</v>
      </c>
      <c r="N1077" t="str">
        <f t="shared" si="145"/>
        <v>HOLDING REGISTER</v>
      </c>
      <c r="O1077" t="str">
        <f t="shared" si="146"/>
        <v>BOOL</v>
      </c>
      <c r="P1077" t="str">
        <f t="shared" si="147"/>
        <v>TELECAMERA T16N</v>
      </c>
      <c r="R1077" t="str">
        <f t="shared" si="148"/>
        <v>disponibile</v>
      </c>
      <c r="U1077" t="str">
        <f t="shared" si="149"/>
        <v>Allarme</v>
      </c>
      <c r="V1077" t="str">
        <f t="shared" si="150"/>
        <v>DIREZIONE NORD</v>
      </c>
      <c r="W1077" t="str">
        <f t="shared" si="151"/>
        <v>GALLERIA SAN GIULIANO</v>
      </c>
      <c r="Z1077" t="str">
        <f t="shared" si="152"/>
        <v>10.220.80.16</v>
      </c>
    </row>
    <row r="1078" spans="1:26" x14ac:dyDescent="0.25">
      <c r="A1078" t="s">
        <v>10</v>
      </c>
      <c r="B1078" t="s">
        <v>1063</v>
      </c>
      <c r="C1078" t="s">
        <v>1761</v>
      </c>
      <c r="D1078" t="s">
        <v>1619</v>
      </c>
      <c r="E1078" t="s">
        <v>1811</v>
      </c>
      <c r="F1078" t="s">
        <v>14</v>
      </c>
      <c r="G1078" t="s">
        <v>28</v>
      </c>
      <c r="H1078" t="s">
        <v>22</v>
      </c>
      <c r="I1078" t="s">
        <v>1820</v>
      </c>
      <c r="J1078" t="s">
        <v>1375</v>
      </c>
      <c r="K1078" t="str">
        <f t="shared" si="144"/>
        <v>1226.8</v>
      </c>
      <c r="N1078" t="str">
        <f t="shared" si="145"/>
        <v>HOLDING REGISTER</v>
      </c>
      <c r="O1078" t="str">
        <f t="shared" si="146"/>
        <v>BOOL</v>
      </c>
      <c r="P1078" t="str">
        <f t="shared" si="147"/>
        <v>TELECAMERA T16N</v>
      </c>
      <c r="R1078" t="str">
        <f t="shared" si="148"/>
        <v>disponibile</v>
      </c>
      <c r="U1078" t="str">
        <f t="shared" si="149"/>
        <v>Allarme</v>
      </c>
      <c r="V1078" t="str">
        <f t="shared" si="150"/>
        <v>DIREZIONE NORD</v>
      </c>
      <c r="W1078" t="str">
        <f t="shared" si="151"/>
        <v>GALLERIA SAN GIULIANO</v>
      </c>
      <c r="Z1078" t="str">
        <f t="shared" si="152"/>
        <v>10.220.80.16</v>
      </c>
    </row>
    <row r="1079" spans="1:26" x14ac:dyDescent="0.25">
      <c r="A1079" t="s">
        <v>10</v>
      </c>
      <c r="B1079" t="s">
        <v>1063</v>
      </c>
      <c r="C1079" t="s">
        <v>1761</v>
      </c>
      <c r="D1079" t="s">
        <v>1619</v>
      </c>
      <c r="E1079" t="s">
        <v>1811</v>
      </c>
      <c r="F1079" t="s">
        <v>14</v>
      </c>
      <c r="G1079" t="s">
        <v>28</v>
      </c>
      <c r="H1079" t="s">
        <v>22</v>
      </c>
      <c r="I1079" t="s">
        <v>1821</v>
      </c>
      <c r="J1079" t="s">
        <v>1375</v>
      </c>
      <c r="K1079" t="str">
        <f t="shared" si="144"/>
        <v>1226.9</v>
      </c>
      <c r="N1079" t="str">
        <f t="shared" si="145"/>
        <v>HOLDING REGISTER</v>
      </c>
      <c r="O1079" t="str">
        <f t="shared" si="146"/>
        <v>BOOL</v>
      </c>
      <c r="P1079" t="str">
        <f t="shared" si="147"/>
        <v>TELECAMERA T16N</v>
      </c>
      <c r="R1079" t="str">
        <f t="shared" si="148"/>
        <v>disponibile</v>
      </c>
      <c r="U1079" t="str">
        <f t="shared" si="149"/>
        <v>Allarme</v>
      </c>
      <c r="V1079" t="str">
        <f t="shared" si="150"/>
        <v>DIREZIONE NORD</v>
      </c>
      <c r="W1079" t="str">
        <f t="shared" si="151"/>
        <v>GALLERIA SAN GIULIANO</v>
      </c>
      <c r="Z1079" t="str">
        <f t="shared" si="152"/>
        <v>10.220.80.16</v>
      </c>
    </row>
    <row r="1080" spans="1:26" x14ac:dyDescent="0.25">
      <c r="A1080" t="s">
        <v>10</v>
      </c>
      <c r="B1080" t="s">
        <v>1063</v>
      </c>
      <c r="C1080" t="s">
        <v>1761</v>
      </c>
      <c r="D1080" t="s">
        <v>1619</v>
      </c>
      <c r="E1080" t="s">
        <v>1811</v>
      </c>
      <c r="F1080" t="s">
        <v>14</v>
      </c>
      <c r="G1080" t="s">
        <v>1375</v>
      </c>
      <c r="H1080" t="s">
        <v>22</v>
      </c>
      <c r="I1080" t="s">
        <v>1822</v>
      </c>
      <c r="J1080" t="s">
        <v>1375</v>
      </c>
      <c r="K1080" t="str">
        <f t="shared" si="144"/>
        <v>1226.10</v>
      </c>
      <c r="N1080" t="str">
        <f t="shared" si="145"/>
        <v>HOLDING REGISTER</v>
      </c>
      <c r="O1080" t="str">
        <f t="shared" si="146"/>
        <v>BOOL</v>
      </c>
      <c r="P1080" t="str">
        <f t="shared" si="147"/>
        <v>TELECAMERA T16N</v>
      </c>
      <c r="R1080" t="str">
        <f t="shared" si="148"/>
        <v>disponibile</v>
      </c>
      <c r="U1080" t="str">
        <f t="shared" si="149"/>
        <v>disponibile</v>
      </c>
      <c r="V1080" t="str">
        <f t="shared" si="150"/>
        <v>DIREZIONE NORD</v>
      </c>
      <c r="W1080" t="str">
        <f t="shared" si="151"/>
        <v>GALLERIA SAN GIULIANO</v>
      </c>
      <c r="Z1080" t="str">
        <f t="shared" si="152"/>
        <v>10.220.80.16</v>
      </c>
    </row>
    <row r="1081" spans="1:26" x14ac:dyDescent="0.25">
      <c r="A1081" t="s">
        <v>10</v>
      </c>
      <c r="B1081" t="s">
        <v>1063</v>
      </c>
      <c r="C1081" t="s">
        <v>1761</v>
      </c>
      <c r="D1081" t="s">
        <v>1619</v>
      </c>
      <c r="E1081" t="s">
        <v>1811</v>
      </c>
      <c r="F1081" t="s">
        <v>14</v>
      </c>
      <c r="G1081" t="s">
        <v>1375</v>
      </c>
      <c r="H1081" t="s">
        <v>22</v>
      </c>
      <c r="I1081" t="s">
        <v>1823</v>
      </c>
      <c r="J1081" t="s">
        <v>1375</v>
      </c>
      <c r="K1081" t="str">
        <f t="shared" si="144"/>
        <v>1226.11</v>
      </c>
      <c r="N1081" t="str">
        <f t="shared" si="145"/>
        <v>HOLDING REGISTER</v>
      </c>
      <c r="O1081" t="str">
        <f t="shared" si="146"/>
        <v>BOOL</v>
      </c>
      <c r="P1081" t="str">
        <f t="shared" si="147"/>
        <v>TELECAMERA T16N</v>
      </c>
      <c r="R1081" t="str">
        <f t="shared" si="148"/>
        <v>disponibile</v>
      </c>
      <c r="U1081" t="str">
        <f t="shared" si="149"/>
        <v>disponibile</v>
      </c>
      <c r="V1081" t="str">
        <f t="shared" si="150"/>
        <v>DIREZIONE NORD</v>
      </c>
      <c r="W1081" t="str">
        <f t="shared" si="151"/>
        <v>GALLERIA SAN GIULIANO</v>
      </c>
      <c r="Z1081" t="str">
        <f t="shared" si="152"/>
        <v>10.220.80.16</v>
      </c>
    </row>
    <row r="1082" spans="1:26" x14ac:dyDescent="0.25">
      <c r="A1082" t="s">
        <v>10</v>
      </c>
      <c r="B1082" t="s">
        <v>1063</v>
      </c>
      <c r="C1082" t="s">
        <v>1761</v>
      </c>
      <c r="D1082" t="s">
        <v>1619</v>
      </c>
      <c r="E1082" t="s">
        <v>1811</v>
      </c>
      <c r="F1082" t="s">
        <v>14</v>
      </c>
      <c r="G1082" t="s">
        <v>1375</v>
      </c>
      <c r="H1082" t="s">
        <v>22</v>
      </c>
      <c r="I1082" t="s">
        <v>1824</v>
      </c>
      <c r="J1082" t="s">
        <v>1375</v>
      </c>
      <c r="K1082" t="str">
        <f t="shared" si="144"/>
        <v>1226.12</v>
      </c>
      <c r="N1082" t="str">
        <f t="shared" si="145"/>
        <v>HOLDING REGISTER</v>
      </c>
      <c r="O1082" t="str">
        <f t="shared" si="146"/>
        <v>BOOL</v>
      </c>
      <c r="P1082" t="str">
        <f t="shared" si="147"/>
        <v>TELECAMERA T16N</v>
      </c>
      <c r="R1082" t="str">
        <f t="shared" si="148"/>
        <v>disponibile</v>
      </c>
      <c r="U1082" t="str">
        <f t="shared" si="149"/>
        <v>disponibile</v>
      </c>
      <c r="V1082" t="str">
        <f t="shared" si="150"/>
        <v>DIREZIONE NORD</v>
      </c>
      <c r="W1082" t="str">
        <f t="shared" si="151"/>
        <v>GALLERIA SAN GIULIANO</v>
      </c>
      <c r="Z1082" t="str">
        <f t="shared" si="152"/>
        <v>10.220.80.16</v>
      </c>
    </row>
    <row r="1083" spans="1:26" x14ac:dyDescent="0.25">
      <c r="A1083" t="s">
        <v>10</v>
      </c>
      <c r="B1083" t="s">
        <v>1063</v>
      </c>
      <c r="C1083" t="s">
        <v>1761</v>
      </c>
      <c r="D1083" t="s">
        <v>1619</v>
      </c>
      <c r="E1083" t="s">
        <v>1811</v>
      </c>
      <c r="F1083" t="s">
        <v>14</v>
      </c>
      <c r="G1083" t="s">
        <v>1375</v>
      </c>
      <c r="H1083" t="s">
        <v>22</v>
      </c>
      <c r="I1083" t="s">
        <v>1825</v>
      </c>
      <c r="J1083" t="s">
        <v>1375</v>
      </c>
      <c r="K1083" t="str">
        <f t="shared" si="144"/>
        <v>1226.13</v>
      </c>
      <c r="N1083" t="str">
        <f t="shared" si="145"/>
        <v>HOLDING REGISTER</v>
      </c>
      <c r="O1083" t="str">
        <f t="shared" si="146"/>
        <v>BOOL</v>
      </c>
      <c r="P1083" t="str">
        <f t="shared" si="147"/>
        <v>TELECAMERA T16N</v>
      </c>
      <c r="R1083" t="str">
        <f t="shared" si="148"/>
        <v>disponibile</v>
      </c>
      <c r="U1083" t="str">
        <f t="shared" si="149"/>
        <v>disponibile</v>
      </c>
      <c r="V1083" t="str">
        <f t="shared" si="150"/>
        <v>DIREZIONE NORD</v>
      </c>
      <c r="W1083" t="str">
        <f t="shared" si="151"/>
        <v>GALLERIA SAN GIULIANO</v>
      </c>
      <c r="Z1083" t="str">
        <f t="shared" si="152"/>
        <v>10.220.80.16</v>
      </c>
    </row>
    <row r="1084" spans="1:26" x14ac:dyDescent="0.25">
      <c r="A1084" t="s">
        <v>10</v>
      </c>
      <c r="B1084" t="s">
        <v>1063</v>
      </c>
      <c r="C1084" t="s">
        <v>1761</v>
      </c>
      <c r="D1084" t="s">
        <v>1619</v>
      </c>
      <c r="E1084" t="s">
        <v>1811</v>
      </c>
      <c r="F1084" t="s">
        <v>14</v>
      </c>
      <c r="G1084" t="s">
        <v>1375</v>
      </c>
      <c r="H1084" t="s">
        <v>22</v>
      </c>
      <c r="I1084" t="s">
        <v>1826</v>
      </c>
      <c r="J1084" t="s">
        <v>1375</v>
      </c>
      <c r="K1084" t="str">
        <f t="shared" si="144"/>
        <v>1226.14</v>
      </c>
      <c r="N1084" t="str">
        <f t="shared" si="145"/>
        <v>HOLDING REGISTER</v>
      </c>
      <c r="O1084" t="str">
        <f t="shared" si="146"/>
        <v>BOOL</v>
      </c>
      <c r="P1084" t="str">
        <f t="shared" si="147"/>
        <v>TELECAMERA T16N</v>
      </c>
      <c r="R1084" t="str">
        <f t="shared" si="148"/>
        <v>disponibile</v>
      </c>
      <c r="U1084" t="str">
        <f t="shared" si="149"/>
        <v>disponibile</v>
      </c>
      <c r="V1084" t="str">
        <f t="shared" si="150"/>
        <v>DIREZIONE NORD</v>
      </c>
      <c r="W1084" t="str">
        <f t="shared" si="151"/>
        <v>GALLERIA SAN GIULIANO</v>
      </c>
      <c r="Z1084" t="str">
        <f t="shared" si="152"/>
        <v>10.220.80.16</v>
      </c>
    </row>
    <row r="1085" spans="1:26" x14ac:dyDescent="0.25">
      <c r="A1085" t="s">
        <v>10</v>
      </c>
      <c r="B1085" t="s">
        <v>1063</v>
      </c>
      <c r="C1085" t="s">
        <v>1761</v>
      </c>
      <c r="D1085" t="s">
        <v>1619</v>
      </c>
      <c r="E1085" t="s">
        <v>1811</v>
      </c>
      <c r="F1085" t="s">
        <v>14</v>
      </c>
      <c r="G1085" t="s">
        <v>1375</v>
      </c>
      <c r="H1085" t="s">
        <v>22</v>
      </c>
      <c r="I1085" t="s">
        <v>1827</v>
      </c>
      <c r="J1085" t="s">
        <v>1375</v>
      </c>
      <c r="K1085" t="str">
        <f t="shared" si="144"/>
        <v>1226.15</v>
      </c>
      <c r="N1085" t="str">
        <f t="shared" si="145"/>
        <v>HOLDING REGISTER</v>
      </c>
      <c r="O1085" t="str">
        <f t="shared" si="146"/>
        <v>BOOL</v>
      </c>
      <c r="P1085" t="str">
        <f t="shared" si="147"/>
        <v>TELECAMERA T16N</v>
      </c>
      <c r="R1085" t="str">
        <f t="shared" si="148"/>
        <v>disponibile</v>
      </c>
      <c r="U1085" t="str">
        <f t="shared" si="149"/>
        <v>disponibile</v>
      </c>
      <c r="V1085" t="str">
        <f t="shared" si="150"/>
        <v>DIREZIONE NORD</v>
      </c>
      <c r="W1085" t="str">
        <f t="shared" si="151"/>
        <v>GALLERIA SAN GIULIANO</v>
      </c>
      <c r="Z1085" t="str">
        <f t="shared" si="152"/>
        <v>10.220.80.16</v>
      </c>
    </row>
    <row r="1086" spans="1:26" x14ac:dyDescent="0.25">
      <c r="A1086" t="s">
        <v>10</v>
      </c>
      <c r="B1086" t="s">
        <v>1063</v>
      </c>
      <c r="C1086" t="s">
        <v>1761</v>
      </c>
      <c r="D1086" t="s">
        <v>1619</v>
      </c>
      <c r="E1086" t="s">
        <v>1828</v>
      </c>
      <c r="F1086" t="s">
        <v>14</v>
      </c>
      <c r="G1086" t="s">
        <v>28</v>
      </c>
      <c r="H1086" t="s">
        <v>22</v>
      </c>
      <c r="I1086" t="s">
        <v>1829</v>
      </c>
      <c r="J1086" t="s">
        <v>1622</v>
      </c>
      <c r="K1086" t="str">
        <f t="shared" si="144"/>
        <v>1227.0</v>
      </c>
      <c r="N1086" t="str">
        <f t="shared" si="145"/>
        <v>HOLDING REGISTER</v>
      </c>
      <c r="O1086" t="str">
        <f t="shared" si="146"/>
        <v>BOOL</v>
      </c>
      <c r="P1086" t="str">
        <f t="shared" si="147"/>
        <v>TELECAMERA T19N</v>
      </c>
      <c r="R1086" t="str">
        <f t="shared" si="148"/>
        <v>ALLARMI TELECAMERA ESCLUSI</v>
      </c>
      <c r="U1086" t="str">
        <f t="shared" si="149"/>
        <v>Allarme</v>
      </c>
      <c r="V1086" t="str">
        <f t="shared" si="150"/>
        <v>DIREZIONE NORD</v>
      </c>
      <c r="W1086" t="str">
        <f t="shared" si="151"/>
        <v>GALLERIA SAN GIULIANO</v>
      </c>
      <c r="Z1086" t="str">
        <f t="shared" si="152"/>
        <v>10.220.80.16</v>
      </c>
    </row>
    <row r="1087" spans="1:26" x14ac:dyDescent="0.25">
      <c r="A1087" t="s">
        <v>10</v>
      </c>
      <c r="B1087" t="s">
        <v>1063</v>
      </c>
      <c r="C1087" t="s">
        <v>1761</v>
      </c>
      <c r="D1087" t="s">
        <v>1619</v>
      </c>
      <c r="E1087" t="s">
        <v>1828</v>
      </c>
      <c r="F1087" t="s">
        <v>14</v>
      </c>
      <c r="G1087" t="s">
        <v>28</v>
      </c>
      <c r="H1087" t="s">
        <v>22</v>
      </c>
      <c r="I1087" t="s">
        <v>1830</v>
      </c>
      <c r="J1087" t="s">
        <v>1624</v>
      </c>
      <c r="K1087" t="str">
        <f t="shared" si="144"/>
        <v>1227.1</v>
      </c>
      <c r="N1087" t="str">
        <f t="shared" si="145"/>
        <v>HOLDING REGISTER</v>
      </c>
      <c r="O1087" t="str">
        <f t="shared" si="146"/>
        <v>BOOL</v>
      </c>
      <c r="P1087" t="str">
        <f t="shared" si="147"/>
        <v>TELECAMERA T19N</v>
      </c>
      <c r="R1087" t="str">
        <f t="shared" si="148"/>
        <v>IN MANUTENZIONE ALLARME FUMO</v>
      </c>
      <c r="U1087" t="str">
        <f t="shared" si="149"/>
        <v>Allarme</v>
      </c>
      <c r="V1087" t="str">
        <f t="shared" si="150"/>
        <v>DIREZIONE NORD</v>
      </c>
      <c r="W1087" t="str">
        <f t="shared" si="151"/>
        <v>GALLERIA SAN GIULIANO</v>
      </c>
      <c r="Z1087" t="str">
        <f t="shared" si="152"/>
        <v>10.220.80.16</v>
      </c>
    </row>
    <row r="1088" spans="1:26" x14ac:dyDescent="0.25">
      <c r="A1088" t="s">
        <v>10</v>
      </c>
      <c r="B1088" t="s">
        <v>1063</v>
      </c>
      <c r="C1088" t="s">
        <v>1761</v>
      </c>
      <c r="D1088" t="s">
        <v>1619</v>
      </c>
      <c r="E1088" t="s">
        <v>1828</v>
      </c>
      <c r="F1088" t="s">
        <v>14</v>
      </c>
      <c r="G1088" t="s">
        <v>1375</v>
      </c>
      <c r="H1088" t="s">
        <v>22</v>
      </c>
      <c r="I1088" t="s">
        <v>1831</v>
      </c>
      <c r="J1088" t="s">
        <v>1626</v>
      </c>
      <c r="K1088" t="str">
        <f t="shared" si="144"/>
        <v>1227.2</v>
      </c>
      <c r="N1088" t="str">
        <f t="shared" si="145"/>
        <v>HOLDING REGISTER</v>
      </c>
      <c r="O1088" t="str">
        <f t="shared" si="146"/>
        <v>BOOL</v>
      </c>
      <c r="P1088" t="str">
        <f t="shared" si="147"/>
        <v>TELECAMERA T19N</v>
      </c>
      <c r="R1088" t="str">
        <f t="shared" si="148"/>
        <v>IN MANUTENZIONE ALLARMI TRAFFICO</v>
      </c>
      <c r="U1088" t="str">
        <f t="shared" si="149"/>
        <v>disponibile</v>
      </c>
      <c r="V1088" t="str">
        <f t="shared" si="150"/>
        <v>DIREZIONE NORD</v>
      </c>
      <c r="W1088" t="str">
        <f t="shared" si="151"/>
        <v>GALLERIA SAN GIULIANO</v>
      </c>
      <c r="Z1088" t="str">
        <f t="shared" si="152"/>
        <v>10.220.80.16</v>
      </c>
    </row>
    <row r="1089" spans="1:26" x14ac:dyDescent="0.25">
      <c r="A1089" t="s">
        <v>10</v>
      </c>
      <c r="B1089" t="s">
        <v>1063</v>
      </c>
      <c r="C1089" t="s">
        <v>1761</v>
      </c>
      <c r="D1089" t="s">
        <v>1619</v>
      </c>
      <c r="E1089" t="s">
        <v>1828</v>
      </c>
      <c r="F1089" t="s">
        <v>14</v>
      </c>
      <c r="G1089" t="s">
        <v>28</v>
      </c>
      <c r="H1089" t="s">
        <v>22</v>
      </c>
      <c r="I1089" t="s">
        <v>1832</v>
      </c>
      <c r="J1089" t="s">
        <v>1375</v>
      </c>
      <c r="K1089" t="str">
        <f t="shared" si="144"/>
        <v>1227.3</v>
      </c>
      <c r="N1089" t="str">
        <f t="shared" si="145"/>
        <v>HOLDING REGISTER</v>
      </c>
      <c r="O1089" t="str">
        <f t="shared" si="146"/>
        <v>BOOL</v>
      </c>
      <c r="P1089" t="str">
        <f t="shared" si="147"/>
        <v>TELECAMERA T19N</v>
      </c>
      <c r="R1089" t="str">
        <f t="shared" si="148"/>
        <v>disponibile</v>
      </c>
      <c r="U1089" t="str">
        <f t="shared" si="149"/>
        <v>Allarme</v>
      </c>
      <c r="V1089" t="str">
        <f t="shared" si="150"/>
        <v>DIREZIONE NORD</v>
      </c>
      <c r="W1089" t="str">
        <f t="shared" si="151"/>
        <v>GALLERIA SAN GIULIANO</v>
      </c>
      <c r="Z1089" t="str">
        <f t="shared" si="152"/>
        <v>10.220.80.16</v>
      </c>
    </row>
    <row r="1090" spans="1:26" x14ac:dyDescent="0.25">
      <c r="A1090" t="s">
        <v>10</v>
      </c>
      <c r="B1090" t="s">
        <v>1063</v>
      </c>
      <c r="C1090" t="s">
        <v>1761</v>
      </c>
      <c r="D1090" t="s">
        <v>1619</v>
      </c>
      <c r="E1090" t="s">
        <v>1828</v>
      </c>
      <c r="F1090" t="s">
        <v>14</v>
      </c>
      <c r="G1090" t="s">
        <v>28</v>
      </c>
      <c r="H1090" t="s">
        <v>22</v>
      </c>
      <c r="I1090" t="s">
        <v>1833</v>
      </c>
      <c r="J1090" t="s">
        <v>1375</v>
      </c>
      <c r="K1090" t="str">
        <f t="shared" si="144"/>
        <v>1227.4</v>
      </c>
      <c r="N1090" t="str">
        <f t="shared" si="145"/>
        <v>HOLDING REGISTER</v>
      </c>
      <c r="O1090" t="str">
        <f t="shared" si="146"/>
        <v>BOOL</v>
      </c>
      <c r="P1090" t="str">
        <f t="shared" si="147"/>
        <v>TELECAMERA T19N</v>
      </c>
      <c r="R1090" t="str">
        <f t="shared" si="148"/>
        <v>disponibile</v>
      </c>
      <c r="U1090" t="str">
        <f t="shared" si="149"/>
        <v>Allarme</v>
      </c>
      <c r="V1090" t="str">
        <f t="shared" si="150"/>
        <v>DIREZIONE NORD</v>
      </c>
      <c r="W1090" t="str">
        <f t="shared" si="151"/>
        <v>GALLERIA SAN GIULIANO</v>
      </c>
      <c r="Z1090" t="str">
        <f t="shared" si="152"/>
        <v>10.220.80.16</v>
      </c>
    </row>
    <row r="1091" spans="1:26" x14ac:dyDescent="0.25">
      <c r="A1091" t="s">
        <v>10</v>
      </c>
      <c r="B1091" t="s">
        <v>1063</v>
      </c>
      <c r="C1091" t="s">
        <v>1761</v>
      </c>
      <c r="D1091" t="s">
        <v>1619</v>
      </c>
      <c r="E1091" t="s">
        <v>1828</v>
      </c>
      <c r="F1091" t="s">
        <v>14</v>
      </c>
      <c r="G1091" t="s">
        <v>1375</v>
      </c>
      <c r="H1091" t="s">
        <v>22</v>
      </c>
      <c r="I1091" t="s">
        <v>1834</v>
      </c>
      <c r="J1091" t="s">
        <v>1375</v>
      </c>
      <c r="K1091" t="str">
        <f t="shared" ref="K1091:K1154" si="153">IF(I1091="","",I1091)</f>
        <v>1227.5</v>
      </c>
      <c r="N1091" t="str">
        <f t="shared" ref="N1091:N1154" si="154">IF(F1091="","",F1091)</f>
        <v>HOLDING REGISTER</v>
      </c>
      <c r="O1091" t="str">
        <f t="shared" ref="O1091:O1154" si="155">IF(H1091="","",H1091)</f>
        <v>BOOL</v>
      </c>
      <c r="P1091" t="str">
        <f t="shared" ref="P1091:P1154" si="156">_xlfn.CONCAT(D1091," ",E1091)</f>
        <v>TELECAMERA T19N</v>
      </c>
      <c r="R1091" t="str">
        <f t="shared" ref="R1091:R1154" si="157">IF(J1091="","",J1091)</f>
        <v>disponibile</v>
      </c>
      <c r="U1091" t="str">
        <f t="shared" ref="U1091:U1154" si="158">IF(G1091="","",G1091)</f>
        <v>disponibile</v>
      </c>
      <c r="V1091" t="str">
        <f t="shared" ref="V1091:V1154" si="159">IF(C1091="","",C1091)</f>
        <v>DIREZIONE NORD</v>
      </c>
      <c r="W1091" t="str">
        <f t="shared" ref="W1091:W1154" si="160">IF(B1091="","",B1091)</f>
        <v>GALLERIA SAN GIULIANO</v>
      </c>
      <c r="Z1091" t="str">
        <f t="shared" ref="Z1091:Z1154" si="161">IF(A1091="","",A1091)</f>
        <v>10.220.80.16</v>
      </c>
    </row>
    <row r="1092" spans="1:26" x14ac:dyDescent="0.25">
      <c r="A1092" t="s">
        <v>10</v>
      </c>
      <c r="B1092" t="s">
        <v>1063</v>
      </c>
      <c r="C1092" t="s">
        <v>1761</v>
      </c>
      <c r="D1092" t="s">
        <v>1619</v>
      </c>
      <c r="E1092" t="s">
        <v>1828</v>
      </c>
      <c r="F1092" t="s">
        <v>14</v>
      </c>
      <c r="G1092" t="s">
        <v>28</v>
      </c>
      <c r="H1092" t="s">
        <v>22</v>
      </c>
      <c r="I1092" t="s">
        <v>1835</v>
      </c>
      <c r="J1092" t="s">
        <v>1375</v>
      </c>
      <c r="K1092" t="str">
        <f t="shared" si="153"/>
        <v>1227.6</v>
      </c>
      <c r="N1092" t="str">
        <f t="shared" si="154"/>
        <v>HOLDING REGISTER</v>
      </c>
      <c r="O1092" t="str">
        <f t="shared" si="155"/>
        <v>BOOL</v>
      </c>
      <c r="P1092" t="str">
        <f t="shared" si="156"/>
        <v>TELECAMERA T19N</v>
      </c>
      <c r="R1092" t="str">
        <f t="shared" si="157"/>
        <v>disponibile</v>
      </c>
      <c r="U1092" t="str">
        <f t="shared" si="158"/>
        <v>Allarme</v>
      </c>
      <c r="V1092" t="str">
        <f t="shared" si="159"/>
        <v>DIREZIONE NORD</v>
      </c>
      <c r="W1092" t="str">
        <f t="shared" si="160"/>
        <v>GALLERIA SAN GIULIANO</v>
      </c>
      <c r="Z1092" t="str">
        <f t="shared" si="161"/>
        <v>10.220.80.16</v>
      </c>
    </row>
    <row r="1093" spans="1:26" x14ac:dyDescent="0.25">
      <c r="A1093" t="s">
        <v>10</v>
      </c>
      <c r="B1093" t="s">
        <v>1063</v>
      </c>
      <c r="C1093" t="s">
        <v>1761</v>
      </c>
      <c r="D1093" t="s">
        <v>1619</v>
      </c>
      <c r="E1093" t="s">
        <v>1828</v>
      </c>
      <c r="F1093" t="s">
        <v>14</v>
      </c>
      <c r="G1093" t="s">
        <v>28</v>
      </c>
      <c r="H1093" t="s">
        <v>22</v>
      </c>
      <c r="I1093" t="s">
        <v>1836</v>
      </c>
      <c r="J1093" t="s">
        <v>1375</v>
      </c>
      <c r="K1093" t="str">
        <f t="shared" si="153"/>
        <v>1227.7</v>
      </c>
      <c r="N1093" t="str">
        <f t="shared" si="154"/>
        <v>HOLDING REGISTER</v>
      </c>
      <c r="O1093" t="str">
        <f t="shared" si="155"/>
        <v>BOOL</v>
      </c>
      <c r="P1093" t="str">
        <f t="shared" si="156"/>
        <v>TELECAMERA T19N</v>
      </c>
      <c r="R1093" t="str">
        <f t="shared" si="157"/>
        <v>disponibile</v>
      </c>
      <c r="U1093" t="str">
        <f t="shared" si="158"/>
        <v>Allarme</v>
      </c>
      <c r="V1093" t="str">
        <f t="shared" si="159"/>
        <v>DIREZIONE NORD</v>
      </c>
      <c r="W1093" t="str">
        <f t="shared" si="160"/>
        <v>GALLERIA SAN GIULIANO</v>
      </c>
      <c r="Z1093" t="str">
        <f t="shared" si="161"/>
        <v>10.220.80.16</v>
      </c>
    </row>
    <row r="1094" spans="1:26" x14ac:dyDescent="0.25">
      <c r="A1094" t="s">
        <v>10</v>
      </c>
      <c r="B1094" t="s">
        <v>1063</v>
      </c>
      <c r="C1094" t="s">
        <v>1761</v>
      </c>
      <c r="D1094" t="s">
        <v>1619</v>
      </c>
      <c r="E1094" t="s">
        <v>1828</v>
      </c>
      <c r="F1094" t="s">
        <v>14</v>
      </c>
      <c r="G1094" t="s">
        <v>28</v>
      </c>
      <c r="H1094" t="s">
        <v>22</v>
      </c>
      <c r="I1094" t="s">
        <v>1837</v>
      </c>
      <c r="J1094" t="s">
        <v>1375</v>
      </c>
      <c r="K1094" t="str">
        <f t="shared" si="153"/>
        <v>1227.8</v>
      </c>
      <c r="N1094" t="str">
        <f t="shared" si="154"/>
        <v>HOLDING REGISTER</v>
      </c>
      <c r="O1094" t="str">
        <f t="shared" si="155"/>
        <v>BOOL</v>
      </c>
      <c r="P1094" t="str">
        <f t="shared" si="156"/>
        <v>TELECAMERA T19N</v>
      </c>
      <c r="R1094" t="str">
        <f t="shared" si="157"/>
        <v>disponibile</v>
      </c>
      <c r="U1094" t="str">
        <f t="shared" si="158"/>
        <v>Allarme</v>
      </c>
      <c r="V1094" t="str">
        <f t="shared" si="159"/>
        <v>DIREZIONE NORD</v>
      </c>
      <c r="W1094" t="str">
        <f t="shared" si="160"/>
        <v>GALLERIA SAN GIULIANO</v>
      </c>
      <c r="Z1094" t="str">
        <f t="shared" si="161"/>
        <v>10.220.80.16</v>
      </c>
    </row>
    <row r="1095" spans="1:26" x14ac:dyDescent="0.25">
      <c r="A1095" t="s">
        <v>10</v>
      </c>
      <c r="B1095" t="s">
        <v>1063</v>
      </c>
      <c r="C1095" t="s">
        <v>1761</v>
      </c>
      <c r="D1095" t="s">
        <v>1619</v>
      </c>
      <c r="E1095" t="s">
        <v>1828</v>
      </c>
      <c r="F1095" t="s">
        <v>14</v>
      </c>
      <c r="G1095" t="s">
        <v>28</v>
      </c>
      <c r="H1095" t="s">
        <v>22</v>
      </c>
      <c r="I1095" t="s">
        <v>1838</v>
      </c>
      <c r="J1095" t="s">
        <v>1375</v>
      </c>
      <c r="K1095" t="str">
        <f t="shared" si="153"/>
        <v>1227.9</v>
      </c>
      <c r="N1095" t="str">
        <f t="shared" si="154"/>
        <v>HOLDING REGISTER</v>
      </c>
      <c r="O1095" t="str">
        <f t="shared" si="155"/>
        <v>BOOL</v>
      </c>
      <c r="P1095" t="str">
        <f t="shared" si="156"/>
        <v>TELECAMERA T19N</v>
      </c>
      <c r="R1095" t="str">
        <f t="shared" si="157"/>
        <v>disponibile</v>
      </c>
      <c r="U1095" t="str">
        <f t="shared" si="158"/>
        <v>Allarme</v>
      </c>
      <c r="V1095" t="str">
        <f t="shared" si="159"/>
        <v>DIREZIONE NORD</v>
      </c>
      <c r="W1095" t="str">
        <f t="shared" si="160"/>
        <v>GALLERIA SAN GIULIANO</v>
      </c>
      <c r="Z1095" t="str">
        <f t="shared" si="161"/>
        <v>10.220.80.16</v>
      </c>
    </row>
    <row r="1096" spans="1:26" x14ac:dyDescent="0.25">
      <c r="A1096" t="s">
        <v>10</v>
      </c>
      <c r="B1096" t="s">
        <v>1063</v>
      </c>
      <c r="C1096" t="s">
        <v>1761</v>
      </c>
      <c r="D1096" t="s">
        <v>1619</v>
      </c>
      <c r="E1096" t="s">
        <v>1828</v>
      </c>
      <c r="F1096" t="s">
        <v>14</v>
      </c>
      <c r="G1096" t="s">
        <v>1375</v>
      </c>
      <c r="H1096" t="s">
        <v>22</v>
      </c>
      <c r="I1096" t="s">
        <v>1839</v>
      </c>
      <c r="J1096" t="s">
        <v>1375</v>
      </c>
      <c r="K1096" t="str">
        <f t="shared" si="153"/>
        <v>1227.10</v>
      </c>
      <c r="N1096" t="str">
        <f t="shared" si="154"/>
        <v>HOLDING REGISTER</v>
      </c>
      <c r="O1096" t="str">
        <f t="shared" si="155"/>
        <v>BOOL</v>
      </c>
      <c r="P1096" t="str">
        <f t="shared" si="156"/>
        <v>TELECAMERA T19N</v>
      </c>
      <c r="R1096" t="str">
        <f t="shared" si="157"/>
        <v>disponibile</v>
      </c>
      <c r="U1096" t="str">
        <f t="shared" si="158"/>
        <v>disponibile</v>
      </c>
      <c r="V1096" t="str">
        <f t="shared" si="159"/>
        <v>DIREZIONE NORD</v>
      </c>
      <c r="W1096" t="str">
        <f t="shared" si="160"/>
        <v>GALLERIA SAN GIULIANO</v>
      </c>
      <c r="Z1096" t="str">
        <f t="shared" si="161"/>
        <v>10.220.80.16</v>
      </c>
    </row>
    <row r="1097" spans="1:26" x14ac:dyDescent="0.25">
      <c r="A1097" t="s">
        <v>10</v>
      </c>
      <c r="B1097" t="s">
        <v>1063</v>
      </c>
      <c r="C1097" t="s">
        <v>1761</v>
      </c>
      <c r="D1097" t="s">
        <v>1619</v>
      </c>
      <c r="E1097" t="s">
        <v>1828</v>
      </c>
      <c r="F1097" t="s">
        <v>14</v>
      </c>
      <c r="G1097" t="s">
        <v>1375</v>
      </c>
      <c r="H1097" t="s">
        <v>22</v>
      </c>
      <c r="I1097" t="s">
        <v>1840</v>
      </c>
      <c r="J1097" t="s">
        <v>1375</v>
      </c>
      <c r="K1097" t="str">
        <f t="shared" si="153"/>
        <v>1227.11</v>
      </c>
      <c r="N1097" t="str">
        <f t="shared" si="154"/>
        <v>HOLDING REGISTER</v>
      </c>
      <c r="O1097" t="str">
        <f t="shared" si="155"/>
        <v>BOOL</v>
      </c>
      <c r="P1097" t="str">
        <f t="shared" si="156"/>
        <v>TELECAMERA T19N</v>
      </c>
      <c r="R1097" t="str">
        <f t="shared" si="157"/>
        <v>disponibile</v>
      </c>
      <c r="U1097" t="str">
        <f t="shared" si="158"/>
        <v>disponibile</v>
      </c>
      <c r="V1097" t="str">
        <f t="shared" si="159"/>
        <v>DIREZIONE NORD</v>
      </c>
      <c r="W1097" t="str">
        <f t="shared" si="160"/>
        <v>GALLERIA SAN GIULIANO</v>
      </c>
      <c r="Z1097" t="str">
        <f t="shared" si="161"/>
        <v>10.220.80.16</v>
      </c>
    </row>
    <row r="1098" spans="1:26" x14ac:dyDescent="0.25">
      <c r="A1098" t="s">
        <v>10</v>
      </c>
      <c r="B1098" t="s">
        <v>1063</v>
      </c>
      <c r="C1098" t="s">
        <v>1761</v>
      </c>
      <c r="D1098" t="s">
        <v>1619</v>
      </c>
      <c r="E1098" t="s">
        <v>1828</v>
      </c>
      <c r="F1098" t="s">
        <v>14</v>
      </c>
      <c r="G1098" t="s">
        <v>1375</v>
      </c>
      <c r="H1098" t="s">
        <v>22</v>
      </c>
      <c r="I1098" t="s">
        <v>1841</v>
      </c>
      <c r="J1098" t="s">
        <v>1375</v>
      </c>
      <c r="K1098" t="str">
        <f t="shared" si="153"/>
        <v>1227.12</v>
      </c>
      <c r="N1098" t="str">
        <f t="shared" si="154"/>
        <v>HOLDING REGISTER</v>
      </c>
      <c r="O1098" t="str">
        <f t="shared" si="155"/>
        <v>BOOL</v>
      </c>
      <c r="P1098" t="str">
        <f t="shared" si="156"/>
        <v>TELECAMERA T19N</v>
      </c>
      <c r="R1098" t="str">
        <f t="shared" si="157"/>
        <v>disponibile</v>
      </c>
      <c r="U1098" t="str">
        <f t="shared" si="158"/>
        <v>disponibile</v>
      </c>
      <c r="V1098" t="str">
        <f t="shared" si="159"/>
        <v>DIREZIONE NORD</v>
      </c>
      <c r="W1098" t="str">
        <f t="shared" si="160"/>
        <v>GALLERIA SAN GIULIANO</v>
      </c>
      <c r="Z1098" t="str">
        <f t="shared" si="161"/>
        <v>10.220.80.16</v>
      </c>
    </row>
    <row r="1099" spans="1:26" x14ac:dyDescent="0.25">
      <c r="A1099" t="s">
        <v>10</v>
      </c>
      <c r="B1099" t="s">
        <v>1063</v>
      </c>
      <c r="C1099" t="s">
        <v>1761</v>
      </c>
      <c r="D1099" t="s">
        <v>1619</v>
      </c>
      <c r="E1099" t="s">
        <v>1828</v>
      </c>
      <c r="F1099" t="s">
        <v>14</v>
      </c>
      <c r="G1099" t="s">
        <v>1375</v>
      </c>
      <c r="H1099" t="s">
        <v>22</v>
      </c>
      <c r="I1099" t="s">
        <v>1842</v>
      </c>
      <c r="J1099" t="s">
        <v>1375</v>
      </c>
      <c r="K1099" t="str">
        <f t="shared" si="153"/>
        <v>1227.13</v>
      </c>
      <c r="N1099" t="str">
        <f t="shared" si="154"/>
        <v>HOLDING REGISTER</v>
      </c>
      <c r="O1099" t="str">
        <f t="shared" si="155"/>
        <v>BOOL</v>
      </c>
      <c r="P1099" t="str">
        <f t="shared" si="156"/>
        <v>TELECAMERA T19N</v>
      </c>
      <c r="R1099" t="str">
        <f t="shared" si="157"/>
        <v>disponibile</v>
      </c>
      <c r="U1099" t="str">
        <f t="shared" si="158"/>
        <v>disponibile</v>
      </c>
      <c r="V1099" t="str">
        <f t="shared" si="159"/>
        <v>DIREZIONE NORD</v>
      </c>
      <c r="W1099" t="str">
        <f t="shared" si="160"/>
        <v>GALLERIA SAN GIULIANO</v>
      </c>
      <c r="Z1099" t="str">
        <f t="shared" si="161"/>
        <v>10.220.80.16</v>
      </c>
    </row>
    <row r="1100" spans="1:26" x14ac:dyDescent="0.25">
      <c r="A1100" t="s">
        <v>10</v>
      </c>
      <c r="B1100" t="s">
        <v>1063</v>
      </c>
      <c r="C1100" t="s">
        <v>1761</v>
      </c>
      <c r="D1100" t="s">
        <v>1619</v>
      </c>
      <c r="E1100" t="s">
        <v>1828</v>
      </c>
      <c r="F1100" t="s">
        <v>14</v>
      </c>
      <c r="G1100" t="s">
        <v>1375</v>
      </c>
      <c r="H1100" t="s">
        <v>22</v>
      </c>
      <c r="I1100" t="s">
        <v>1843</v>
      </c>
      <c r="J1100" t="s">
        <v>1375</v>
      </c>
      <c r="K1100" t="str">
        <f t="shared" si="153"/>
        <v>1227.14</v>
      </c>
      <c r="N1100" t="str">
        <f t="shared" si="154"/>
        <v>HOLDING REGISTER</v>
      </c>
      <c r="O1100" t="str">
        <f t="shared" si="155"/>
        <v>BOOL</v>
      </c>
      <c r="P1100" t="str">
        <f t="shared" si="156"/>
        <v>TELECAMERA T19N</v>
      </c>
      <c r="R1100" t="str">
        <f t="shared" si="157"/>
        <v>disponibile</v>
      </c>
      <c r="U1100" t="str">
        <f t="shared" si="158"/>
        <v>disponibile</v>
      </c>
      <c r="V1100" t="str">
        <f t="shared" si="159"/>
        <v>DIREZIONE NORD</v>
      </c>
      <c r="W1100" t="str">
        <f t="shared" si="160"/>
        <v>GALLERIA SAN GIULIANO</v>
      </c>
      <c r="Z1100" t="str">
        <f t="shared" si="161"/>
        <v>10.220.80.16</v>
      </c>
    </row>
    <row r="1101" spans="1:26" x14ac:dyDescent="0.25">
      <c r="A1101" t="s">
        <v>10</v>
      </c>
      <c r="B1101" t="s">
        <v>1063</v>
      </c>
      <c r="C1101" t="s">
        <v>1761</v>
      </c>
      <c r="D1101" t="s">
        <v>1619</v>
      </c>
      <c r="E1101" t="s">
        <v>1828</v>
      </c>
      <c r="F1101" t="s">
        <v>14</v>
      </c>
      <c r="G1101" t="s">
        <v>1375</v>
      </c>
      <c r="H1101" t="s">
        <v>22</v>
      </c>
      <c r="I1101" t="s">
        <v>1844</v>
      </c>
      <c r="J1101" t="s">
        <v>1375</v>
      </c>
      <c r="K1101" t="str">
        <f t="shared" si="153"/>
        <v>1227.15</v>
      </c>
      <c r="N1101" t="str">
        <f t="shared" si="154"/>
        <v>HOLDING REGISTER</v>
      </c>
      <c r="O1101" t="str">
        <f t="shared" si="155"/>
        <v>BOOL</v>
      </c>
      <c r="P1101" t="str">
        <f t="shared" si="156"/>
        <v>TELECAMERA T19N</v>
      </c>
      <c r="R1101" t="str">
        <f t="shared" si="157"/>
        <v>disponibile</v>
      </c>
      <c r="U1101" t="str">
        <f t="shared" si="158"/>
        <v>disponibile</v>
      </c>
      <c r="V1101" t="str">
        <f t="shared" si="159"/>
        <v>DIREZIONE NORD</v>
      </c>
      <c r="W1101" t="str">
        <f t="shared" si="160"/>
        <v>GALLERIA SAN GIULIANO</v>
      </c>
      <c r="Z1101" t="str">
        <f t="shared" si="161"/>
        <v>10.220.80.16</v>
      </c>
    </row>
    <row r="1102" spans="1:26" x14ac:dyDescent="0.25">
      <c r="A1102" t="s">
        <v>10</v>
      </c>
      <c r="B1102" t="s">
        <v>1063</v>
      </c>
      <c r="C1102" t="s">
        <v>1761</v>
      </c>
      <c r="D1102" t="s">
        <v>1619</v>
      </c>
      <c r="E1102" t="s">
        <v>1845</v>
      </c>
      <c r="F1102" t="s">
        <v>14</v>
      </c>
      <c r="G1102" t="s">
        <v>28</v>
      </c>
      <c r="H1102" t="s">
        <v>22</v>
      </c>
      <c r="I1102" t="s">
        <v>1846</v>
      </c>
      <c r="J1102" t="s">
        <v>1622</v>
      </c>
      <c r="K1102" t="str">
        <f t="shared" si="153"/>
        <v>1228.0</v>
      </c>
      <c r="N1102" t="str">
        <f t="shared" si="154"/>
        <v>HOLDING REGISTER</v>
      </c>
      <c r="O1102" t="str">
        <f t="shared" si="155"/>
        <v>BOOL</v>
      </c>
      <c r="P1102" t="str">
        <f t="shared" si="156"/>
        <v>TELECAMERA T20N</v>
      </c>
      <c r="R1102" t="str">
        <f t="shared" si="157"/>
        <v>ALLARMI TELECAMERA ESCLUSI</v>
      </c>
      <c r="U1102" t="str">
        <f t="shared" si="158"/>
        <v>Allarme</v>
      </c>
      <c r="V1102" t="str">
        <f t="shared" si="159"/>
        <v>DIREZIONE NORD</v>
      </c>
      <c r="W1102" t="str">
        <f t="shared" si="160"/>
        <v>GALLERIA SAN GIULIANO</v>
      </c>
      <c r="Z1102" t="str">
        <f t="shared" si="161"/>
        <v>10.220.80.16</v>
      </c>
    </row>
    <row r="1103" spans="1:26" x14ac:dyDescent="0.25">
      <c r="A1103" t="s">
        <v>10</v>
      </c>
      <c r="B1103" t="s">
        <v>1063</v>
      </c>
      <c r="C1103" t="s">
        <v>1761</v>
      </c>
      <c r="D1103" t="s">
        <v>1619</v>
      </c>
      <c r="E1103" t="s">
        <v>1845</v>
      </c>
      <c r="F1103" t="s">
        <v>14</v>
      </c>
      <c r="G1103" t="s">
        <v>28</v>
      </c>
      <c r="H1103" t="s">
        <v>22</v>
      </c>
      <c r="I1103" t="s">
        <v>1847</v>
      </c>
      <c r="J1103" t="s">
        <v>1624</v>
      </c>
      <c r="K1103" t="str">
        <f t="shared" si="153"/>
        <v>1228.1</v>
      </c>
      <c r="N1103" t="str">
        <f t="shared" si="154"/>
        <v>HOLDING REGISTER</v>
      </c>
      <c r="O1103" t="str">
        <f t="shared" si="155"/>
        <v>BOOL</v>
      </c>
      <c r="P1103" t="str">
        <f t="shared" si="156"/>
        <v>TELECAMERA T20N</v>
      </c>
      <c r="R1103" t="str">
        <f t="shared" si="157"/>
        <v>IN MANUTENZIONE ALLARME FUMO</v>
      </c>
      <c r="U1103" t="str">
        <f t="shared" si="158"/>
        <v>Allarme</v>
      </c>
      <c r="V1103" t="str">
        <f t="shared" si="159"/>
        <v>DIREZIONE NORD</v>
      </c>
      <c r="W1103" t="str">
        <f t="shared" si="160"/>
        <v>GALLERIA SAN GIULIANO</v>
      </c>
      <c r="Z1103" t="str">
        <f t="shared" si="161"/>
        <v>10.220.80.16</v>
      </c>
    </row>
    <row r="1104" spans="1:26" x14ac:dyDescent="0.25">
      <c r="A1104" t="s">
        <v>10</v>
      </c>
      <c r="B1104" t="s">
        <v>1063</v>
      </c>
      <c r="C1104" t="s">
        <v>1761</v>
      </c>
      <c r="D1104" t="s">
        <v>1619</v>
      </c>
      <c r="E1104" t="s">
        <v>1845</v>
      </c>
      <c r="F1104" t="s">
        <v>14</v>
      </c>
      <c r="G1104" t="s">
        <v>1375</v>
      </c>
      <c r="H1104" t="s">
        <v>22</v>
      </c>
      <c r="I1104" t="s">
        <v>1848</v>
      </c>
      <c r="J1104" t="s">
        <v>1626</v>
      </c>
      <c r="K1104" t="str">
        <f t="shared" si="153"/>
        <v>1228.2</v>
      </c>
      <c r="N1104" t="str">
        <f t="shared" si="154"/>
        <v>HOLDING REGISTER</v>
      </c>
      <c r="O1104" t="str">
        <f t="shared" si="155"/>
        <v>BOOL</v>
      </c>
      <c r="P1104" t="str">
        <f t="shared" si="156"/>
        <v>TELECAMERA T20N</v>
      </c>
      <c r="R1104" t="str">
        <f t="shared" si="157"/>
        <v>IN MANUTENZIONE ALLARMI TRAFFICO</v>
      </c>
      <c r="U1104" t="str">
        <f t="shared" si="158"/>
        <v>disponibile</v>
      </c>
      <c r="V1104" t="str">
        <f t="shared" si="159"/>
        <v>DIREZIONE NORD</v>
      </c>
      <c r="W1104" t="str">
        <f t="shared" si="160"/>
        <v>GALLERIA SAN GIULIANO</v>
      </c>
      <c r="Z1104" t="str">
        <f t="shared" si="161"/>
        <v>10.220.80.16</v>
      </c>
    </row>
    <row r="1105" spans="1:26" x14ac:dyDescent="0.25">
      <c r="A1105" t="s">
        <v>10</v>
      </c>
      <c r="B1105" t="s">
        <v>1063</v>
      </c>
      <c r="C1105" t="s">
        <v>1761</v>
      </c>
      <c r="D1105" t="s">
        <v>1619</v>
      </c>
      <c r="E1105" t="s">
        <v>1845</v>
      </c>
      <c r="F1105" t="s">
        <v>14</v>
      </c>
      <c r="G1105" t="s">
        <v>28</v>
      </c>
      <c r="H1105" t="s">
        <v>22</v>
      </c>
      <c r="I1105" t="s">
        <v>1849</v>
      </c>
      <c r="J1105" t="s">
        <v>1375</v>
      </c>
      <c r="K1105" t="str">
        <f t="shared" si="153"/>
        <v>1228.3</v>
      </c>
      <c r="N1105" t="str">
        <f t="shared" si="154"/>
        <v>HOLDING REGISTER</v>
      </c>
      <c r="O1105" t="str">
        <f t="shared" si="155"/>
        <v>BOOL</v>
      </c>
      <c r="P1105" t="str">
        <f t="shared" si="156"/>
        <v>TELECAMERA T20N</v>
      </c>
      <c r="R1105" t="str">
        <f t="shared" si="157"/>
        <v>disponibile</v>
      </c>
      <c r="U1105" t="str">
        <f t="shared" si="158"/>
        <v>Allarme</v>
      </c>
      <c r="V1105" t="str">
        <f t="shared" si="159"/>
        <v>DIREZIONE NORD</v>
      </c>
      <c r="W1105" t="str">
        <f t="shared" si="160"/>
        <v>GALLERIA SAN GIULIANO</v>
      </c>
      <c r="Z1105" t="str">
        <f t="shared" si="161"/>
        <v>10.220.80.16</v>
      </c>
    </row>
    <row r="1106" spans="1:26" x14ac:dyDescent="0.25">
      <c r="A1106" t="s">
        <v>10</v>
      </c>
      <c r="B1106" t="s">
        <v>1063</v>
      </c>
      <c r="C1106" t="s">
        <v>1761</v>
      </c>
      <c r="D1106" t="s">
        <v>1619</v>
      </c>
      <c r="E1106" t="s">
        <v>1845</v>
      </c>
      <c r="F1106" t="s">
        <v>14</v>
      </c>
      <c r="G1106" t="s">
        <v>28</v>
      </c>
      <c r="H1106" t="s">
        <v>22</v>
      </c>
      <c r="I1106" t="s">
        <v>1850</v>
      </c>
      <c r="J1106" t="s">
        <v>1375</v>
      </c>
      <c r="K1106" t="str">
        <f t="shared" si="153"/>
        <v>1228.4</v>
      </c>
      <c r="N1106" t="str">
        <f t="shared" si="154"/>
        <v>HOLDING REGISTER</v>
      </c>
      <c r="O1106" t="str">
        <f t="shared" si="155"/>
        <v>BOOL</v>
      </c>
      <c r="P1106" t="str">
        <f t="shared" si="156"/>
        <v>TELECAMERA T20N</v>
      </c>
      <c r="R1106" t="str">
        <f t="shared" si="157"/>
        <v>disponibile</v>
      </c>
      <c r="U1106" t="str">
        <f t="shared" si="158"/>
        <v>Allarme</v>
      </c>
      <c r="V1106" t="str">
        <f t="shared" si="159"/>
        <v>DIREZIONE NORD</v>
      </c>
      <c r="W1106" t="str">
        <f t="shared" si="160"/>
        <v>GALLERIA SAN GIULIANO</v>
      </c>
      <c r="Z1106" t="str">
        <f t="shared" si="161"/>
        <v>10.220.80.16</v>
      </c>
    </row>
    <row r="1107" spans="1:26" x14ac:dyDescent="0.25">
      <c r="A1107" t="s">
        <v>10</v>
      </c>
      <c r="B1107" t="s">
        <v>1063</v>
      </c>
      <c r="C1107" t="s">
        <v>1761</v>
      </c>
      <c r="D1107" t="s">
        <v>1619</v>
      </c>
      <c r="E1107" t="s">
        <v>1845</v>
      </c>
      <c r="F1107" t="s">
        <v>14</v>
      </c>
      <c r="G1107" t="s">
        <v>1375</v>
      </c>
      <c r="H1107" t="s">
        <v>22</v>
      </c>
      <c r="I1107" t="s">
        <v>1851</v>
      </c>
      <c r="J1107" t="s">
        <v>1375</v>
      </c>
      <c r="K1107" t="str">
        <f t="shared" si="153"/>
        <v>1228.5</v>
      </c>
      <c r="N1107" t="str">
        <f t="shared" si="154"/>
        <v>HOLDING REGISTER</v>
      </c>
      <c r="O1107" t="str">
        <f t="shared" si="155"/>
        <v>BOOL</v>
      </c>
      <c r="P1107" t="str">
        <f t="shared" si="156"/>
        <v>TELECAMERA T20N</v>
      </c>
      <c r="R1107" t="str">
        <f t="shared" si="157"/>
        <v>disponibile</v>
      </c>
      <c r="U1107" t="str">
        <f t="shared" si="158"/>
        <v>disponibile</v>
      </c>
      <c r="V1107" t="str">
        <f t="shared" si="159"/>
        <v>DIREZIONE NORD</v>
      </c>
      <c r="W1107" t="str">
        <f t="shared" si="160"/>
        <v>GALLERIA SAN GIULIANO</v>
      </c>
      <c r="Z1107" t="str">
        <f t="shared" si="161"/>
        <v>10.220.80.16</v>
      </c>
    </row>
    <row r="1108" spans="1:26" x14ac:dyDescent="0.25">
      <c r="A1108" t="s">
        <v>10</v>
      </c>
      <c r="B1108" t="s">
        <v>1063</v>
      </c>
      <c r="C1108" t="s">
        <v>1761</v>
      </c>
      <c r="D1108" t="s">
        <v>1619</v>
      </c>
      <c r="E1108" t="s">
        <v>1845</v>
      </c>
      <c r="F1108" t="s">
        <v>14</v>
      </c>
      <c r="G1108" t="s">
        <v>28</v>
      </c>
      <c r="H1108" t="s">
        <v>22</v>
      </c>
      <c r="I1108" t="s">
        <v>1852</v>
      </c>
      <c r="J1108" t="s">
        <v>1375</v>
      </c>
      <c r="K1108" t="str">
        <f t="shared" si="153"/>
        <v>1228.6</v>
      </c>
      <c r="N1108" t="str">
        <f t="shared" si="154"/>
        <v>HOLDING REGISTER</v>
      </c>
      <c r="O1108" t="str">
        <f t="shared" si="155"/>
        <v>BOOL</v>
      </c>
      <c r="P1108" t="str">
        <f t="shared" si="156"/>
        <v>TELECAMERA T20N</v>
      </c>
      <c r="R1108" t="str">
        <f t="shared" si="157"/>
        <v>disponibile</v>
      </c>
      <c r="U1108" t="str">
        <f t="shared" si="158"/>
        <v>Allarme</v>
      </c>
      <c r="V1108" t="str">
        <f t="shared" si="159"/>
        <v>DIREZIONE NORD</v>
      </c>
      <c r="W1108" t="str">
        <f t="shared" si="160"/>
        <v>GALLERIA SAN GIULIANO</v>
      </c>
      <c r="Z1108" t="str">
        <f t="shared" si="161"/>
        <v>10.220.80.16</v>
      </c>
    </row>
    <row r="1109" spans="1:26" x14ac:dyDescent="0.25">
      <c r="A1109" t="s">
        <v>10</v>
      </c>
      <c r="B1109" t="s">
        <v>1063</v>
      </c>
      <c r="C1109" t="s">
        <v>1761</v>
      </c>
      <c r="D1109" t="s">
        <v>1619</v>
      </c>
      <c r="E1109" t="s">
        <v>1845</v>
      </c>
      <c r="F1109" t="s">
        <v>14</v>
      </c>
      <c r="G1109" t="s">
        <v>28</v>
      </c>
      <c r="H1109" t="s">
        <v>22</v>
      </c>
      <c r="I1109" t="s">
        <v>1853</v>
      </c>
      <c r="J1109" t="s">
        <v>1375</v>
      </c>
      <c r="K1109" t="str">
        <f t="shared" si="153"/>
        <v>1228.7</v>
      </c>
      <c r="N1109" t="str">
        <f t="shared" si="154"/>
        <v>HOLDING REGISTER</v>
      </c>
      <c r="O1109" t="str">
        <f t="shared" si="155"/>
        <v>BOOL</v>
      </c>
      <c r="P1109" t="str">
        <f t="shared" si="156"/>
        <v>TELECAMERA T20N</v>
      </c>
      <c r="R1109" t="str">
        <f t="shared" si="157"/>
        <v>disponibile</v>
      </c>
      <c r="U1109" t="str">
        <f t="shared" si="158"/>
        <v>Allarme</v>
      </c>
      <c r="V1109" t="str">
        <f t="shared" si="159"/>
        <v>DIREZIONE NORD</v>
      </c>
      <c r="W1109" t="str">
        <f t="shared" si="160"/>
        <v>GALLERIA SAN GIULIANO</v>
      </c>
      <c r="Z1109" t="str">
        <f t="shared" si="161"/>
        <v>10.220.80.16</v>
      </c>
    </row>
    <row r="1110" spans="1:26" x14ac:dyDescent="0.25">
      <c r="A1110" t="s">
        <v>10</v>
      </c>
      <c r="B1110" t="s">
        <v>1063</v>
      </c>
      <c r="C1110" t="s">
        <v>1761</v>
      </c>
      <c r="D1110" t="s">
        <v>1619</v>
      </c>
      <c r="E1110" t="s">
        <v>1845</v>
      </c>
      <c r="F1110" t="s">
        <v>14</v>
      </c>
      <c r="G1110" t="s">
        <v>28</v>
      </c>
      <c r="H1110" t="s">
        <v>22</v>
      </c>
      <c r="I1110" t="s">
        <v>1854</v>
      </c>
      <c r="J1110" t="s">
        <v>1375</v>
      </c>
      <c r="K1110" t="str">
        <f t="shared" si="153"/>
        <v>1228.8</v>
      </c>
      <c r="N1110" t="str">
        <f t="shared" si="154"/>
        <v>HOLDING REGISTER</v>
      </c>
      <c r="O1110" t="str">
        <f t="shared" si="155"/>
        <v>BOOL</v>
      </c>
      <c r="P1110" t="str">
        <f t="shared" si="156"/>
        <v>TELECAMERA T20N</v>
      </c>
      <c r="R1110" t="str">
        <f t="shared" si="157"/>
        <v>disponibile</v>
      </c>
      <c r="U1110" t="str">
        <f t="shared" si="158"/>
        <v>Allarme</v>
      </c>
      <c r="V1110" t="str">
        <f t="shared" si="159"/>
        <v>DIREZIONE NORD</v>
      </c>
      <c r="W1110" t="str">
        <f t="shared" si="160"/>
        <v>GALLERIA SAN GIULIANO</v>
      </c>
      <c r="Z1110" t="str">
        <f t="shared" si="161"/>
        <v>10.220.80.16</v>
      </c>
    </row>
    <row r="1111" spans="1:26" x14ac:dyDescent="0.25">
      <c r="A1111" t="s">
        <v>10</v>
      </c>
      <c r="B1111" t="s">
        <v>1063</v>
      </c>
      <c r="C1111" t="s">
        <v>1761</v>
      </c>
      <c r="D1111" t="s">
        <v>1619</v>
      </c>
      <c r="E1111" t="s">
        <v>1845</v>
      </c>
      <c r="F1111" t="s">
        <v>14</v>
      </c>
      <c r="G1111" t="s">
        <v>28</v>
      </c>
      <c r="H1111" t="s">
        <v>22</v>
      </c>
      <c r="I1111" t="s">
        <v>1855</v>
      </c>
      <c r="J1111" t="s">
        <v>1375</v>
      </c>
      <c r="K1111" t="str">
        <f t="shared" si="153"/>
        <v>1228.9</v>
      </c>
      <c r="N1111" t="str">
        <f t="shared" si="154"/>
        <v>HOLDING REGISTER</v>
      </c>
      <c r="O1111" t="str">
        <f t="shared" si="155"/>
        <v>BOOL</v>
      </c>
      <c r="P1111" t="str">
        <f t="shared" si="156"/>
        <v>TELECAMERA T20N</v>
      </c>
      <c r="R1111" t="str">
        <f t="shared" si="157"/>
        <v>disponibile</v>
      </c>
      <c r="U1111" t="str">
        <f t="shared" si="158"/>
        <v>Allarme</v>
      </c>
      <c r="V1111" t="str">
        <f t="shared" si="159"/>
        <v>DIREZIONE NORD</v>
      </c>
      <c r="W1111" t="str">
        <f t="shared" si="160"/>
        <v>GALLERIA SAN GIULIANO</v>
      </c>
      <c r="Z1111" t="str">
        <f t="shared" si="161"/>
        <v>10.220.80.16</v>
      </c>
    </row>
    <row r="1112" spans="1:26" x14ac:dyDescent="0.25">
      <c r="A1112" t="s">
        <v>10</v>
      </c>
      <c r="B1112" t="s">
        <v>1063</v>
      </c>
      <c r="C1112" t="s">
        <v>1761</v>
      </c>
      <c r="D1112" t="s">
        <v>1619</v>
      </c>
      <c r="E1112" t="s">
        <v>1845</v>
      </c>
      <c r="F1112" t="s">
        <v>14</v>
      </c>
      <c r="G1112" t="s">
        <v>1375</v>
      </c>
      <c r="H1112" t="s">
        <v>22</v>
      </c>
      <c r="I1112" t="s">
        <v>1856</v>
      </c>
      <c r="J1112" t="s">
        <v>1375</v>
      </c>
      <c r="K1112" t="str">
        <f t="shared" si="153"/>
        <v>1228.10</v>
      </c>
      <c r="N1112" t="str">
        <f t="shared" si="154"/>
        <v>HOLDING REGISTER</v>
      </c>
      <c r="O1112" t="str">
        <f t="shared" si="155"/>
        <v>BOOL</v>
      </c>
      <c r="P1112" t="str">
        <f t="shared" si="156"/>
        <v>TELECAMERA T20N</v>
      </c>
      <c r="R1112" t="str">
        <f t="shared" si="157"/>
        <v>disponibile</v>
      </c>
      <c r="U1112" t="str">
        <f t="shared" si="158"/>
        <v>disponibile</v>
      </c>
      <c r="V1112" t="str">
        <f t="shared" si="159"/>
        <v>DIREZIONE NORD</v>
      </c>
      <c r="W1112" t="str">
        <f t="shared" si="160"/>
        <v>GALLERIA SAN GIULIANO</v>
      </c>
      <c r="Z1112" t="str">
        <f t="shared" si="161"/>
        <v>10.220.80.16</v>
      </c>
    </row>
    <row r="1113" spans="1:26" x14ac:dyDescent="0.25">
      <c r="A1113" t="s">
        <v>10</v>
      </c>
      <c r="B1113" t="s">
        <v>1063</v>
      </c>
      <c r="C1113" t="s">
        <v>1761</v>
      </c>
      <c r="D1113" t="s">
        <v>1619</v>
      </c>
      <c r="E1113" t="s">
        <v>1845</v>
      </c>
      <c r="F1113" t="s">
        <v>14</v>
      </c>
      <c r="G1113" t="s">
        <v>1375</v>
      </c>
      <c r="H1113" t="s">
        <v>22</v>
      </c>
      <c r="I1113" t="s">
        <v>1857</v>
      </c>
      <c r="J1113" t="s">
        <v>1375</v>
      </c>
      <c r="K1113" t="str">
        <f t="shared" si="153"/>
        <v>1228.11</v>
      </c>
      <c r="N1113" t="str">
        <f t="shared" si="154"/>
        <v>HOLDING REGISTER</v>
      </c>
      <c r="O1113" t="str">
        <f t="shared" si="155"/>
        <v>BOOL</v>
      </c>
      <c r="P1113" t="str">
        <f t="shared" si="156"/>
        <v>TELECAMERA T20N</v>
      </c>
      <c r="R1113" t="str">
        <f t="shared" si="157"/>
        <v>disponibile</v>
      </c>
      <c r="U1113" t="str">
        <f t="shared" si="158"/>
        <v>disponibile</v>
      </c>
      <c r="V1113" t="str">
        <f t="shared" si="159"/>
        <v>DIREZIONE NORD</v>
      </c>
      <c r="W1113" t="str">
        <f t="shared" si="160"/>
        <v>GALLERIA SAN GIULIANO</v>
      </c>
      <c r="Z1113" t="str">
        <f t="shared" si="161"/>
        <v>10.220.80.16</v>
      </c>
    </row>
    <row r="1114" spans="1:26" x14ac:dyDescent="0.25">
      <c r="A1114" t="s">
        <v>10</v>
      </c>
      <c r="B1114" t="s">
        <v>1063</v>
      </c>
      <c r="C1114" t="s">
        <v>1761</v>
      </c>
      <c r="D1114" t="s">
        <v>1619</v>
      </c>
      <c r="E1114" t="s">
        <v>1845</v>
      </c>
      <c r="F1114" t="s">
        <v>14</v>
      </c>
      <c r="G1114" t="s">
        <v>1375</v>
      </c>
      <c r="H1114" t="s">
        <v>22</v>
      </c>
      <c r="I1114" t="s">
        <v>1858</v>
      </c>
      <c r="J1114" t="s">
        <v>1375</v>
      </c>
      <c r="K1114" t="str">
        <f t="shared" si="153"/>
        <v>1228.12</v>
      </c>
      <c r="N1114" t="str">
        <f t="shared" si="154"/>
        <v>HOLDING REGISTER</v>
      </c>
      <c r="O1114" t="str">
        <f t="shared" si="155"/>
        <v>BOOL</v>
      </c>
      <c r="P1114" t="str">
        <f t="shared" si="156"/>
        <v>TELECAMERA T20N</v>
      </c>
      <c r="R1114" t="str">
        <f t="shared" si="157"/>
        <v>disponibile</v>
      </c>
      <c r="U1114" t="str">
        <f t="shared" si="158"/>
        <v>disponibile</v>
      </c>
      <c r="V1114" t="str">
        <f t="shared" si="159"/>
        <v>DIREZIONE NORD</v>
      </c>
      <c r="W1114" t="str">
        <f t="shared" si="160"/>
        <v>GALLERIA SAN GIULIANO</v>
      </c>
      <c r="Z1114" t="str">
        <f t="shared" si="161"/>
        <v>10.220.80.16</v>
      </c>
    </row>
    <row r="1115" spans="1:26" x14ac:dyDescent="0.25">
      <c r="A1115" t="s">
        <v>10</v>
      </c>
      <c r="B1115" t="s">
        <v>1063</v>
      </c>
      <c r="C1115" t="s">
        <v>1761</v>
      </c>
      <c r="D1115" t="s">
        <v>1619</v>
      </c>
      <c r="E1115" t="s">
        <v>1845</v>
      </c>
      <c r="F1115" t="s">
        <v>14</v>
      </c>
      <c r="G1115" t="s">
        <v>1375</v>
      </c>
      <c r="H1115" t="s">
        <v>22</v>
      </c>
      <c r="I1115" t="s">
        <v>1859</v>
      </c>
      <c r="J1115" t="s">
        <v>1375</v>
      </c>
      <c r="K1115" t="str">
        <f t="shared" si="153"/>
        <v>1228.13</v>
      </c>
      <c r="N1115" t="str">
        <f t="shared" si="154"/>
        <v>HOLDING REGISTER</v>
      </c>
      <c r="O1115" t="str">
        <f t="shared" si="155"/>
        <v>BOOL</v>
      </c>
      <c r="P1115" t="str">
        <f t="shared" si="156"/>
        <v>TELECAMERA T20N</v>
      </c>
      <c r="R1115" t="str">
        <f t="shared" si="157"/>
        <v>disponibile</v>
      </c>
      <c r="U1115" t="str">
        <f t="shared" si="158"/>
        <v>disponibile</v>
      </c>
      <c r="V1115" t="str">
        <f t="shared" si="159"/>
        <v>DIREZIONE NORD</v>
      </c>
      <c r="W1115" t="str">
        <f t="shared" si="160"/>
        <v>GALLERIA SAN GIULIANO</v>
      </c>
      <c r="Z1115" t="str">
        <f t="shared" si="161"/>
        <v>10.220.80.16</v>
      </c>
    </row>
    <row r="1116" spans="1:26" x14ac:dyDescent="0.25">
      <c r="A1116" t="s">
        <v>10</v>
      </c>
      <c r="B1116" t="s">
        <v>1063</v>
      </c>
      <c r="C1116" t="s">
        <v>1761</v>
      </c>
      <c r="D1116" t="s">
        <v>1619</v>
      </c>
      <c r="E1116" t="s">
        <v>1845</v>
      </c>
      <c r="F1116" t="s">
        <v>14</v>
      </c>
      <c r="G1116" t="s">
        <v>1375</v>
      </c>
      <c r="H1116" t="s">
        <v>22</v>
      </c>
      <c r="I1116" t="s">
        <v>1860</v>
      </c>
      <c r="J1116" t="s">
        <v>1375</v>
      </c>
      <c r="K1116" t="str">
        <f t="shared" si="153"/>
        <v>1228.14</v>
      </c>
      <c r="N1116" t="str">
        <f t="shared" si="154"/>
        <v>HOLDING REGISTER</v>
      </c>
      <c r="O1116" t="str">
        <f t="shared" si="155"/>
        <v>BOOL</v>
      </c>
      <c r="P1116" t="str">
        <f t="shared" si="156"/>
        <v>TELECAMERA T20N</v>
      </c>
      <c r="R1116" t="str">
        <f t="shared" si="157"/>
        <v>disponibile</v>
      </c>
      <c r="U1116" t="str">
        <f t="shared" si="158"/>
        <v>disponibile</v>
      </c>
      <c r="V1116" t="str">
        <f t="shared" si="159"/>
        <v>DIREZIONE NORD</v>
      </c>
      <c r="W1116" t="str">
        <f t="shared" si="160"/>
        <v>GALLERIA SAN GIULIANO</v>
      </c>
      <c r="Z1116" t="str">
        <f t="shared" si="161"/>
        <v>10.220.80.16</v>
      </c>
    </row>
    <row r="1117" spans="1:26" x14ac:dyDescent="0.25">
      <c r="A1117" t="s">
        <v>10</v>
      </c>
      <c r="B1117" t="s">
        <v>1063</v>
      </c>
      <c r="C1117" t="s">
        <v>1761</v>
      </c>
      <c r="D1117" t="s">
        <v>1619</v>
      </c>
      <c r="E1117" t="s">
        <v>1845</v>
      </c>
      <c r="F1117" t="s">
        <v>14</v>
      </c>
      <c r="G1117" t="s">
        <v>1375</v>
      </c>
      <c r="H1117" t="s">
        <v>22</v>
      </c>
      <c r="I1117" t="s">
        <v>1861</v>
      </c>
      <c r="J1117" t="s">
        <v>1375</v>
      </c>
      <c r="K1117" t="str">
        <f t="shared" si="153"/>
        <v>1228.15</v>
      </c>
      <c r="N1117" t="str">
        <f t="shared" si="154"/>
        <v>HOLDING REGISTER</v>
      </c>
      <c r="O1117" t="str">
        <f t="shared" si="155"/>
        <v>BOOL</v>
      </c>
      <c r="P1117" t="str">
        <f t="shared" si="156"/>
        <v>TELECAMERA T20N</v>
      </c>
      <c r="R1117" t="str">
        <f t="shared" si="157"/>
        <v>disponibile</v>
      </c>
      <c r="U1117" t="str">
        <f t="shared" si="158"/>
        <v>disponibile</v>
      </c>
      <c r="V1117" t="str">
        <f t="shared" si="159"/>
        <v>DIREZIONE NORD</v>
      </c>
      <c r="W1117" t="str">
        <f t="shared" si="160"/>
        <v>GALLERIA SAN GIULIANO</v>
      </c>
      <c r="Z1117" t="str">
        <f t="shared" si="161"/>
        <v>10.220.80.16</v>
      </c>
    </row>
    <row r="1118" spans="1:26" x14ac:dyDescent="0.25">
      <c r="A1118" t="s">
        <v>10</v>
      </c>
      <c r="B1118" t="s">
        <v>1063</v>
      </c>
      <c r="C1118" t="s">
        <v>1761</v>
      </c>
      <c r="D1118" t="s">
        <v>1619</v>
      </c>
      <c r="E1118" t="s">
        <v>1862</v>
      </c>
      <c r="F1118" t="s">
        <v>14</v>
      </c>
      <c r="G1118" t="s">
        <v>28</v>
      </c>
      <c r="H1118" t="s">
        <v>22</v>
      </c>
      <c r="I1118" t="s">
        <v>1863</v>
      </c>
      <c r="J1118" t="s">
        <v>1622</v>
      </c>
      <c r="K1118" t="str">
        <f t="shared" si="153"/>
        <v>1229.0</v>
      </c>
      <c r="N1118" t="str">
        <f t="shared" si="154"/>
        <v>HOLDING REGISTER</v>
      </c>
      <c r="O1118" t="str">
        <f t="shared" si="155"/>
        <v>BOOL</v>
      </c>
      <c r="P1118" t="str">
        <f t="shared" si="156"/>
        <v>TELECAMERA T21N</v>
      </c>
      <c r="R1118" t="str">
        <f t="shared" si="157"/>
        <v>ALLARMI TELECAMERA ESCLUSI</v>
      </c>
      <c r="U1118" t="str">
        <f t="shared" si="158"/>
        <v>Allarme</v>
      </c>
      <c r="V1118" t="str">
        <f t="shared" si="159"/>
        <v>DIREZIONE NORD</v>
      </c>
      <c r="W1118" t="str">
        <f t="shared" si="160"/>
        <v>GALLERIA SAN GIULIANO</v>
      </c>
      <c r="Z1118" t="str">
        <f t="shared" si="161"/>
        <v>10.220.80.16</v>
      </c>
    </row>
    <row r="1119" spans="1:26" x14ac:dyDescent="0.25">
      <c r="A1119" t="s">
        <v>10</v>
      </c>
      <c r="B1119" t="s">
        <v>1063</v>
      </c>
      <c r="C1119" t="s">
        <v>1761</v>
      </c>
      <c r="D1119" t="s">
        <v>1619</v>
      </c>
      <c r="E1119" t="s">
        <v>1862</v>
      </c>
      <c r="F1119" t="s">
        <v>14</v>
      </c>
      <c r="G1119" t="s">
        <v>28</v>
      </c>
      <c r="H1119" t="s">
        <v>22</v>
      </c>
      <c r="I1119" t="s">
        <v>1864</v>
      </c>
      <c r="J1119" t="s">
        <v>1624</v>
      </c>
      <c r="K1119" t="str">
        <f t="shared" si="153"/>
        <v>1229.1</v>
      </c>
      <c r="N1119" t="str">
        <f t="shared" si="154"/>
        <v>HOLDING REGISTER</v>
      </c>
      <c r="O1119" t="str">
        <f t="shared" si="155"/>
        <v>BOOL</v>
      </c>
      <c r="P1119" t="str">
        <f t="shared" si="156"/>
        <v>TELECAMERA T21N</v>
      </c>
      <c r="R1119" t="str">
        <f t="shared" si="157"/>
        <v>IN MANUTENZIONE ALLARME FUMO</v>
      </c>
      <c r="U1119" t="str">
        <f t="shared" si="158"/>
        <v>Allarme</v>
      </c>
      <c r="V1119" t="str">
        <f t="shared" si="159"/>
        <v>DIREZIONE NORD</v>
      </c>
      <c r="W1119" t="str">
        <f t="shared" si="160"/>
        <v>GALLERIA SAN GIULIANO</v>
      </c>
      <c r="Z1119" t="str">
        <f t="shared" si="161"/>
        <v>10.220.80.16</v>
      </c>
    </row>
    <row r="1120" spans="1:26" x14ac:dyDescent="0.25">
      <c r="A1120" t="s">
        <v>10</v>
      </c>
      <c r="B1120" t="s">
        <v>1063</v>
      </c>
      <c r="C1120" t="s">
        <v>1761</v>
      </c>
      <c r="D1120" t="s">
        <v>1619</v>
      </c>
      <c r="E1120" t="s">
        <v>1862</v>
      </c>
      <c r="F1120" t="s">
        <v>14</v>
      </c>
      <c r="G1120" t="s">
        <v>1375</v>
      </c>
      <c r="H1120" t="s">
        <v>22</v>
      </c>
      <c r="I1120" t="s">
        <v>1865</v>
      </c>
      <c r="J1120" t="s">
        <v>1626</v>
      </c>
      <c r="K1120" t="str">
        <f t="shared" si="153"/>
        <v>1229.2</v>
      </c>
      <c r="N1120" t="str">
        <f t="shared" si="154"/>
        <v>HOLDING REGISTER</v>
      </c>
      <c r="O1120" t="str">
        <f t="shared" si="155"/>
        <v>BOOL</v>
      </c>
      <c r="P1120" t="str">
        <f t="shared" si="156"/>
        <v>TELECAMERA T21N</v>
      </c>
      <c r="R1120" t="str">
        <f t="shared" si="157"/>
        <v>IN MANUTENZIONE ALLARMI TRAFFICO</v>
      </c>
      <c r="U1120" t="str">
        <f t="shared" si="158"/>
        <v>disponibile</v>
      </c>
      <c r="V1120" t="str">
        <f t="shared" si="159"/>
        <v>DIREZIONE NORD</v>
      </c>
      <c r="W1120" t="str">
        <f t="shared" si="160"/>
        <v>GALLERIA SAN GIULIANO</v>
      </c>
      <c r="Z1120" t="str">
        <f t="shared" si="161"/>
        <v>10.220.80.16</v>
      </c>
    </row>
    <row r="1121" spans="1:26" x14ac:dyDescent="0.25">
      <c r="A1121" t="s">
        <v>10</v>
      </c>
      <c r="B1121" t="s">
        <v>1063</v>
      </c>
      <c r="C1121" t="s">
        <v>1761</v>
      </c>
      <c r="D1121" t="s">
        <v>1619</v>
      </c>
      <c r="E1121" t="s">
        <v>1862</v>
      </c>
      <c r="F1121" t="s">
        <v>14</v>
      </c>
      <c r="G1121" t="s">
        <v>28</v>
      </c>
      <c r="H1121" t="s">
        <v>22</v>
      </c>
      <c r="I1121" t="s">
        <v>1866</v>
      </c>
      <c r="J1121" t="s">
        <v>1375</v>
      </c>
      <c r="K1121" t="str">
        <f t="shared" si="153"/>
        <v>1229.3</v>
      </c>
      <c r="N1121" t="str">
        <f t="shared" si="154"/>
        <v>HOLDING REGISTER</v>
      </c>
      <c r="O1121" t="str">
        <f t="shared" si="155"/>
        <v>BOOL</v>
      </c>
      <c r="P1121" t="str">
        <f t="shared" si="156"/>
        <v>TELECAMERA T21N</v>
      </c>
      <c r="R1121" t="str">
        <f t="shared" si="157"/>
        <v>disponibile</v>
      </c>
      <c r="U1121" t="str">
        <f t="shared" si="158"/>
        <v>Allarme</v>
      </c>
      <c r="V1121" t="str">
        <f t="shared" si="159"/>
        <v>DIREZIONE NORD</v>
      </c>
      <c r="W1121" t="str">
        <f t="shared" si="160"/>
        <v>GALLERIA SAN GIULIANO</v>
      </c>
      <c r="Z1121" t="str">
        <f t="shared" si="161"/>
        <v>10.220.80.16</v>
      </c>
    </row>
    <row r="1122" spans="1:26" x14ac:dyDescent="0.25">
      <c r="A1122" t="s">
        <v>10</v>
      </c>
      <c r="B1122" t="s">
        <v>1063</v>
      </c>
      <c r="C1122" t="s">
        <v>1761</v>
      </c>
      <c r="D1122" t="s">
        <v>1619</v>
      </c>
      <c r="E1122" t="s">
        <v>1862</v>
      </c>
      <c r="F1122" t="s">
        <v>14</v>
      </c>
      <c r="G1122" t="s">
        <v>28</v>
      </c>
      <c r="H1122" t="s">
        <v>22</v>
      </c>
      <c r="I1122" t="s">
        <v>1867</v>
      </c>
      <c r="J1122" t="s">
        <v>1375</v>
      </c>
      <c r="K1122" t="str">
        <f t="shared" si="153"/>
        <v>1229.4</v>
      </c>
      <c r="N1122" t="str">
        <f t="shared" si="154"/>
        <v>HOLDING REGISTER</v>
      </c>
      <c r="O1122" t="str">
        <f t="shared" si="155"/>
        <v>BOOL</v>
      </c>
      <c r="P1122" t="str">
        <f t="shared" si="156"/>
        <v>TELECAMERA T21N</v>
      </c>
      <c r="R1122" t="str">
        <f t="shared" si="157"/>
        <v>disponibile</v>
      </c>
      <c r="U1122" t="str">
        <f t="shared" si="158"/>
        <v>Allarme</v>
      </c>
      <c r="V1122" t="str">
        <f t="shared" si="159"/>
        <v>DIREZIONE NORD</v>
      </c>
      <c r="W1122" t="str">
        <f t="shared" si="160"/>
        <v>GALLERIA SAN GIULIANO</v>
      </c>
      <c r="Z1122" t="str">
        <f t="shared" si="161"/>
        <v>10.220.80.16</v>
      </c>
    </row>
    <row r="1123" spans="1:26" x14ac:dyDescent="0.25">
      <c r="A1123" t="s">
        <v>10</v>
      </c>
      <c r="B1123" t="s">
        <v>1063</v>
      </c>
      <c r="C1123" t="s">
        <v>1761</v>
      </c>
      <c r="D1123" t="s">
        <v>1619</v>
      </c>
      <c r="E1123" t="s">
        <v>1862</v>
      </c>
      <c r="F1123" t="s">
        <v>14</v>
      </c>
      <c r="G1123" t="s">
        <v>1375</v>
      </c>
      <c r="H1123" t="s">
        <v>22</v>
      </c>
      <c r="I1123" t="s">
        <v>1868</v>
      </c>
      <c r="J1123" t="s">
        <v>1375</v>
      </c>
      <c r="K1123" t="str">
        <f t="shared" si="153"/>
        <v>1229.5</v>
      </c>
      <c r="N1123" t="str">
        <f t="shared" si="154"/>
        <v>HOLDING REGISTER</v>
      </c>
      <c r="O1123" t="str">
        <f t="shared" si="155"/>
        <v>BOOL</v>
      </c>
      <c r="P1123" t="str">
        <f t="shared" si="156"/>
        <v>TELECAMERA T21N</v>
      </c>
      <c r="R1123" t="str">
        <f t="shared" si="157"/>
        <v>disponibile</v>
      </c>
      <c r="U1123" t="str">
        <f t="shared" si="158"/>
        <v>disponibile</v>
      </c>
      <c r="V1123" t="str">
        <f t="shared" si="159"/>
        <v>DIREZIONE NORD</v>
      </c>
      <c r="W1123" t="str">
        <f t="shared" si="160"/>
        <v>GALLERIA SAN GIULIANO</v>
      </c>
      <c r="Z1123" t="str">
        <f t="shared" si="161"/>
        <v>10.220.80.16</v>
      </c>
    </row>
    <row r="1124" spans="1:26" x14ac:dyDescent="0.25">
      <c r="A1124" t="s">
        <v>10</v>
      </c>
      <c r="B1124" t="s">
        <v>1063</v>
      </c>
      <c r="C1124" t="s">
        <v>1761</v>
      </c>
      <c r="D1124" t="s">
        <v>1619</v>
      </c>
      <c r="E1124" t="s">
        <v>1862</v>
      </c>
      <c r="F1124" t="s">
        <v>14</v>
      </c>
      <c r="G1124" t="s">
        <v>28</v>
      </c>
      <c r="H1124" t="s">
        <v>22</v>
      </c>
      <c r="I1124" t="s">
        <v>1869</v>
      </c>
      <c r="J1124" t="s">
        <v>1375</v>
      </c>
      <c r="K1124" t="str">
        <f t="shared" si="153"/>
        <v>1229.6</v>
      </c>
      <c r="N1124" t="str">
        <f t="shared" si="154"/>
        <v>HOLDING REGISTER</v>
      </c>
      <c r="O1124" t="str">
        <f t="shared" si="155"/>
        <v>BOOL</v>
      </c>
      <c r="P1124" t="str">
        <f t="shared" si="156"/>
        <v>TELECAMERA T21N</v>
      </c>
      <c r="R1124" t="str">
        <f t="shared" si="157"/>
        <v>disponibile</v>
      </c>
      <c r="U1124" t="str">
        <f t="shared" si="158"/>
        <v>Allarme</v>
      </c>
      <c r="V1124" t="str">
        <f t="shared" si="159"/>
        <v>DIREZIONE NORD</v>
      </c>
      <c r="W1124" t="str">
        <f t="shared" si="160"/>
        <v>GALLERIA SAN GIULIANO</v>
      </c>
      <c r="Z1124" t="str">
        <f t="shared" si="161"/>
        <v>10.220.80.16</v>
      </c>
    </row>
    <row r="1125" spans="1:26" x14ac:dyDescent="0.25">
      <c r="A1125" t="s">
        <v>10</v>
      </c>
      <c r="B1125" t="s">
        <v>1063</v>
      </c>
      <c r="C1125" t="s">
        <v>1761</v>
      </c>
      <c r="D1125" t="s">
        <v>1619</v>
      </c>
      <c r="E1125" t="s">
        <v>1862</v>
      </c>
      <c r="F1125" t="s">
        <v>14</v>
      </c>
      <c r="G1125" t="s">
        <v>28</v>
      </c>
      <c r="H1125" t="s">
        <v>22</v>
      </c>
      <c r="I1125" t="s">
        <v>1870</v>
      </c>
      <c r="J1125" t="s">
        <v>1375</v>
      </c>
      <c r="K1125" t="str">
        <f t="shared" si="153"/>
        <v>1229.7</v>
      </c>
      <c r="N1125" t="str">
        <f t="shared" si="154"/>
        <v>HOLDING REGISTER</v>
      </c>
      <c r="O1125" t="str">
        <f t="shared" si="155"/>
        <v>BOOL</v>
      </c>
      <c r="P1125" t="str">
        <f t="shared" si="156"/>
        <v>TELECAMERA T21N</v>
      </c>
      <c r="R1125" t="str">
        <f t="shared" si="157"/>
        <v>disponibile</v>
      </c>
      <c r="U1125" t="str">
        <f t="shared" si="158"/>
        <v>Allarme</v>
      </c>
      <c r="V1125" t="str">
        <f t="shared" si="159"/>
        <v>DIREZIONE NORD</v>
      </c>
      <c r="W1125" t="str">
        <f t="shared" si="160"/>
        <v>GALLERIA SAN GIULIANO</v>
      </c>
      <c r="Z1125" t="str">
        <f t="shared" si="161"/>
        <v>10.220.80.16</v>
      </c>
    </row>
    <row r="1126" spans="1:26" x14ac:dyDescent="0.25">
      <c r="A1126" t="s">
        <v>10</v>
      </c>
      <c r="B1126" t="s">
        <v>1063</v>
      </c>
      <c r="C1126" t="s">
        <v>1761</v>
      </c>
      <c r="D1126" t="s">
        <v>1619</v>
      </c>
      <c r="E1126" t="s">
        <v>1862</v>
      </c>
      <c r="F1126" t="s">
        <v>14</v>
      </c>
      <c r="G1126" t="s">
        <v>28</v>
      </c>
      <c r="H1126" t="s">
        <v>22</v>
      </c>
      <c r="I1126" t="s">
        <v>1871</v>
      </c>
      <c r="J1126" t="s">
        <v>1375</v>
      </c>
      <c r="K1126" t="str">
        <f t="shared" si="153"/>
        <v>1229.8</v>
      </c>
      <c r="N1126" t="str">
        <f t="shared" si="154"/>
        <v>HOLDING REGISTER</v>
      </c>
      <c r="O1126" t="str">
        <f t="shared" si="155"/>
        <v>BOOL</v>
      </c>
      <c r="P1126" t="str">
        <f t="shared" si="156"/>
        <v>TELECAMERA T21N</v>
      </c>
      <c r="R1126" t="str">
        <f t="shared" si="157"/>
        <v>disponibile</v>
      </c>
      <c r="U1126" t="str">
        <f t="shared" si="158"/>
        <v>Allarme</v>
      </c>
      <c r="V1126" t="str">
        <f t="shared" si="159"/>
        <v>DIREZIONE NORD</v>
      </c>
      <c r="W1126" t="str">
        <f t="shared" si="160"/>
        <v>GALLERIA SAN GIULIANO</v>
      </c>
      <c r="Z1126" t="str">
        <f t="shared" si="161"/>
        <v>10.220.80.16</v>
      </c>
    </row>
    <row r="1127" spans="1:26" x14ac:dyDescent="0.25">
      <c r="A1127" t="s">
        <v>10</v>
      </c>
      <c r="B1127" t="s">
        <v>1063</v>
      </c>
      <c r="C1127" t="s">
        <v>1761</v>
      </c>
      <c r="D1127" t="s">
        <v>1619</v>
      </c>
      <c r="E1127" t="s">
        <v>1862</v>
      </c>
      <c r="F1127" t="s">
        <v>14</v>
      </c>
      <c r="G1127" t="s">
        <v>28</v>
      </c>
      <c r="H1127" t="s">
        <v>22</v>
      </c>
      <c r="I1127" t="s">
        <v>1872</v>
      </c>
      <c r="J1127" t="s">
        <v>1375</v>
      </c>
      <c r="K1127" t="str">
        <f t="shared" si="153"/>
        <v>1229.9</v>
      </c>
      <c r="N1127" t="str">
        <f t="shared" si="154"/>
        <v>HOLDING REGISTER</v>
      </c>
      <c r="O1127" t="str">
        <f t="shared" si="155"/>
        <v>BOOL</v>
      </c>
      <c r="P1127" t="str">
        <f t="shared" si="156"/>
        <v>TELECAMERA T21N</v>
      </c>
      <c r="R1127" t="str">
        <f t="shared" si="157"/>
        <v>disponibile</v>
      </c>
      <c r="U1127" t="str">
        <f t="shared" si="158"/>
        <v>Allarme</v>
      </c>
      <c r="V1127" t="str">
        <f t="shared" si="159"/>
        <v>DIREZIONE NORD</v>
      </c>
      <c r="W1127" t="str">
        <f t="shared" si="160"/>
        <v>GALLERIA SAN GIULIANO</v>
      </c>
      <c r="Z1127" t="str">
        <f t="shared" si="161"/>
        <v>10.220.80.16</v>
      </c>
    </row>
    <row r="1128" spans="1:26" x14ac:dyDescent="0.25">
      <c r="A1128" t="s">
        <v>10</v>
      </c>
      <c r="B1128" t="s">
        <v>1063</v>
      </c>
      <c r="C1128" t="s">
        <v>1761</v>
      </c>
      <c r="D1128" t="s">
        <v>1619</v>
      </c>
      <c r="E1128" t="s">
        <v>1862</v>
      </c>
      <c r="F1128" t="s">
        <v>14</v>
      </c>
      <c r="G1128" t="s">
        <v>1375</v>
      </c>
      <c r="H1128" t="s">
        <v>22</v>
      </c>
      <c r="I1128" t="s">
        <v>1873</v>
      </c>
      <c r="J1128" t="s">
        <v>1375</v>
      </c>
      <c r="K1128" t="str">
        <f t="shared" si="153"/>
        <v>1229.10</v>
      </c>
      <c r="N1128" t="str">
        <f t="shared" si="154"/>
        <v>HOLDING REGISTER</v>
      </c>
      <c r="O1128" t="str">
        <f t="shared" si="155"/>
        <v>BOOL</v>
      </c>
      <c r="P1128" t="str">
        <f t="shared" si="156"/>
        <v>TELECAMERA T21N</v>
      </c>
      <c r="R1128" t="str">
        <f t="shared" si="157"/>
        <v>disponibile</v>
      </c>
      <c r="U1128" t="str">
        <f t="shared" si="158"/>
        <v>disponibile</v>
      </c>
      <c r="V1128" t="str">
        <f t="shared" si="159"/>
        <v>DIREZIONE NORD</v>
      </c>
      <c r="W1128" t="str">
        <f t="shared" si="160"/>
        <v>GALLERIA SAN GIULIANO</v>
      </c>
      <c r="Z1128" t="str">
        <f t="shared" si="161"/>
        <v>10.220.80.16</v>
      </c>
    </row>
    <row r="1129" spans="1:26" x14ac:dyDescent="0.25">
      <c r="A1129" t="s">
        <v>10</v>
      </c>
      <c r="B1129" t="s">
        <v>1063</v>
      </c>
      <c r="C1129" t="s">
        <v>1761</v>
      </c>
      <c r="D1129" t="s">
        <v>1619</v>
      </c>
      <c r="E1129" t="s">
        <v>1862</v>
      </c>
      <c r="F1129" t="s">
        <v>14</v>
      </c>
      <c r="G1129" t="s">
        <v>1375</v>
      </c>
      <c r="H1129" t="s">
        <v>22</v>
      </c>
      <c r="I1129" t="s">
        <v>1874</v>
      </c>
      <c r="J1129" t="s">
        <v>1375</v>
      </c>
      <c r="K1129" t="str">
        <f t="shared" si="153"/>
        <v>1229.11</v>
      </c>
      <c r="N1129" t="str">
        <f t="shared" si="154"/>
        <v>HOLDING REGISTER</v>
      </c>
      <c r="O1129" t="str">
        <f t="shared" si="155"/>
        <v>BOOL</v>
      </c>
      <c r="P1129" t="str">
        <f t="shared" si="156"/>
        <v>TELECAMERA T21N</v>
      </c>
      <c r="R1129" t="str">
        <f t="shared" si="157"/>
        <v>disponibile</v>
      </c>
      <c r="U1129" t="str">
        <f t="shared" si="158"/>
        <v>disponibile</v>
      </c>
      <c r="V1129" t="str">
        <f t="shared" si="159"/>
        <v>DIREZIONE NORD</v>
      </c>
      <c r="W1129" t="str">
        <f t="shared" si="160"/>
        <v>GALLERIA SAN GIULIANO</v>
      </c>
      <c r="Z1129" t="str">
        <f t="shared" si="161"/>
        <v>10.220.80.16</v>
      </c>
    </row>
    <row r="1130" spans="1:26" x14ac:dyDescent="0.25">
      <c r="A1130" t="s">
        <v>10</v>
      </c>
      <c r="B1130" t="s">
        <v>1063</v>
      </c>
      <c r="C1130" t="s">
        <v>1761</v>
      </c>
      <c r="D1130" t="s">
        <v>1619</v>
      </c>
      <c r="E1130" t="s">
        <v>1862</v>
      </c>
      <c r="F1130" t="s">
        <v>14</v>
      </c>
      <c r="G1130" t="s">
        <v>1375</v>
      </c>
      <c r="H1130" t="s">
        <v>22</v>
      </c>
      <c r="I1130" t="s">
        <v>1875</v>
      </c>
      <c r="J1130" t="s">
        <v>1375</v>
      </c>
      <c r="K1130" t="str">
        <f t="shared" si="153"/>
        <v>1229.12</v>
      </c>
      <c r="N1130" t="str">
        <f t="shared" si="154"/>
        <v>HOLDING REGISTER</v>
      </c>
      <c r="O1130" t="str">
        <f t="shared" si="155"/>
        <v>BOOL</v>
      </c>
      <c r="P1130" t="str">
        <f t="shared" si="156"/>
        <v>TELECAMERA T21N</v>
      </c>
      <c r="R1130" t="str">
        <f t="shared" si="157"/>
        <v>disponibile</v>
      </c>
      <c r="U1130" t="str">
        <f t="shared" si="158"/>
        <v>disponibile</v>
      </c>
      <c r="V1130" t="str">
        <f t="shared" si="159"/>
        <v>DIREZIONE NORD</v>
      </c>
      <c r="W1130" t="str">
        <f t="shared" si="160"/>
        <v>GALLERIA SAN GIULIANO</v>
      </c>
      <c r="Z1130" t="str">
        <f t="shared" si="161"/>
        <v>10.220.80.16</v>
      </c>
    </row>
    <row r="1131" spans="1:26" x14ac:dyDescent="0.25">
      <c r="A1131" t="s">
        <v>10</v>
      </c>
      <c r="B1131" t="s">
        <v>1063</v>
      </c>
      <c r="C1131" t="s">
        <v>1761</v>
      </c>
      <c r="D1131" t="s">
        <v>1619</v>
      </c>
      <c r="E1131" t="s">
        <v>1862</v>
      </c>
      <c r="F1131" t="s">
        <v>14</v>
      </c>
      <c r="G1131" t="s">
        <v>1375</v>
      </c>
      <c r="H1131" t="s">
        <v>22</v>
      </c>
      <c r="I1131" t="s">
        <v>1876</v>
      </c>
      <c r="J1131" t="s">
        <v>1375</v>
      </c>
      <c r="K1131" t="str">
        <f t="shared" si="153"/>
        <v>1229.13</v>
      </c>
      <c r="N1131" t="str">
        <f t="shared" si="154"/>
        <v>HOLDING REGISTER</v>
      </c>
      <c r="O1131" t="str">
        <f t="shared" si="155"/>
        <v>BOOL</v>
      </c>
      <c r="P1131" t="str">
        <f t="shared" si="156"/>
        <v>TELECAMERA T21N</v>
      </c>
      <c r="R1131" t="str">
        <f t="shared" si="157"/>
        <v>disponibile</v>
      </c>
      <c r="U1131" t="str">
        <f t="shared" si="158"/>
        <v>disponibile</v>
      </c>
      <c r="V1131" t="str">
        <f t="shared" si="159"/>
        <v>DIREZIONE NORD</v>
      </c>
      <c r="W1131" t="str">
        <f t="shared" si="160"/>
        <v>GALLERIA SAN GIULIANO</v>
      </c>
      <c r="Z1131" t="str">
        <f t="shared" si="161"/>
        <v>10.220.80.16</v>
      </c>
    </row>
    <row r="1132" spans="1:26" x14ac:dyDescent="0.25">
      <c r="A1132" t="s">
        <v>10</v>
      </c>
      <c r="B1132" t="s">
        <v>1063</v>
      </c>
      <c r="C1132" t="s">
        <v>1761</v>
      </c>
      <c r="D1132" t="s">
        <v>1619</v>
      </c>
      <c r="E1132" t="s">
        <v>1862</v>
      </c>
      <c r="F1132" t="s">
        <v>14</v>
      </c>
      <c r="G1132" t="s">
        <v>1375</v>
      </c>
      <c r="H1132" t="s">
        <v>22</v>
      </c>
      <c r="I1132" t="s">
        <v>1877</v>
      </c>
      <c r="J1132" t="s">
        <v>1375</v>
      </c>
      <c r="K1132" t="str">
        <f t="shared" si="153"/>
        <v>1229.14</v>
      </c>
      <c r="N1132" t="str">
        <f t="shared" si="154"/>
        <v>HOLDING REGISTER</v>
      </c>
      <c r="O1132" t="str">
        <f t="shared" si="155"/>
        <v>BOOL</v>
      </c>
      <c r="P1132" t="str">
        <f t="shared" si="156"/>
        <v>TELECAMERA T21N</v>
      </c>
      <c r="R1132" t="str">
        <f t="shared" si="157"/>
        <v>disponibile</v>
      </c>
      <c r="U1132" t="str">
        <f t="shared" si="158"/>
        <v>disponibile</v>
      </c>
      <c r="V1132" t="str">
        <f t="shared" si="159"/>
        <v>DIREZIONE NORD</v>
      </c>
      <c r="W1132" t="str">
        <f t="shared" si="160"/>
        <v>GALLERIA SAN GIULIANO</v>
      </c>
      <c r="Z1132" t="str">
        <f t="shared" si="161"/>
        <v>10.220.80.16</v>
      </c>
    </row>
    <row r="1133" spans="1:26" x14ac:dyDescent="0.25">
      <c r="A1133" t="s">
        <v>10</v>
      </c>
      <c r="B1133" t="s">
        <v>1063</v>
      </c>
      <c r="C1133" t="s">
        <v>1761</v>
      </c>
      <c r="D1133" t="s">
        <v>1619</v>
      </c>
      <c r="E1133" t="s">
        <v>1862</v>
      </c>
      <c r="F1133" t="s">
        <v>14</v>
      </c>
      <c r="G1133" t="s">
        <v>1375</v>
      </c>
      <c r="H1133" t="s">
        <v>22</v>
      </c>
      <c r="I1133" t="s">
        <v>1878</v>
      </c>
      <c r="J1133" t="s">
        <v>1375</v>
      </c>
      <c r="K1133" t="str">
        <f t="shared" si="153"/>
        <v>1229.15</v>
      </c>
      <c r="N1133" t="str">
        <f t="shared" si="154"/>
        <v>HOLDING REGISTER</v>
      </c>
      <c r="O1133" t="str">
        <f t="shared" si="155"/>
        <v>BOOL</v>
      </c>
      <c r="P1133" t="str">
        <f t="shared" si="156"/>
        <v>TELECAMERA T21N</v>
      </c>
      <c r="R1133" t="str">
        <f t="shared" si="157"/>
        <v>disponibile</v>
      </c>
      <c r="U1133" t="str">
        <f t="shared" si="158"/>
        <v>disponibile</v>
      </c>
      <c r="V1133" t="str">
        <f t="shared" si="159"/>
        <v>DIREZIONE NORD</v>
      </c>
      <c r="W1133" t="str">
        <f t="shared" si="160"/>
        <v>GALLERIA SAN GIULIANO</v>
      </c>
      <c r="Z1133" t="str">
        <f t="shared" si="161"/>
        <v>10.220.80.16</v>
      </c>
    </row>
    <row r="1134" spans="1:26" x14ac:dyDescent="0.25">
      <c r="A1134" t="s">
        <v>10</v>
      </c>
      <c r="B1134" t="s">
        <v>1063</v>
      </c>
      <c r="C1134" t="s">
        <v>1761</v>
      </c>
      <c r="D1134" t="s">
        <v>1619</v>
      </c>
      <c r="E1134" t="s">
        <v>1879</v>
      </c>
      <c r="F1134" t="s">
        <v>14</v>
      </c>
      <c r="G1134" t="s">
        <v>28</v>
      </c>
      <c r="H1134" t="s">
        <v>22</v>
      </c>
      <c r="I1134" t="s">
        <v>1880</v>
      </c>
      <c r="J1134" t="s">
        <v>1622</v>
      </c>
      <c r="K1134" t="str">
        <f t="shared" si="153"/>
        <v>1230.0</v>
      </c>
      <c r="N1134" t="str">
        <f t="shared" si="154"/>
        <v>HOLDING REGISTER</v>
      </c>
      <c r="O1134" t="str">
        <f t="shared" si="155"/>
        <v>BOOL</v>
      </c>
      <c r="P1134" t="str">
        <f t="shared" si="156"/>
        <v>TELECAMERA T22N</v>
      </c>
      <c r="R1134" t="str">
        <f t="shared" si="157"/>
        <v>ALLARMI TELECAMERA ESCLUSI</v>
      </c>
      <c r="U1134" t="str">
        <f t="shared" si="158"/>
        <v>Allarme</v>
      </c>
      <c r="V1134" t="str">
        <f t="shared" si="159"/>
        <v>DIREZIONE NORD</v>
      </c>
      <c r="W1134" t="str">
        <f t="shared" si="160"/>
        <v>GALLERIA SAN GIULIANO</v>
      </c>
      <c r="Z1134" t="str">
        <f t="shared" si="161"/>
        <v>10.220.80.16</v>
      </c>
    </row>
    <row r="1135" spans="1:26" x14ac:dyDescent="0.25">
      <c r="A1135" t="s">
        <v>10</v>
      </c>
      <c r="B1135" t="s">
        <v>1063</v>
      </c>
      <c r="C1135" t="s">
        <v>1761</v>
      </c>
      <c r="D1135" t="s">
        <v>1619</v>
      </c>
      <c r="E1135" t="s">
        <v>1879</v>
      </c>
      <c r="F1135" t="s">
        <v>14</v>
      </c>
      <c r="G1135" t="s">
        <v>28</v>
      </c>
      <c r="H1135" t="s">
        <v>22</v>
      </c>
      <c r="I1135" t="s">
        <v>1881</v>
      </c>
      <c r="J1135" t="s">
        <v>1624</v>
      </c>
      <c r="K1135" t="str">
        <f t="shared" si="153"/>
        <v>1230.1</v>
      </c>
      <c r="N1135" t="str">
        <f t="shared" si="154"/>
        <v>HOLDING REGISTER</v>
      </c>
      <c r="O1135" t="str">
        <f t="shared" si="155"/>
        <v>BOOL</v>
      </c>
      <c r="P1135" t="str">
        <f t="shared" si="156"/>
        <v>TELECAMERA T22N</v>
      </c>
      <c r="R1135" t="str">
        <f t="shared" si="157"/>
        <v>IN MANUTENZIONE ALLARME FUMO</v>
      </c>
      <c r="U1135" t="str">
        <f t="shared" si="158"/>
        <v>Allarme</v>
      </c>
      <c r="V1135" t="str">
        <f t="shared" si="159"/>
        <v>DIREZIONE NORD</v>
      </c>
      <c r="W1135" t="str">
        <f t="shared" si="160"/>
        <v>GALLERIA SAN GIULIANO</v>
      </c>
      <c r="Z1135" t="str">
        <f t="shared" si="161"/>
        <v>10.220.80.16</v>
      </c>
    </row>
    <row r="1136" spans="1:26" x14ac:dyDescent="0.25">
      <c r="A1136" t="s">
        <v>10</v>
      </c>
      <c r="B1136" t="s">
        <v>1063</v>
      </c>
      <c r="C1136" t="s">
        <v>1761</v>
      </c>
      <c r="D1136" t="s">
        <v>1619</v>
      </c>
      <c r="E1136" t="s">
        <v>1879</v>
      </c>
      <c r="F1136" t="s">
        <v>14</v>
      </c>
      <c r="G1136" t="s">
        <v>1375</v>
      </c>
      <c r="H1136" t="s">
        <v>22</v>
      </c>
      <c r="I1136" t="s">
        <v>1882</v>
      </c>
      <c r="J1136" t="s">
        <v>1626</v>
      </c>
      <c r="K1136" t="str">
        <f t="shared" si="153"/>
        <v>1230.2</v>
      </c>
      <c r="N1136" t="str">
        <f t="shared" si="154"/>
        <v>HOLDING REGISTER</v>
      </c>
      <c r="O1136" t="str">
        <f t="shared" si="155"/>
        <v>BOOL</v>
      </c>
      <c r="P1136" t="str">
        <f t="shared" si="156"/>
        <v>TELECAMERA T22N</v>
      </c>
      <c r="R1136" t="str">
        <f t="shared" si="157"/>
        <v>IN MANUTENZIONE ALLARMI TRAFFICO</v>
      </c>
      <c r="U1136" t="str">
        <f t="shared" si="158"/>
        <v>disponibile</v>
      </c>
      <c r="V1136" t="str">
        <f t="shared" si="159"/>
        <v>DIREZIONE NORD</v>
      </c>
      <c r="W1136" t="str">
        <f t="shared" si="160"/>
        <v>GALLERIA SAN GIULIANO</v>
      </c>
      <c r="Z1136" t="str">
        <f t="shared" si="161"/>
        <v>10.220.80.16</v>
      </c>
    </row>
    <row r="1137" spans="1:26" x14ac:dyDescent="0.25">
      <c r="A1137" t="s">
        <v>10</v>
      </c>
      <c r="B1137" t="s">
        <v>1063</v>
      </c>
      <c r="C1137" t="s">
        <v>1761</v>
      </c>
      <c r="D1137" t="s">
        <v>1619</v>
      </c>
      <c r="E1137" t="s">
        <v>1879</v>
      </c>
      <c r="F1137" t="s">
        <v>14</v>
      </c>
      <c r="G1137" t="s">
        <v>28</v>
      </c>
      <c r="H1137" t="s">
        <v>22</v>
      </c>
      <c r="I1137" t="s">
        <v>1883</v>
      </c>
      <c r="J1137" t="s">
        <v>1375</v>
      </c>
      <c r="K1137" t="str">
        <f t="shared" si="153"/>
        <v>1230.3</v>
      </c>
      <c r="N1137" t="str">
        <f t="shared" si="154"/>
        <v>HOLDING REGISTER</v>
      </c>
      <c r="O1137" t="str">
        <f t="shared" si="155"/>
        <v>BOOL</v>
      </c>
      <c r="P1137" t="str">
        <f t="shared" si="156"/>
        <v>TELECAMERA T22N</v>
      </c>
      <c r="R1137" t="str">
        <f t="shared" si="157"/>
        <v>disponibile</v>
      </c>
      <c r="U1137" t="str">
        <f t="shared" si="158"/>
        <v>Allarme</v>
      </c>
      <c r="V1137" t="str">
        <f t="shared" si="159"/>
        <v>DIREZIONE NORD</v>
      </c>
      <c r="W1137" t="str">
        <f t="shared" si="160"/>
        <v>GALLERIA SAN GIULIANO</v>
      </c>
      <c r="Z1137" t="str">
        <f t="shared" si="161"/>
        <v>10.220.80.16</v>
      </c>
    </row>
    <row r="1138" spans="1:26" x14ac:dyDescent="0.25">
      <c r="A1138" t="s">
        <v>10</v>
      </c>
      <c r="B1138" t="s">
        <v>1063</v>
      </c>
      <c r="C1138" t="s">
        <v>1761</v>
      </c>
      <c r="D1138" t="s">
        <v>1619</v>
      </c>
      <c r="E1138" t="s">
        <v>1879</v>
      </c>
      <c r="F1138" t="s">
        <v>14</v>
      </c>
      <c r="G1138" t="s">
        <v>28</v>
      </c>
      <c r="H1138" t="s">
        <v>22</v>
      </c>
      <c r="I1138" t="s">
        <v>1884</v>
      </c>
      <c r="J1138" t="s">
        <v>1375</v>
      </c>
      <c r="K1138" t="str">
        <f t="shared" si="153"/>
        <v>1230.4</v>
      </c>
      <c r="N1138" t="str">
        <f t="shared" si="154"/>
        <v>HOLDING REGISTER</v>
      </c>
      <c r="O1138" t="str">
        <f t="shared" si="155"/>
        <v>BOOL</v>
      </c>
      <c r="P1138" t="str">
        <f t="shared" si="156"/>
        <v>TELECAMERA T22N</v>
      </c>
      <c r="R1138" t="str">
        <f t="shared" si="157"/>
        <v>disponibile</v>
      </c>
      <c r="U1138" t="str">
        <f t="shared" si="158"/>
        <v>Allarme</v>
      </c>
      <c r="V1138" t="str">
        <f t="shared" si="159"/>
        <v>DIREZIONE NORD</v>
      </c>
      <c r="W1138" t="str">
        <f t="shared" si="160"/>
        <v>GALLERIA SAN GIULIANO</v>
      </c>
      <c r="Z1138" t="str">
        <f t="shared" si="161"/>
        <v>10.220.80.16</v>
      </c>
    </row>
    <row r="1139" spans="1:26" x14ac:dyDescent="0.25">
      <c r="A1139" t="s">
        <v>10</v>
      </c>
      <c r="B1139" t="s">
        <v>1063</v>
      </c>
      <c r="C1139" t="s">
        <v>1761</v>
      </c>
      <c r="D1139" t="s">
        <v>1619</v>
      </c>
      <c r="E1139" t="s">
        <v>1879</v>
      </c>
      <c r="F1139" t="s">
        <v>14</v>
      </c>
      <c r="G1139" t="s">
        <v>1375</v>
      </c>
      <c r="H1139" t="s">
        <v>22</v>
      </c>
      <c r="I1139" t="s">
        <v>1885</v>
      </c>
      <c r="J1139" t="s">
        <v>1375</v>
      </c>
      <c r="K1139" t="str">
        <f t="shared" si="153"/>
        <v>1230.5</v>
      </c>
      <c r="N1139" t="str">
        <f t="shared" si="154"/>
        <v>HOLDING REGISTER</v>
      </c>
      <c r="O1139" t="str">
        <f t="shared" si="155"/>
        <v>BOOL</v>
      </c>
      <c r="P1139" t="str">
        <f t="shared" si="156"/>
        <v>TELECAMERA T22N</v>
      </c>
      <c r="R1139" t="str">
        <f t="shared" si="157"/>
        <v>disponibile</v>
      </c>
      <c r="U1139" t="str">
        <f t="shared" si="158"/>
        <v>disponibile</v>
      </c>
      <c r="V1139" t="str">
        <f t="shared" si="159"/>
        <v>DIREZIONE NORD</v>
      </c>
      <c r="W1139" t="str">
        <f t="shared" si="160"/>
        <v>GALLERIA SAN GIULIANO</v>
      </c>
      <c r="Z1139" t="str">
        <f t="shared" si="161"/>
        <v>10.220.80.16</v>
      </c>
    </row>
    <row r="1140" spans="1:26" x14ac:dyDescent="0.25">
      <c r="A1140" t="s">
        <v>10</v>
      </c>
      <c r="B1140" t="s">
        <v>1063</v>
      </c>
      <c r="C1140" t="s">
        <v>1761</v>
      </c>
      <c r="D1140" t="s">
        <v>1619</v>
      </c>
      <c r="E1140" t="s">
        <v>1879</v>
      </c>
      <c r="F1140" t="s">
        <v>14</v>
      </c>
      <c r="G1140" t="s">
        <v>28</v>
      </c>
      <c r="H1140" t="s">
        <v>22</v>
      </c>
      <c r="I1140" t="s">
        <v>1886</v>
      </c>
      <c r="J1140" t="s">
        <v>1375</v>
      </c>
      <c r="K1140" t="str">
        <f t="shared" si="153"/>
        <v>1230.6</v>
      </c>
      <c r="N1140" t="str">
        <f t="shared" si="154"/>
        <v>HOLDING REGISTER</v>
      </c>
      <c r="O1140" t="str">
        <f t="shared" si="155"/>
        <v>BOOL</v>
      </c>
      <c r="P1140" t="str">
        <f t="shared" si="156"/>
        <v>TELECAMERA T22N</v>
      </c>
      <c r="R1140" t="str">
        <f t="shared" si="157"/>
        <v>disponibile</v>
      </c>
      <c r="U1140" t="str">
        <f t="shared" si="158"/>
        <v>Allarme</v>
      </c>
      <c r="V1140" t="str">
        <f t="shared" si="159"/>
        <v>DIREZIONE NORD</v>
      </c>
      <c r="W1140" t="str">
        <f t="shared" si="160"/>
        <v>GALLERIA SAN GIULIANO</v>
      </c>
      <c r="Z1140" t="str">
        <f t="shared" si="161"/>
        <v>10.220.80.16</v>
      </c>
    </row>
    <row r="1141" spans="1:26" x14ac:dyDescent="0.25">
      <c r="A1141" t="s">
        <v>10</v>
      </c>
      <c r="B1141" t="s">
        <v>1063</v>
      </c>
      <c r="C1141" t="s">
        <v>1761</v>
      </c>
      <c r="D1141" t="s">
        <v>1619</v>
      </c>
      <c r="E1141" t="s">
        <v>1879</v>
      </c>
      <c r="F1141" t="s">
        <v>14</v>
      </c>
      <c r="G1141" t="s">
        <v>28</v>
      </c>
      <c r="H1141" t="s">
        <v>22</v>
      </c>
      <c r="I1141" t="s">
        <v>1887</v>
      </c>
      <c r="J1141" t="s">
        <v>1375</v>
      </c>
      <c r="K1141" t="str">
        <f t="shared" si="153"/>
        <v>1230.7</v>
      </c>
      <c r="N1141" t="str">
        <f t="shared" si="154"/>
        <v>HOLDING REGISTER</v>
      </c>
      <c r="O1141" t="str">
        <f t="shared" si="155"/>
        <v>BOOL</v>
      </c>
      <c r="P1141" t="str">
        <f t="shared" si="156"/>
        <v>TELECAMERA T22N</v>
      </c>
      <c r="R1141" t="str">
        <f t="shared" si="157"/>
        <v>disponibile</v>
      </c>
      <c r="U1141" t="str">
        <f t="shared" si="158"/>
        <v>Allarme</v>
      </c>
      <c r="V1141" t="str">
        <f t="shared" si="159"/>
        <v>DIREZIONE NORD</v>
      </c>
      <c r="W1141" t="str">
        <f t="shared" si="160"/>
        <v>GALLERIA SAN GIULIANO</v>
      </c>
      <c r="Z1141" t="str">
        <f t="shared" si="161"/>
        <v>10.220.80.16</v>
      </c>
    </row>
    <row r="1142" spans="1:26" x14ac:dyDescent="0.25">
      <c r="A1142" t="s">
        <v>10</v>
      </c>
      <c r="B1142" t="s">
        <v>1063</v>
      </c>
      <c r="C1142" t="s">
        <v>1761</v>
      </c>
      <c r="D1142" t="s">
        <v>1619</v>
      </c>
      <c r="E1142" t="s">
        <v>1879</v>
      </c>
      <c r="F1142" t="s">
        <v>14</v>
      </c>
      <c r="G1142" t="s">
        <v>28</v>
      </c>
      <c r="H1142" t="s">
        <v>22</v>
      </c>
      <c r="I1142" t="s">
        <v>1888</v>
      </c>
      <c r="J1142" t="s">
        <v>1375</v>
      </c>
      <c r="K1142" t="str">
        <f t="shared" si="153"/>
        <v>1230.8</v>
      </c>
      <c r="N1142" t="str">
        <f t="shared" si="154"/>
        <v>HOLDING REGISTER</v>
      </c>
      <c r="O1142" t="str">
        <f t="shared" si="155"/>
        <v>BOOL</v>
      </c>
      <c r="P1142" t="str">
        <f t="shared" si="156"/>
        <v>TELECAMERA T22N</v>
      </c>
      <c r="R1142" t="str">
        <f t="shared" si="157"/>
        <v>disponibile</v>
      </c>
      <c r="U1142" t="str">
        <f t="shared" si="158"/>
        <v>Allarme</v>
      </c>
      <c r="V1142" t="str">
        <f t="shared" si="159"/>
        <v>DIREZIONE NORD</v>
      </c>
      <c r="W1142" t="str">
        <f t="shared" si="160"/>
        <v>GALLERIA SAN GIULIANO</v>
      </c>
      <c r="Z1142" t="str">
        <f t="shared" si="161"/>
        <v>10.220.80.16</v>
      </c>
    </row>
    <row r="1143" spans="1:26" x14ac:dyDescent="0.25">
      <c r="A1143" t="s">
        <v>10</v>
      </c>
      <c r="B1143" t="s">
        <v>1063</v>
      </c>
      <c r="C1143" t="s">
        <v>1761</v>
      </c>
      <c r="D1143" t="s">
        <v>1619</v>
      </c>
      <c r="E1143" t="s">
        <v>1879</v>
      </c>
      <c r="F1143" t="s">
        <v>14</v>
      </c>
      <c r="G1143" t="s">
        <v>28</v>
      </c>
      <c r="H1143" t="s">
        <v>22</v>
      </c>
      <c r="I1143" t="s">
        <v>1889</v>
      </c>
      <c r="J1143" t="s">
        <v>1375</v>
      </c>
      <c r="K1143" t="str">
        <f t="shared" si="153"/>
        <v>1230.9</v>
      </c>
      <c r="N1143" t="str">
        <f t="shared" si="154"/>
        <v>HOLDING REGISTER</v>
      </c>
      <c r="O1143" t="str">
        <f t="shared" si="155"/>
        <v>BOOL</v>
      </c>
      <c r="P1143" t="str">
        <f t="shared" si="156"/>
        <v>TELECAMERA T22N</v>
      </c>
      <c r="R1143" t="str">
        <f t="shared" si="157"/>
        <v>disponibile</v>
      </c>
      <c r="U1143" t="str">
        <f t="shared" si="158"/>
        <v>Allarme</v>
      </c>
      <c r="V1143" t="str">
        <f t="shared" si="159"/>
        <v>DIREZIONE NORD</v>
      </c>
      <c r="W1143" t="str">
        <f t="shared" si="160"/>
        <v>GALLERIA SAN GIULIANO</v>
      </c>
      <c r="Z1143" t="str">
        <f t="shared" si="161"/>
        <v>10.220.80.16</v>
      </c>
    </row>
    <row r="1144" spans="1:26" x14ac:dyDescent="0.25">
      <c r="A1144" t="s">
        <v>10</v>
      </c>
      <c r="B1144" t="s">
        <v>1063</v>
      </c>
      <c r="C1144" t="s">
        <v>1761</v>
      </c>
      <c r="D1144" t="s">
        <v>1619</v>
      </c>
      <c r="E1144" t="s">
        <v>1879</v>
      </c>
      <c r="F1144" t="s">
        <v>14</v>
      </c>
      <c r="G1144" t="s">
        <v>1375</v>
      </c>
      <c r="H1144" t="s">
        <v>22</v>
      </c>
      <c r="I1144" t="s">
        <v>1890</v>
      </c>
      <c r="J1144" t="s">
        <v>1375</v>
      </c>
      <c r="K1144" t="str">
        <f t="shared" si="153"/>
        <v>1230.10</v>
      </c>
      <c r="N1144" t="str">
        <f t="shared" si="154"/>
        <v>HOLDING REGISTER</v>
      </c>
      <c r="O1144" t="str">
        <f t="shared" si="155"/>
        <v>BOOL</v>
      </c>
      <c r="P1144" t="str">
        <f t="shared" si="156"/>
        <v>TELECAMERA T22N</v>
      </c>
      <c r="R1144" t="str">
        <f t="shared" si="157"/>
        <v>disponibile</v>
      </c>
      <c r="U1144" t="str">
        <f t="shared" si="158"/>
        <v>disponibile</v>
      </c>
      <c r="V1144" t="str">
        <f t="shared" si="159"/>
        <v>DIREZIONE NORD</v>
      </c>
      <c r="W1144" t="str">
        <f t="shared" si="160"/>
        <v>GALLERIA SAN GIULIANO</v>
      </c>
      <c r="Z1144" t="str">
        <f t="shared" si="161"/>
        <v>10.220.80.16</v>
      </c>
    </row>
    <row r="1145" spans="1:26" x14ac:dyDescent="0.25">
      <c r="A1145" t="s">
        <v>10</v>
      </c>
      <c r="B1145" t="s">
        <v>1063</v>
      </c>
      <c r="C1145" t="s">
        <v>1761</v>
      </c>
      <c r="D1145" t="s">
        <v>1619</v>
      </c>
      <c r="E1145" t="s">
        <v>1879</v>
      </c>
      <c r="F1145" t="s">
        <v>14</v>
      </c>
      <c r="G1145" t="s">
        <v>1375</v>
      </c>
      <c r="H1145" t="s">
        <v>22</v>
      </c>
      <c r="I1145" t="s">
        <v>1891</v>
      </c>
      <c r="J1145" t="s">
        <v>1375</v>
      </c>
      <c r="K1145" t="str">
        <f t="shared" si="153"/>
        <v>1230.11</v>
      </c>
      <c r="N1145" t="str">
        <f t="shared" si="154"/>
        <v>HOLDING REGISTER</v>
      </c>
      <c r="O1145" t="str">
        <f t="shared" si="155"/>
        <v>BOOL</v>
      </c>
      <c r="P1145" t="str">
        <f t="shared" si="156"/>
        <v>TELECAMERA T22N</v>
      </c>
      <c r="R1145" t="str">
        <f t="shared" si="157"/>
        <v>disponibile</v>
      </c>
      <c r="U1145" t="str">
        <f t="shared" si="158"/>
        <v>disponibile</v>
      </c>
      <c r="V1145" t="str">
        <f t="shared" si="159"/>
        <v>DIREZIONE NORD</v>
      </c>
      <c r="W1145" t="str">
        <f t="shared" si="160"/>
        <v>GALLERIA SAN GIULIANO</v>
      </c>
      <c r="Z1145" t="str">
        <f t="shared" si="161"/>
        <v>10.220.80.16</v>
      </c>
    </row>
    <row r="1146" spans="1:26" x14ac:dyDescent="0.25">
      <c r="A1146" t="s">
        <v>10</v>
      </c>
      <c r="B1146" t="s">
        <v>1063</v>
      </c>
      <c r="C1146" t="s">
        <v>1761</v>
      </c>
      <c r="D1146" t="s">
        <v>1619</v>
      </c>
      <c r="E1146" t="s">
        <v>1879</v>
      </c>
      <c r="F1146" t="s">
        <v>14</v>
      </c>
      <c r="G1146" t="s">
        <v>1375</v>
      </c>
      <c r="H1146" t="s">
        <v>22</v>
      </c>
      <c r="I1146" t="s">
        <v>1892</v>
      </c>
      <c r="J1146" t="s">
        <v>1375</v>
      </c>
      <c r="K1146" t="str">
        <f t="shared" si="153"/>
        <v>1230.12</v>
      </c>
      <c r="N1146" t="str">
        <f t="shared" si="154"/>
        <v>HOLDING REGISTER</v>
      </c>
      <c r="O1146" t="str">
        <f t="shared" si="155"/>
        <v>BOOL</v>
      </c>
      <c r="P1146" t="str">
        <f t="shared" si="156"/>
        <v>TELECAMERA T22N</v>
      </c>
      <c r="R1146" t="str">
        <f t="shared" si="157"/>
        <v>disponibile</v>
      </c>
      <c r="U1146" t="str">
        <f t="shared" si="158"/>
        <v>disponibile</v>
      </c>
      <c r="V1146" t="str">
        <f t="shared" si="159"/>
        <v>DIREZIONE NORD</v>
      </c>
      <c r="W1146" t="str">
        <f t="shared" si="160"/>
        <v>GALLERIA SAN GIULIANO</v>
      </c>
      <c r="Z1146" t="str">
        <f t="shared" si="161"/>
        <v>10.220.80.16</v>
      </c>
    </row>
    <row r="1147" spans="1:26" x14ac:dyDescent="0.25">
      <c r="A1147" t="s">
        <v>10</v>
      </c>
      <c r="B1147" t="s">
        <v>1063</v>
      </c>
      <c r="C1147" t="s">
        <v>1761</v>
      </c>
      <c r="D1147" t="s">
        <v>1619</v>
      </c>
      <c r="E1147" t="s">
        <v>1879</v>
      </c>
      <c r="F1147" t="s">
        <v>14</v>
      </c>
      <c r="G1147" t="s">
        <v>1375</v>
      </c>
      <c r="H1147" t="s">
        <v>22</v>
      </c>
      <c r="I1147" t="s">
        <v>1893</v>
      </c>
      <c r="J1147" t="s">
        <v>1375</v>
      </c>
      <c r="K1147" t="str">
        <f t="shared" si="153"/>
        <v>1230.13</v>
      </c>
      <c r="N1147" t="str">
        <f t="shared" si="154"/>
        <v>HOLDING REGISTER</v>
      </c>
      <c r="O1147" t="str">
        <f t="shared" si="155"/>
        <v>BOOL</v>
      </c>
      <c r="P1147" t="str">
        <f t="shared" si="156"/>
        <v>TELECAMERA T22N</v>
      </c>
      <c r="R1147" t="str">
        <f t="shared" si="157"/>
        <v>disponibile</v>
      </c>
      <c r="U1147" t="str">
        <f t="shared" si="158"/>
        <v>disponibile</v>
      </c>
      <c r="V1147" t="str">
        <f t="shared" si="159"/>
        <v>DIREZIONE NORD</v>
      </c>
      <c r="W1147" t="str">
        <f t="shared" si="160"/>
        <v>GALLERIA SAN GIULIANO</v>
      </c>
      <c r="Z1147" t="str">
        <f t="shared" si="161"/>
        <v>10.220.80.16</v>
      </c>
    </row>
    <row r="1148" spans="1:26" x14ac:dyDescent="0.25">
      <c r="A1148" t="s">
        <v>10</v>
      </c>
      <c r="B1148" t="s">
        <v>1063</v>
      </c>
      <c r="C1148" t="s">
        <v>1761</v>
      </c>
      <c r="D1148" t="s">
        <v>1619</v>
      </c>
      <c r="E1148" t="s">
        <v>1879</v>
      </c>
      <c r="F1148" t="s">
        <v>14</v>
      </c>
      <c r="G1148" t="s">
        <v>1375</v>
      </c>
      <c r="H1148" t="s">
        <v>22</v>
      </c>
      <c r="I1148" t="s">
        <v>1894</v>
      </c>
      <c r="J1148" t="s">
        <v>1375</v>
      </c>
      <c r="K1148" t="str">
        <f t="shared" si="153"/>
        <v>1230.14</v>
      </c>
      <c r="N1148" t="str">
        <f t="shared" si="154"/>
        <v>HOLDING REGISTER</v>
      </c>
      <c r="O1148" t="str">
        <f t="shared" si="155"/>
        <v>BOOL</v>
      </c>
      <c r="P1148" t="str">
        <f t="shared" si="156"/>
        <v>TELECAMERA T22N</v>
      </c>
      <c r="R1148" t="str">
        <f t="shared" si="157"/>
        <v>disponibile</v>
      </c>
      <c r="U1148" t="str">
        <f t="shared" si="158"/>
        <v>disponibile</v>
      </c>
      <c r="V1148" t="str">
        <f t="shared" si="159"/>
        <v>DIREZIONE NORD</v>
      </c>
      <c r="W1148" t="str">
        <f t="shared" si="160"/>
        <v>GALLERIA SAN GIULIANO</v>
      </c>
      <c r="Z1148" t="str">
        <f t="shared" si="161"/>
        <v>10.220.80.16</v>
      </c>
    </row>
    <row r="1149" spans="1:26" x14ac:dyDescent="0.25">
      <c r="A1149" t="s">
        <v>10</v>
      </c>
      <c r="B1149" t="s">
        <v>1063</v>
      </c>
      <c r="C1149" t="s">
        <v>1761</v>
      </c>
      <c r="D1149" t="s">
        <v>1619</v>
      </c>
      <c r="E1149" t="s">
        <v>1879</v>
      </c>
      <c r="F1149" t="s">
        <v>14</v>
      </c>
      <c r="G1149" t="s">
        <v>1375</v>
      </c>
      <c r="H1149" t="s">
        <v>22</v>
      </c>
      <c r="I1149" t="s">
        <v>1895</v>
      </c>
      <c r="J1149" t="s">
        <v>1375</v>
      </c>
      <c r="K1149" t="str">
        <f t="shared" si="153"/>
        <v>1230.15</v>
      </c>
      <c r="N1149" t="str">
        <f t="shared" si="154"/>
        <v>HOLDING REGISTER</v>
      </c>
      <c r="O1149" t="str">
        <f t="shared" si="155"/>
        <v>BOOL</v>
      </c>
      <c r="P1149" t="str">
        <f t="shared" si="156"/>
        <v>TELECAMERA T22N</v>
      </c>
      <c r="R1149" t="str">
        <f t="shared" si="157"/>
        <v>disponibile</v>
      </c>
      <c r="U1149" t="str">
        <f t="shared" si="158"/>
        <v>disponibile</v>
      </c>
      <c r="V1149" t="str">
        <f t="shared" si="159"/>
        <v>DIREZIONE NORD</v>
      </c>
      <c r="W1149" t="str">
        <f t="shared" si="160"/>
        <v>GALLERIA SAN GIULIANO</v>
      </c>
      <c r="Z1149" t="str">
        <f t="shared" si="161"/>
        <v>10.220.80.16</v>
      </c>
    </row>
    <row r="1150" spans="1:26" x14ac:dyDescent="0.25">
      <c r="A1150" t="s">
        <v>10</v>
      </c>
      <c r="B1150" t="s">
        <v>1063</v>
      </c>
      <c r="C1150" t="s">
        <v>1618</v>
      </c>
      <c r="D1150" t="s">
        <v>1619</v>
      </c>
      <c r="E1150" t="s">
        <v>1620</v>
      </c>
      <c r="F1150" t="s">
        <v>14</v>
      </c>
      <c r="G1150" t="s">
        <v>21</v>
      </c>
      <c r="H1150" t="s">
        <v>22</v>
      </c>
      <c r="I1150" t="s">
        <v>1896</v>
      </c>
      <c r="J1150" t="s">
        <v>1897</v>
      </c>
      <c r="K1150" t="str">
        <f t="shared" si="153"/>
        <v>1231.0</v>
      </c>
      <c r="N1150" t="str">
        <f t="shared" si="154"/>
        <v>HOLDING REGISTER</v>
      </c>
      <c r="O1150" t="str">
        <f t="shared" si="155"/>
        <v>BOOL</v>
      </c>
      <c r="P1150" t="str">
        <f t="shared" si="156"/>
        <v>TELECAMERA T01S</v>
      </c>
      <c r="R1150" t="str">
        <f t="shared" si="157"/>
        <v>PERDITA SEGNALE VIDEO</v>
      </c>
      <c r="U1150" t="str">
        <f t="shared" si="158"/>
        <v>Stato</v>
      </c>
      <c r="V1150" t="str">
        <f t="shared" si="159"/>
        <v>DIREZIONE SUD</v>
      </c>
      <c r="W1150" t="str">
        <f t="shared" si="160"/>
        <v>GALLERIA SAN GIULIANO</v>
      </c>
      <c r="Z1150" t="str">
        <f t="shared" si="161"/>
        <v>10.220.80.16</v>
      </c>
    </row>
    <row r="1151" spans="1:26" x14ac:dyDescent="0.25">
      <c r="A1151" t="s">
        <v>10</v>
      </c>
      <c r="B1151" t="s">
        <v>1063</v>
      </c>
      <c r="C1151" t="s">
        <v>1618</v>
      </c>
      <c r="D1151" t="s">
        <v>1619</v>
      </c>
      <c r="E1151" t="s">
        <v>1620</v>
      </c>
      <c r="F1151" t="s">
        <v>14</v>
      </c>
      <c r="G1151" t="s">
        <v>21</v>
      </c>
      <c r="H1151" t="s">
        <v>22</v>
      </c>
      <c r="I1151" t="s">
        <v>1898</v>
      </c>
      <c r="J1151" t="s">
        <v>1899</v>
      </c>
      <c r="K1151" t="str">
        <f t="shared" si="153"/>
        <v>1231.1</v>
      </c>
      <c r="N1151" t="str">
        <f t="shared" si="154"/>
        <v>HOLDING REGISTER</v>
      </c>
      <c r="O1151" t="str">
        <f t="shared" si="155"/>
        <v>BOOL</v>
      </c>
      <c r="P1151" t="str">
        <f t="shared" si="156"/>
        <v>TELECAMERA T01S</v>
      </c>
      <c r="R1151" t="str">
        <f t="shared" si="157"/>
        <v>MANOMISSIONE</v>
      </c>
      <c r="U1151" t="str">
        <f t="shared" si="158"/>
        <v>Stato</v>
      </c>
      <c r="V1151" t="str">
        <f t="shared" si="159"/>
        <v>DIREZIONE SUD</v>
      </c>
      <c r="W1151" t="str">
        <f t="shared" si="160"/>
        <v>GALLERIA SAN GIULIANO</v>
      </c>
      <c r="Z1151" t="str">
        <f t="shared" si="161"/>
        <v>10.220.80.16</v>
      </c>
    </row>
    <row r="1152" spans="1:26" x14ac:dyDescent="0.25">
      <c r="A1152" t="s">
        <v>10</v>
      </c>
      <c r="B1152" t="s">
        <v>1063</v>
      </c>
      <c r="C1152" t="s">
        <v>1618</v>
      </c>
      <c r="D1152" t="s">
        <v>1619</v>
      </c>
      <c r="E1152" t="s">
        <v>1620</v>
      </c>
      <c r="F1152" t="s">
        <v>14</v>
      </c>
      <c r="G1152" t="s">
        <v>21</v>
      </c>
      <c r="H1152" t="s">
        <v>22</v>
      </c>
      <c r="I1152" t="s">
        <v>1900</v>
      </c>
      <c r="J1152" t="s">
        <v>1375</v>
      </c>
      <c r="K1152" t="str">
        <f t="shared" si="153"/>
        <v>1231.2</v>
      </c>
      <c r="N1152" t="str">
        <f t="shared" si="154"/>
        <v>HOLDING REGISTER</v>
      </c>
      <c r="O1152" t="str">
        <f t="shared" si="155"/>
        <v>BOOL</v>
      </c>
      <c r="P1152" t="str">
        <f t="shared" si="156"/>
        <v>TELECAMERA T01S</v>
      </c>
      <c r="R1152" t="str">
        <f t="shared" si="157"/>
        <v>disponibile</v>
      </c>
      <c r="U1152" t="str">
        <f t="shared" si="158"/>
        <v>Stato</v>
      </c>
      <c r="V1152" t="str">
        <f t="shared" si="159"/>
        <v>DIREZIONE SUD</v>
      </c>
      <c r="W1152" t="str">
        <f t="shared" si="160"/>
        <v>GALLERIA SAN GIULIANO</v>
      </c>
      <c r="Z1152" t="str">
        <f t="shared" si="161"/>
        <v>10.220.80.16</v>
      </c>
    </row>
    <row r="1153" spans="1:26" x14ac:dyDescent="0.25">
      <c r="A1153" t="s">
        <v>10</v>
      </c>
      <c r="B1153" t="s">
        <v>1063</v>
      </c>
      <c r="C1153" t="s">
        <v>1618</v>
      </c>
      <c r="D1153" t="s">
        <v>1619</v>
      </c>
      <c r="E1153" t="s">
        <v>1620</v>
      </c>
      <c r="F1153" t="s">
        <v>14</v>
      </c>
      <c r="G1153" t="s">
        <v>1375</v>
      </c>
      <c r="H1153" t="s">
        <v>22</v>
      </c>
      <c r="I1153" t="s">
        <v>1901</v>
      </c>
      <c r="J1153" t="s">
        <v>1902</v>
      </c>
      <c r="K1153" t="str">
        <f t="shared" si="153"/>
        <v>1231.3</v>
      </c>
      <c r="N1153" t="str">
        <f t="shared" si="154"/>
        <v>HOLDING REGISTER</v>
      </c>
      <c r="O1153" t="str">
        <f t="shared" si="155"/>
        <v>BOOL</v>
      </c>
      <c r="P1153" t="str">
        <f t="shared" si="156"/>
        <v>TELECAMERA T01S</v>
      </c>
      <c r="R1153" t="str">
        <f t="shared" si="157"/>
        <v>VEICOLO FERMO</v>
      </c>
      <c r="U1153" t="str">
        <f t="shared" si="158"/>
        <v>disponibile</v>
      </c>
      <c r="V1153" t="str">
        <f t="shared" si="159"/>
        <v>DIREZIONE SUD</v>
      </c>
      <c r="W1153" t="str">
        <f t="shared" si="160"/>
        <v>GALLERIA SAN GIULIANO</v>
      </c>
      <c r="Z1153" t="str">
        <f t="shared" si="161"/>
        <v>10.220.80.16</v>
      </c>
    </row>
    <row r="1154" spans="1:26" x14ac:dyDescent="0.25">
      <c r="A1154" t="s">
        <v>10</v>
      </c>
      <c r="B1154" t="s">
        <v>1063</v>
      </c>
      <c r="C1154" t="s">
        <v>1618</v>
      </c>
      <c r="D1154" t="s">
        <v>1619</v>
      </c>
      <c r="E1154" t="s">
        <v>1620</v>
      </c>
      <c r="F1154" t="s">
        <v>14</v>
      </c>
      <c r="G1154" t="s">
        <v>1375</v>
      </c>
      <c r="H1154" t="s">
        <v>22</v>
      </c>
      <c r="I1154" t="s">
        <v>1903</v>
      </c>
      <c r="J1154" t="s">
        <v>1904</v>
      </c>
      <c r="K1154" t="str">
        <f t="shared" si="153"/>
        <v>1231.4</v>
      </c>
      <c r="N1154" t="str">
        <f t="shared" si="154"/>
        <v>HOLDING REGISTER</v>
      </c>
      <c r="O1154" t="str">
        <f t="shared" si="155"/>
        <v>BOOL</v>
      </c>
      <c r="P1154" t="str">
        <f t="shared" si="156"/>
        <v>TELECAMERA T01S</v>
      </c>
      <c r="R1154" t="str">
        <f t="shared" si="157"/>
        <v>CARICO DISPERSO</v>
      </c>
      <c r="U1154" t="str">
        <f t="shared" si="158"/>
        <v>disponibile</v>
      </c>
      <c r="V1154" t="str">
        <f t="shared" si="159"/>
        <v>DIREZIONE SUD</v>
      </c>
      <c r="W1154" t="str">
        <f t="shared" si="160"/>
        <v>GALLERIA SAN GIULIANO</v>
      </c>
      <c r="Z1154" t="str">
        <f t="shared" si="161"/>
        <v>10.220.80.16</v>
      </c>
    </row>
    <row r="1155" spans="1:26" x14ac:dyDescent="0.25">
      <c r="A1155" t="s">
        <v>10</v>
      </c>
      <c r="B1155" t="s">
        <v>1063</v>
      </c>
      <c r="C1155" t="s">
        <v>1618</v>
      </c>
      <c r="D1155" t="s">
        <v>1619</v>
      </c>
      <c r="E1155" t="s">
        <v>1620</v>
      </c>
      <c r="F1155" t="s">
        <v>14</v>
      </c>
      <c r="G1155" t="s">
        <v>1375</v>
      </c>
      <c r="H1155" t="s">
        <v>22</v>
      </c>
      <c r="I1155" t="s">
        <v>1905</v>
      </c>
      <c r="J1155" t="s">
        <v>1375</v>
      </c>
      <c r="K1155" t="str">
        <f t="shared" ref="K1155:K1218" si="162">IF(I1155="","",I1155)</f>
        <v>1231.5</v>
      </c>
      <c r="N1155" t="str">
        <f t="shared" ref="N1155:N1218" si="163">IF(F1155="","",F1155)</f>
        <v>HOLDING REGISTER</v>
      </c>
      <c r="O1155" t="str">
        <f t="shared" ref="O1155:O1218" si="164">IF(H1155="","",H1155)</f>
        <v>BOOL</v>
      </c>
      <c r="P1155" t="str">
        <f t="shared" ref="P1155:P1218" si="165">_xlfn.CONCAT(D1155," ",E1155)</f>
        <v>TELECAMERA T01S</v>
      </c>
      <c r="R1155" t="str">
        <f t="shared" ref="R1155:R1218" si="166">IF(J1155="","",J1155)</f>
        <v>disponibile</v>
      </c>
      <c r="U1155" t="str">
        <f t="shared" ref="U1155:U1218" si="167">IF(G1155="","",G1155)</f>
        <v>disponibile</v>
      </c>
      <c r="V1155" t="str">
        <f t="shared" ref="V1155:V1218" si="168">IF(C1155="","",C1155)</f>
        <v>DIREZIONE SUD</v>
      </c>
      <c r="W1155" t="str">
        <f t="shared" ref="W1155:W1218" si="169">IF(B1155="","",B1155)</f>
        <v>GALLERIA SAN GIULIANO</v>
      </c>
      <c r="Z1155" t="str">
        <f t="shared" ref="Z1155:Z1218" si="170">IF(A1155="","",A1155)</f>
        <v>10.220.80.16</v>
      </c>
    </row>
    <row r="1156" spans="1:26" x14ac:dyDescent="0.25">
      <c r="A1156" t="s">
        <v>10</v>
      </c>
      <c r="B1156" t="s">
        <v>1063</v>
      </c>
      <c r="C1156" t="s">
        <v>1618</v>
      </c>
      <c r="D1156" t="s">
        <v>1619</v>
      </c>
      <c r="E1156" t="s">
        <v>1620</v>
      </c>
      <c r="F1156" t="s">
        <v>14</v>
      </c>
      <c r="G1156" t="s">
        <v>1375</v>
      </c>
      <c r="H1156" t="s">
        <v>22</v>
      </c>
      <c r="I1156" t="s">
        <v>1906</v>
      </c>
      <c r="J1156" t="s">
        <v>1907</v>
      </c>
      <c r="K1156" t="str">
        <f t="shared" si="162"/>
        <v>1231.6</v>
      </c>
      <c r="N1156" t="str">
        <f t="shared" si="163"/>
        <v>HOLDING REGISTER</v>
      </c>
      <c r="O1156" t="str">
        <f t="shared" si="164"/>
        <v>BOOL</v>
      </c>
      <c r="P1156" t="str">
        <f t="shared" si="165"/>
        <v>TELECAMERA T01S</v>
      </c>
      <c r="R1156" t="str">
        <f t="shared" si="166"/>
        <v>PEDONE</v>
      </c>
      <c r="U1156" t="str">
        <f t="shared" si="167"/>
        <v>disponibile</v>
      </c>
      <c r="V1156" t="str">
        <f t="shared" si="168"/>
        <v>DIREZIONE SUD</v>
      </c>
      <c r="W1156" t="str">
        <f t="shared" si="169"/>
        <v>GALLERIA SAN GIULIANO</v>
      </c>
      <c r="Z1156" t="str">
        <f t="shared" si="170"/>
        <v>10.220.80.16</v>
      </c>
    </row>
    <row r="1157" spans="1:26" x14ac:dyDescent="0.25">
      <c r="A1157" t="s">
        <v>10</v>
      </c>
      <c r="B1157" t="s">
        <v>1063</v>
      </c>
      <c r="C1157" t="s">
        <v>1618</v>
      </c>
      <c r="D1157" t="s">
        <v>1619</v>
      </c>
      <c r="E1157" t="s">
        <v>1620</v>
      </c>
      <c r="F1157" t="s">
        <v>14</v>
      </c>
      <c r="G1157" t="s">
        <v>1375</v>
      </c>
      <c r="H1157" t="s">
        <v>22</v>
      </c>
      <c r="I1157" t="s">
        <v>1908</v>
      </c>
      <c r="J1157" t="s">
        <v>1909</v>
      </c>
      <c r="K1157" t="str">
        <f t="shared" si="162"/>
        <v>1231.7</v>
      </c>
      <c r="N1157" t="str">
        <f t="shared" si="163"/>
        <v>HOLDING REGISTER</v>
      </c>
      <c r="O1157" t="str">
        <f t="shared" si="164"/>
        <v>BOOL</v>
      </c>
      <c r="P1157" t="str">
        <f t="shared" si="165"/>
        <v>TELECAMERA T01S</v>
      </c>
      <c r="R1157" t="str">
        <f t="shared" si="166"/>
        <v>FUMO</v>
      </c>
      <c r="U1157" t="str">
        <f t="shared" si="167"/>
        <v>disponibile</v>
      </c>
      <c r="V1157" t="str">
        <f t="shared" si="168"/>
        <v>DIREZIONE SUD</v>
      </c>
      <c r="W1157" t="str">
        <f t="shared" si="169"/>
        <v>GALLERIA SAN GIULIANO</v>
      </c>
      <c r="Z1157" t="str">
        <f t="shared" si="170"/>
        <v>10.220.80.16</v>
      </c>
    </row>
    <row r="1158" spans="1:26" x14ac:dyDescent="0.25">
      <c r="A1158" t="s">
        <v>10</v>
      </c>
      <c r="B1158" t="s">
        <v>1063</v>
      </c>
      <c r="C1158" t="s">
        <v>1618</v>
      </c>
      <c r="D1158" t="s">
        <v>1619</v>
      </c>
      <c r="E1158" t="s">
        <v>1620</v>
      </c>
      <c r="F1158" t="s">
        <v>14</v>
      </c>
      <c r="G1158" t="s">
        <v>1375</v>
      </c>
      <c r="H1158" t="s">
        <v>22</v>
      </c>
      <c r="I1158" t="s">
        <v>1910</v>
      </c>
      <c r="J1158" t="s">
        <v>1911</v>
      </c>
      <c r="K1158" t="str">
        <f t="shared" si="162"/>
        <v>1231.8</v>
      </c>
      <c r="N1158" t="str">
        <f t="shared" si="163"/>
        <v>HOLDING REGISTER</v>
      </c>
      <c r="O1158" t="str">
        <f t="shared" si="164"/>
        <v>BOOL</v>
      </c>
      <c r="P1158" t="str">
        <f t="shared" si="165"/>
        <v>TELECAMERA T01S</v>
      </c>
      <c r="R1158" t="str">
        <f t="shared" si="166"/>
        <v>RALLENTAMENTI</v>
      </c>
      <c r="U1158" t="str">
        <f t="shared" si="167"/>
        <v>disponibile</v>
      </c>
      <c r="V1158" t="str">
        <f t="shared" si="168"/>
        <v>DIREZIONE SUD</v>
      </c>
      <c r="W1158" t="str">
        <f t="shared" si="169"/>
        <v>GALLERIA SAN GIULIANO</v>
      </c>
      <c r="Z1158" t="str">
        <f t="shared" si="170"/>
        <v>10.220.80.16</v>
      </c>
    </row>
    <row r="1159" spans="1:26" x14ac:dyDescent="0.25">
      <c r="A1159" t="s">
        <v>10</v>
      </c>
      <c r="B1159" t="s">
        <v>1063</v>
      </c>
      <c r="C1159" t="s">
        <v>1618</v>
      </c>
      <c r="D1159" t="s">
        <v>1619</v>
      </c>
      <c r="E1159" t="s">
        <v>1620</v>
      </c>
      <c r="F1159" t="s">
        <v>14</v>
      </c>
      <c r="G1159" t="s">
        <v>1375</v>
      </c>
      <c r="H1159" t="s">
        <v>22</v>
      </c>
      <c r="I1159" t="s">
        <v>1912</v>
      </c>
      <c r="J1159" t="s">
        <v>1913</v>
      </c>
      <c r="K1159" t="str">
        <f t="shared" si="162"/>
        <v>1231.9</v>
      </c>
      <c r="N1159" t="str">
        <f t="shared" si="163"/>
        <v>HOLDING REGISTER</v>
      </c>
      <c r="O1159" t="str">
        <f t="shared" si="164"/>
        <v>BOOL</v>
      </c>
      <c r="P1159" t="str">
        <f t="shared" si="165"/>
        <v>TELECAMERA T01S</v>
      </c>
      <c r="R1159" t="str">
        <f t="shared" si="166"/>
        <v>CODA IN GALLERIA</v>
      </c>
      <c r="U1159" t="str">
        <f t="shared" si="167"/>
        <v>disponibile</v>
      </c>
      <c r="V1159" t="str">
        <f t="shared" si="168"/>
        <v>DIREZIONE SUD</v>
      </c>
      <c r="W1159" t="str">
        <f t="shared" si="169"/>
        <v>GALLERIA SAN GIULIANO</v>
      </c>
      <c r="Z1159" t="str">
        <f t="shared" si="170"/>
        <v>10.220.80.16</v>
      </c>
    </row>
    <row r="1160" spans="1:26" x14ac:dyDescent="0.25">
      <c r="A1160" t="s">
        <v>10</v>
      </c>
      <c r="B1160" t="s">
        <v>1063</v>
      </c>
      <c r="C1160" t="s">
        <v>1618</v>
      </c>
      <c r="D1160" t="s">
        <v>1619</v>
      </c>
      <c r="E1160" t="s">
        <v>1620</v>
      </c>
      <c r="F1160" t="s">
        <v>14</v>
      </c>
      <c r="G1160" t="s">
        <v>1375</v>
      </c>
      <c r="H1160" t="s">
        <v>22</v>
      </c>
      <c r="I1160" t="s">
        <v>1914</v>
      </c>
      <c r="J1160" t="s">
        <v>1375</v>
      </c>
      <c r="K1160" t="str">
        <f t="shared" si="162"/>
        <v>1231.10</v>
      </c>
      <c r="N1160" t="str">
        <f t="shared" si="163"/>
        <v>HOLDING REGISTER</v>
      </c>
      <c r="O1160" t="str">
        <f t="shared" si="164"/>
        <v>BOOL</v>
      </c>
      <c r="P1160" t="str">
        <f t="shared" si="165"/>
        <v>TELECAMERA T01S</v>
      </c>
      <c r="R1160" t="str">
        <f t="shared" si="166"/>
        <v>disponibile</v>
      </c>
      <c r="U1160" t="str">
        <f t="shared" si="167"/>
        <v>disponibile</v>
      </c>
      <c r="V1160" t="str">
        <f t="shared" si="168"/>
        <v>DIREZIONE SUD</v>
      </c>
      <c r="W1160" t="str">
        <f t="shared" si="169"/>
        <v>GALLERIA SAN GIULIANO</v>
      </c>
      <c r="Z1160" t="str">
        <f t="shared" si="170"/>
        <v>10.220.80.16</v>
      </c>
    </row>
    <row r="1161" spans="1:26" x14ac:dyDescent="0.25">
      <c r="A1161" t="s">
        <v>10</v>
      </c>
      <c r="B1161" t="s">
        <v>1063</v>
      </c>
      <c r="C1161" t="s">
        <v>1618</v>
      </c>
      <c r="D1161" t="s">
        <v>1619</v>
      </c>
      <c r="E1161" t="s">
        <v>1620</v>
      </c>
      <c r="F1161" t="s">
        <v>14</v>
      </c>
      <c r="G1161" t="s">
        <v>1375</v>
      </c>
      <c r="H1161" t="s">
        <v>22</v>
      </c>
      <c r="I1161" t="s">
        <v>1915</v>
      </c>
      <c r="J1161" t="s">
        <v>1375</v>
      </c>
      <c r="K1161" t="str">
        <f t="shared" si="162"/>
        <v>1231.11</v>
      </c>
      <c r="N1161" t="str">
        <f t="shared" si="163"/>
        <v>HOLDING REGISTER</v>
      </c>
      <c r="O1161" t="str">
        <f t="shared" si="164"/>
        <v>BOOL</v>
      </c>
      <c r="P1161" t="str">
        <f t="shared" si="165"/>
        <v>TELECAMERA T01S</v>
      </c>
      <c r="R1161" t="str">
        <f t="shared" si="166"/>
        <v>disponibile</v>
      </c>
      <c r="U1161" t="str">
        <f t="shared" si="167"/>
        <v>disponibile</v>
      </c>
      <c r="V1161" t="str">
        <f t="shared" si="168"/>
        <v>DIREZIONE SUD</v>
      </c>
      <c r="W1161" t="str">
        <f t="shared" si="169"/>
        <v>GALLERIA SAN GIULIANO</v>
      </c>
      <c r="Z1161" t="str">
        <f t="shared" si="170"/>
        <v>10.220.80.16</v>
      </c>
    </row>
    <row r="1162" spans="1:26" x14ac:dyDescent="0.25">
      <c r="A1162" t="s">
        <v>10</v>
      </c>
      <c r="B1162" t="s">
        <v>1063</v>
      </c>
      <c r="C1162" t="s">
        <v>1618</v>
      </c>
      <c r="D1162" t="s">
        <v>1619</v>
      </c>
      <c r="E1162" t="s">
        <v>1620</v>
      </c>
      <c r="F1162" t="s">
        <v>14</v>
      </c>
      <c r="G1162" t="s">
        <v>1375</v>
      </c>
      <c r="H1162" t="s">
        <v>22</v>
      </c>
      <c r="I1162" t="s">
        <v>1916</v>
      </c>
      <c r="J1162" t="s">
        <v>1375</v>
      </c>
      <c r="K1162" t="str">
        <f t="shared" si="162"/>
        <v>1231.12</v>
      </c>
      <c r="N1162" t="str">
        <f t="shared" si="163"/>
        <v>HOLDING REGISTER</v>
      </c>
      <c r="O1162" t="str">
        <f t="shared" si="164"/>
        <v>BOOL</v>
      </c>
      <c r="P1162" t="str">
        <f t="shared" si="165"/>
        <v>TELECAMERA T01S</v>
      </c>
      <c r="R1162" t="str">
        <f t="shared" si="166"/>
        <v>disponibile</v>
      </c>
      <c r="U1162" t="str">
        <f t="shared" si="167"/>
        <v>disponibile</v>
      </c>
      <c r="V1162" t="str">
        <f t="shared" si="168"/>
        <v>DIREZIONE SUD</v>
      </c>
      <c r="W1162" t="str">
        <f t="shared" si="169"/>
        <v>GALLERIA SAN GIULIANO</v>
      </c>
      <c r="Z1162" t="str">
        <f t="shared" si="170"/>
        <v>10.220.80.16</v>
      </c>
    </row>
    <row r="1163" spans="1:26" x14ac:dyDescent="0.25">
      <c r="A1163" t="s">
        <v>10</v>
      </c>
      <c r="B1163" t="s">
        <v>1063</v>
      </c>
      <c r="C1163" t="s">
        <v>1618</v>
      </c>
      <c r="D1163" t="s">
        <v>1619</v>
      </c>
      <c r="E1163" t="s">
        <v>1620</v>
      </c>
      <c r="F1163" t="s">
        <v>14</v>
      </c>
      <c r="G1163" t="s">
        <v>1375</v>
      </c>
      <c r="H1163" t="s">
        <v>22</v>
      </c>
      <c r="I1163" t="s">
        <v>1917</v>
      </c>
      <c r="J1163" t="s">
        <v>1375</v>
      </c>
      <c r="K1163" t="str">
        <f t="shared" si="162"/>
        <v>1231.13</v>
      </c>
      <c r="N1163" t="str">
        <f t="shared" si="163"/>
        <v>HOLDING REGISTER</v>
      </c>
      <c r="O1163" t="str">
        <f t="shared" si="164"/>
        <v>BOOL</v>
      </c>
      <c r="P1163" t="str">
        <f t="shared" si="165"/>
        <v>TELECAMERA T01S</v>
      </c>
      <c r="R1163" t="str">
        <f t="shared" si="166"/>
        <v>disponibile</v>
      </c>
      <c r="U1163" t="str">
        <f t="shared" si="167"/>
        <v>disponibile</v>
      </c>
      <c r="V1163" t="str">
        <f t="shared" si="168"/>
        <v>DIREZIONE SUD</v>
      </c>
      <c r="W1163" t="str">
        <f t="shared" si="169"/>
        <v>GALLERIA SAN GIULIANO</v>
      </c>
      <c r="Z1163" t="str">
        <f t="shared" si="170"/>
        <v>10.220.80.16</v>
      </c>
    </row>
    <row r="1164" spans="1:26" x14ac:dyDescent="0.25">
      <c r="A1164" t="s">
        <v>10</v>
      </c>
      <c r="B1164" t="s">
        <v>1063</v>
      </c>
      <c r="C1164" t="s">
        <v>1618</v>
      </c>
      <c r="D1164" t="s">
        <v>1619</v>
      </c>
      <c r="E1164" t="s">
        <v>1620</v>
      </c>
      <c r="F1164" t="s">
        <v>14</v>
      </c>
      <c r="G1164" t="s">
        <v>1375</v>
      </c>
      <c r="H1164" t="s">
        <v>22</v>
      </c>
      <c r="I1164" t="s">
        <v>1918</v>
      </c>
      <c r="J1164" t="s">
        <v>1375</v>
      </c>
      <c r="K1164" t="str">
        <f t="shared" si="162"/>
        <v>1231.14</v>
      </c>
      <c r="N1164" t="str">
        <f t="shared" si="163"/>
        <v>HOLDING REGISTER</v>
      </c>
      <c r="O1164" t="str">
        <f t="shared" si="164"/>
        <v>BOOL</v>
      </c>
      <c r="P1164" t="str">
        <f t="shared" si="165"/>
        <v>TELECAMERA T01S</v>
      </c>
      <c r="R1164" t="str">
        <f t="shared" si="166"/>
        <v>disponibile</v>
      </c>
      <c r="U1164" t="str">
        <f t="shared" si="167"/>
        <v>disponibile</v>
      </c>
      <c r="V1164" t="str">
        <f t="shared" si="168"/>
        <v>DIREZIONE SUD</v>
      </c>
      <c r="W1164" t="str">
        <f t="shared" si="169"/>
        <v>GALLERIA SAN GIULIANO</v>
      </c>
      <c r="Z1164" t="str">
        <f t="shared" si="170"/>
        <v>10.220.80.16</v>
      </c>
    </row>
    <row r="1165" spans="1:26" x14ac:dyDescent="0.25">
      <c r="A1165" t="s">
        <v>10</v>
      </c>
      <c r="B1165" t="s">
        <v>1063</v>
      </c>
      <c r="C1165" t="s">
        <v>1618</v>
      </c>
      <c r="D1165" t="s">
        <v>1619</v>
      </c>
      <c r="E1165" t="s">
        <v>1620</v>
      </c>
      <c r="F1165" t="s">
        <v>14</v>
      </c>
      <c r="G1165" t="s">
        <v>1375</v>
      </c>
      <c r="H1165" t="s">
        <v>22</v>
      </c>
      <c r="I1165" t="s">
        <v>1919</v>
      </c>
      <c r="J1165" t="s">
        <v>1375</v>
      </c>
      <c r="K1165" t="str">
        <f t="shared" si="162"/>
        <v>1231.15</v>
      </c>
      <c r="N1165" t="str">
        <f t="shared" si="163"/>
        <v>HOLDING REGISTER</v>
      </c>
      <c r="O1165" t="str">
        <f t="shared" si="164"/>
        <v>BOOL</v>
      </c>
      <c r="P1165" t="str">
        <f t="shared" si="165"/>
        <v>TELECAMERA T01S</v>
      </c>
      <c r="R1165" t="str">
        <f t="shared" si="166"/>
        <v>disponibile</v>
      </c>
      <c r="U1165" t="str">
        <f t="shared" si="167"/>
        <v>disponibile</v>
      </c>
      <c r="V1165" t="str">
        <f t="shared" si="168"/>
        <v>DIREZIONE SUD</v>
      </c>
      <c r="W1165" t="str">
        <f t="shared" si="169"/>
        <v>GALLERIA SAN GIULIANO</v>
      </c>
      <c r="Z1165" t="str">
        <f t="shared" si="170"/>
        <v>10.220.80.16</v>
      </c>
    </row>
    <row r="1166" spans="1:26" x14ac:dyDescent="0.25">
      <c r="A1166" t="s">
        <v>10</v>
      </c>
      <c r="B1166" t="s">
        <v>1063</v>
      </c>
      <c r="C1166" t="s">
        <v>1618</v>
      </c>
      <c r="D1166" t="s">
        <v>1619</v>
      </c>
      <c r="E1166" t="s">
        <v>1640</v>
      </c>
      <c r="F1166" t="s">
        <v>14</v>
      </c>
      <c r="G1166" t="s">
        <v>21</v>
      </c>
      <c r="H1166" t="s">
        <v>22</v>
      </c>
      <c r="I1166" t="s">
        <v>1920</v>
      </c>
      <c r="J1166" t="s">
        <v>1897</v>
      </c>
      <c r="K1166" t="str">
        <f t="shared" si="162"/>
        <v>1232.0</v>
      </c>
      <c r="N1166" t="str">
        <f t="shared" si="163"/>
        <v>HOLDING REGISTER</v>
      </c>
      <c r="O1166" t="str">
        <f t="shared" si="164"/>
        <v>BOOL</v>
      </c>
      <c r="P1166" t="str">
        <f t="shared" si="165"/>
        <v>TELECAMERA T02S</v>
      </c>
      <c r="R1166" t="str">
        <f t="shared" si="166"/>
        <v>PERDITA SEGNALE VIDEO</v>
      </c>
      <c r="U1166" t="str">
        <f t="shared" si="167"/>
        <v>Stato</v>
      </c>
      <c r="V1166" t="str">
        <f t="shared" si="168"/>
        <v>DIREZIONE SUD</v>
      </c>
      <c r="W1166" t="str">
        <f t="shared" si="169"/>
        <v>GALLERIA SAN GIULIANO</v>
      </c>
      <c r="Z1166" t="str">
        <f t="shared" si="170"/>
        <v>10.220.80.16</v>
      </c>
    </row>
    <row r="1167" spans="1:26" x14ac:dyDescent="0.25">
      <c r="A1167" t="s">
        <v>10</v>
      </c>
      <c r="B1167" t="s">
        <v>1063</v>
      </c>
      <c r="C1167" t="s">
        <v>1618</v>
      </c>
      <c r="D1167" t="s">
        <v>1619</v>
      </c>
      <c r="E1167" t="s">
        <v>1640</v>
      </c>
      <c r="F1167" t="s">
        <v>14</v>
      </c>
      <c r="G1167" t="s">
        <v>21</v>
      </c>
      <c r="H1167" t="s">
        <v>22</v>
      </c>
      <c r="I1167" t="s">
        <v>1921</v>
      </c>
      <c r="J1167" t="s">
        <v>1899</v>
      </c>
      <c r="K1167" t="str">
        <f t="shared" si="162"/>
        <v>1232.1</v>
      </c>
      <c r="N1167" t="str">
        <f t="shared" si="163"/>
        <v>HOLDING REGISTER</v>
      </c>
      <c r="O1167" t="str">
        <f t="shared" si="164"/>
        <v>BOOL</v>
      </c>
      <c r="P1167" t="str">
        <f t="shared" si="165"/>
        <v>TELECAMERA T02S</v>
      </c>
      <c r="R1167" t="str">
        <f t="shared" si="166"/>
        <v>MANOMISSIONE</v>
      </c>
      <c r="U1167" t="str">
        <f t="shared" si="167"/>
        <v>Stato</v>
      </c>
      <c r="V1167" t="str">
        <f t="shared" si="168"/>
        <v>DIREZIONE SUD</v>
      </c>
      <c r="W1167" t="str">
        <f t="shared" si="169"/>
        <v>GALLERIA SAN GIULIANO</v>
      </c>
      <c r="Z1167" t="str">
        <f t="shared" si="170"/>
        <v>10.220.80.16</v>
      </c>
    </row>
    <row r="1168" spans="1:26" x14ac:dyDescent="0.25">
      <c r="A1168" t="s">
        <v>10</v>
      </c>
      <c r="B1168" t="s">
        <v>1063</v>
      </c>
      <c r="C1168" t="s">
        <v>1618</v>
      </c>
      <c r="D1168" t="s">
        <v>1619</v>
      </c>
      <c r="E1168" t="s">
        <v>1640</v>
      </c>
      <c r="F1168" t="s">
        <v>14</v>
      </c>
      <c r="G1168" t="s">
        <v>21</v>
      </c>
      <c r="H1168" t="s">
        <v>22</v>
      </c>
      <c r="I1168" t="s">
        <v>1922</v>
      </c>
      <c r="J1168" t="s">
        <v>1375</v>
      </c>
      <c r="K1168" t="str">
        <f t="shared" si="162"/>
        <v>1232.2</v>
      </c>
      <c r="N1168" t="str">
        <f t="shared" si="163"/>
        <v>HOLDING REGISTER</v>
      </c>
      <c r="O1168" t="str">
        <f t="shared" si="164"/>
        <v>BOOL</v>
      </c>
      <c r="P1168" t="str">
        <f t="shared" si="165"/>
        <v>TELECAMERA T02S</v>
      </c>
      <c r="R1168" t="str">
        <f t="shared" si="166"/>
        <v>disponibile</v>
      </c>
      <c r="U1168" t="str">
        <f t="shared" si="167"/>
        <v>Stato</v>
      </c>
      <c r="V1168" t="str">
        <f t="shared" si="168"/>
        <v>DIREZIONE SUD</v>
      </c>
      <c r="W1168" t="str">
        <f t="shared" si="169"/>
        <v>GALLERIA SAN GIULIANO</v>
      </c>
      <c r="Z1168" t="str">
        <f t="shared" si="170"/>
        <v>10.220.80.16</v>
      </c>
    </row>
    <row r="1169" spans="1:26" x14ac:dyDescent="0.25">
      <c r="A1169" t="s">
        <v>10</v>
      </c>
      <c r="B1169" t="s">
        <v>1063</v>
      </c>
      <c r="C1169" t="s">
        <v>1618</v>
      </c>
      <c r="D1169" t="s">
        <v>1619</v>
      </c>
      <c r="E1169" t="s">
        <v>1640</v>
      </c>
      <c r="F1169" t="s">
        <v>14</v>
      </c>
      <c r="G1169" t="s">
        <v>1375</v>
      </c>
      <c r="H1169" t="s">
        <v>22</v>
      </c>
      <c r="I1169" t="s">
        <v>1923</v>
      </c>
      <c r="J1169" t="s">
        <v>1902</v>
      </c>
      <c r="K1169" t="str">
        <f t="shared" si="162"/>
        <v>1232.3</v>
      </c>
      <c r="N1169" t="str">
        <f t="shared" si="163"/>
        <v>HOLDING REGISTER</v>
      </c>
      <c r="O1169" t="str">
        <f t="shared" si="164"/>
        <v>BOOL</v>
      </c>
      <c r="P1169" t="str">
        <f t="shared" si="165"/>
        <v>TELECAMERA T02S</v>
      </c>
      <c r="R1169" t="str">
        <f t="shared" si="166"/>
        <v>VEICOLO FERMO</v>
      </c>
      <c r="U1169" t="str">
        <f t="shared" si="167"/>
        <v>disponibile</v>
      </c>
      <c r="V1169" t="str">
        <f t="shared" si="168"/>
        <v>DIREZIONE SUD</v>
      </c>
      <c r="W1169" t="str">
        <f t="shared" si="169"/>
        <v>GALLERIA SAN GIULIANO</v>
      </c>
      <c r="Z1169" t="str">
        <f t="shared" si="170"/>
        <v>10.220.80.16</v>
      </c>
    </row>
    <row r="1170" spans="1:26" x14ac:dyDescent="0.25">
      <c r="A1170" t="s">
        <v>10</v>
      </c>
      <c r="B1170" t="s">
        <v>1063</v>
      </c>
      <c r="C1170" t="s">
        <v>1618</v>
      </c>
      <c r="D1170" t="s">
        <v>1619</v>
      </c>
      <c r="E1170" t="s">
        <v>1640</v>
      </c>
      <c r="F1170" t="s">
        <v>14</v>
      </c>
      <c r="G1170" t="s">
        <v>1375</v>
      </c>
      <c r="H1170" t="s">
        <v>22</v>
      </c>
      <c r="I1170" t="s">
        <v>1924</v>
      </c>
      <c r="J1170" t="s">
        <v>1904</v>
      </c>
      <c r="K1170" t="str">
        <f t="shared" si="162"/>
        <v>1232.4</v>
      </c>
      <c r="N1170" t="str">
        <f t="shared" si="163"/>
        <v>HOLDING REGISTER</v>
      </c>
      <c r="O1170" t="str">
        <f t="shared" si="164"/>
        <v>BOOL</v>
      </c>
      <c r="P1170" t="str">
        <f t="shared" si="165"/>
        <v>TELECAMERA T02S</v>
      </c>
      <c r="R1170" t="str">
        <f t="shared" si="166"/>
        <v>CARICO DISPERSO</v>
      </c>
      <c r="U1170" t="str">
        <f t="shared" si="167"/>
        <v>disponibile</v>
      </c>
      <c r="V1170" t="str">
        <f t="shared" si="168"/>
        <v>DIREZIONE SUD</v>
      </c>
      <c r="W1170" t="str">
        <f t="shared" si="169"/>
        <v>GALLERIA SAN GIULIANO</v>
      </c>
      <c r="Z1170" t="str">
        <f t="shared" si="170"/>
        <v>10.220.80.16</v>
      </c>
    </row>
    <row r="1171" spans="1:26" x14ac:dyDescent="0.25">
      <c r="A1171" t="s">
        <v>10</v>
      </c>
      <c r="B1171" t="s">
        <v>1063</v>
      </c>
      <c r="C1171" t="s">
        <v>1618</v>
      </c>
      <c r="D1171" t="s">
        <v>1619</v>
      </c>
      <c r="E1171" t="s">
        <v>1640</v>
      </c>
      <c r="F1171" t="s">
        <v>14</v>
      </c>
      <c r="G1171" t="s">
        <v>1375</v>
      </c>
      <c r="H1171" t="s">
        <v>22</v>
      </c>
      <c r="I1171" t="s">
        <v>1925</v>
      </c>
      <c r="J1171" t="s">
        <v>1375</v>
      </c>
      <c r="K1171" t="str">
        <f t="shared" si="162"/>
        <v>1232.5</v>
      </c>
      <c r="N1171" t="str">
        <f t="shared" si="163"/>
        <v>HOLDING REGISTER</v>
      </c>
      <c r="O1171" t="str">
        <f t="shared" si="164"/>
        <v>BOOL</v>
      </c>
      <c r="P1171" t="str">
        <f t="shared" si="165"/>
        <v>TELECAMERA T02S</v>
      </c>
      <c r="R1171" t="str">
        <f t="shared" si="166"/>
        <v>disponibile</v>
      </c>
      <c r="U1171" t="str">
        <f t="shared" si="167"/>
        <v>disponibile</v>
      </c>
      <c r="V1171" t="str">
        <f t="shared" si="168"/>
        <v>DIREZIONE SUD</v>
      </c>
      <c r="W1171" t="str">
        <f t="shared" si="169"/>
        <v>GALLERIA SAN GIULIANO</v>
      </c>
      <c r="Z1171" t="str">
        <f t="shared" si="170"/>
        <v>10.220.80.16</v>
      </c>
    </row>
    <row r="1172" spans="1:26" x14ac:dyDescent="0.25">
      <c r="A1172" t="s">
        <v>10</v>
      </c>
      <c r="B1172" t="s">
        <v>1063</v>
      </c>
      <c r="C1172" t="s">
        <v>1618</v>
      </c>
      <c r="D1172" t="s">
        <v>1619</v>
      </c>
      <c r="E1172" t="s">
        <v>1640</v>
      </c>
      <c r="F1172" t="s">
        <v>14</v>
      </c>
      <c r="G1172" t="s">
        <v>1375</v>
      </c>
      <c r="H1172" t="s">
        <v>22</v>
      </c>
      <c r="I1172" t="s">
        <v>1926</v>
      </c>
      <c r="J1172" t="s">
        <v>1907</v>
      </c>
      <c r="K1172" t="str">
        <f t="shared" si="162"/>
        <v>1232.6</v>
      </c>
      <c r="N1172" t="str">
        <f t="shared" si="163"/>
        <v>HOLDING REGISTER</v>
      </c>
      <c r="O1172" t="str">
        <f t="shared" si="164"/>
        <v>BOOL</v>
      </c>
      <c r="P1172" t="str">
        <f t="shared" si="165"/>
        <v>TELECAMERA T02S</v>
      </c>
      <c r="R1172" t="str">
        <f t="shared" si="166"/>
        <v>PEDONE</v>
      </c>
      <c r="U1172" t="str">
        <f t="shared" si="167"/>
        <v>disponibile</v>
      </c>
      <c r="V1172" t="str">
        <f t="shared" si="168"/>
        <v>DIREZIONE SUD</v>
      </c>
      <c r="W1172" t="str">
        <f t="shared" si="169"/>
        <v>GALLERIA SAN GIULIANO</v>
      </c>
      <c r="Z1172" t="str">
        <f t="shared" si="170"/>
        <v>10.220.80.16</v>
      </c>
    </row>
    <row r="1173" spans="1:26" x14ac:dyDescent="0.25">
      <c r="A1173" t="s">
        <v>10</v>
      </c>
      <c r="B1173" t="s">
        <v>1063</v>
      </c>
      <c r="C1173" t="s">
        <v>1618</v>
      </c>
      <c r="D1173" t="s">
        <v>1619</v>
      </c>
      <c r="E1173" t="s">
        <v>1640</v>
      </c>
      <c r="F1173" t="s">
        <v>14</v>
      </c>
      <c r="G1173" t="s">
        <v>1375</v>
      </c>
      <c r="H1173" t="s">
        <v>22</v>
      </c>
      <c r="I1173" t="s">
        <v>1927</v>
      </c>
      <c r="J1173" t="s">
        <v>1909</v>
      </c>
      <c r="K1173" t="str">
        <f t="shared" si="162"/>
        <v>1232.7</v>
      </c>
      <c r="N1173" t="str">
        <f t="shared" si="163"/>
        <v>HOLDING REGISTER</v>
      </c>
      <c r="O1173" t="str">
        <f t="shared" si="164"/>
        <v>BOOL</v>
      </c>
      <c r="P1173" t="str">
        <f t="shared" si="165"/>
        <v>TELECAMERA T02S</v>
      </c>
      <c r="R1173" t="str">
        <f t="shared" si="166"/>
        <v>FUMO</v>
      </c>
      <c r="U1173" t="str">
        <f t="shared" si="167"/>
        <v>disponibile</v>
      </c>
      <c r="V1173" t="str">
        <f t="shared" si="168"/>
        <v>DIREZIONE SUD</v>
      </c>
      <c r="W1173" t="str">
        <f t="shared" si="169"/>
        <v>GALLERIA SAN GIULIANO</v>
      </c>
      <c r="Z1173" t="str">
        <f t="shared" si="170"/>
        <v>10.220.80.16</v>
      </c>
    </row>
    <row r="1174" spans="1:26" x14ac:dyDescent="0.25">
      <c r="A1174" t="s">
        <v>10</v>
      </c>
      <c r="B1174" t="s">
        <v>1063</v>
      </c>
      <c r="C1174" t="s">
        <v>1618</v>
      </c>
      <c r="D1174" t="s">
        <v>1619</v>
      </c>
      <c r="E1174" t="s">
        <v>1640</v>
      </c>
      <c r="F1174" t="s">
        <v>14</v>
      </c>
      <c r="G1174" t="s">
        <v>1375</v>
      </c>
      <c r="H1174" t="s">
        <v>22</v>
      </c>
      <c r="I1174" t="s">
        <v>1928</v>
      </c>
      <c r="J1174" t="s">
        <v>1911</v>
      </c>
      <c r="K1174" t="str">
        <f t="shared" si="162"/>
        <v>1232.8</v>
      </c>
      <c r="N1174" t="str">
        <f t="shared" si="163"/>
        <v>HOLDING REGISTER</v>
      </c>
      <c r="O1174" t="str">
        <f t="shared" si="164"/>
        <v>BOOL</v>
      </c>
      <c r="P1174" t="str">
        <f t="shared" si="165"/>
        <v>TELECAMERA T02S</v>
      </c>
      <c r="R1174" t="str">
        <f t="shared" si="166"/>
        <v>RALLENTAMENTI</v>
      </c>
      <c r="U1174" t="str">
        <f t="shared" si="167"/>
        <v>disponibile</v>
      </c>
      <c r="V1174" t="str">
        <f t="shared" si="168"/>
        <v>DIREZIONE SUD</v>
      </c>
      <c r="W1174" t="str">
        <f t="shared" si="169"/>
        <v>GALLERIA SAN GIULIANO</v>
      </c>
      <c r="Z1174" t="str">
        <f t="shared" si="170"/>
        <v>10.220.80.16</v>
      </c>
    </row>
    <row r="1175" spans="1:26" x14ac:dyDescent="0.25">
      <c r="A1175" t="s">
        <v>10</v>
      </c>
      <c r="B1175" t="s">
        <v>1063</v>
      </c>
      <c r="C1175" t="s">
        <v>1618</v>
      </c>
      <c r="D1175" t="s">
        <v>1619</v>
      </c>
      <c r="E1175" t="s">
        <v>1640</v>
      </c>
      <c r="F1175" t="s">
        <v>14</v>
      </c>
      <c r="G1175" t="s">
        <v>1375</v>
      </c>
      <c r="H1175" t="s">
        <v>22</v>
      </c>
      <c r="I1175" t="s">
        <v>1929</v>
      </c>
      <c r="J1175" t="s">
        <v>1913</v>
      </c>
      <c r="K1175" t="str">
        <f t="shared" si="162"/>
        <v>1232.9</v>
      </c>
      <c r="N1175" t="str">
        <f t="shared" si="163"/>
        <v>HOLDING REGISTER</v>
      </c>
      <c r="O1175" t="str">
        <f t="shared" si="164"/>
        <v>BOOL</v>
      </c>
      <c r="P1175" t="str">
        <f t="shared" si="165"/>
        <v>TELECAMERA T02S</v>
      </c>
      <c r="R1175" t="str">
        <f t="shared" si="166"/>
        <v>CODA IN GALLERIA</v>
      </c>
      <c r="U1175" t="str">
        <f t="shared" si="167"/>
        <v>disponibile</v>
      </c>
      <c r="V1175" t="str">
        <f t="shared" si="168"/>
        <v>DIREZIONE SUD</v>
      </c>
      <c r="W1175" t="str">
        <f t="shared" si="169"/>
        <v>GALLERIA SAN GIULIANO</v>
      </c>
      <c r="Z1175" t="str">
        <f t="shared" si="170"/>
        <v>10.220.80.16</v>
      </c>
    </row>
    <row r="1176" spans="1:26" x14ac:dyDescent="0.25">
      <c r="A1176" t="s">
        <v>10</v>
      </c>
      <c r="B1176" t="s">
        <v>1063</v>
      </c>
      <c r="C1176" t="s">
        <v>1618</v>
      </c>
      <c r="D1176" t="s">
        <v>1619</v>
      </c>
      <c r="E1176" t="s">
        <v>1640</v>
      </c>
      <c r="F1176" t="s">
        <v>14</v>
      </c>
      <c r="G1176" t="s">
        <v>1375</v>
      </c>
      <c r="H1176" t="s">
        <v>22</v>
      </c>
      <c r="I1176" t="s">
        <v>1930</v>
      </c>
      <c r="J1176" t="s">
        <v>1375</v>
      </c>
      <c r="K1176" t="str">
        <f t="shared" si="162"/>
        <v>1232.10</v>
      </c>
      <c r="N1176" t="str">
        <f t="shared" si="163"/>
        <v>HOLDING REGISTER</v>
      </c>
      <c r="O1176" t="str">
        <f t="shared" si="164"/>
        <v>BOOL</v>
      </c>
      <c r="P1176" t="str">
        <f t="shared" si="165"/>
        <v>TELECAMERA T02S</v>
      </c>
      <c r="R1176" t="str">
        <f t="shared" si="166"/>
        <v>disponibile</v>
      </c>
      <c r="U1176" t="str">
        <f t="shared" si="167"/>
        <v>disponibile</v>
      </c>
      <c r="V1176" t="str">
        <f t="shared" si="168"/>
        <v>DIREZIONE SUD</v>
      </c>
      <c r="W1176" t="str">
        <f t="shared" si="169"/>
        <v>GALLERIA SAN GIULIANO</v>
      </c>
      <c r="Z1176" t="str">
        <f t="shared" si="170"/>
        <v>10.220.80.16</v>
      </c>
    </row>
    <row r="1177" spans="1:26" x14ac:dyDescent="0.25">
      <c r="A1177" t="s">
        <v>10</v>
      </c>
      <c r="B1177" t="s">
        <v>1063</v>
      </c>
      <c r="C1177" t="s">
        <v>1618</v>
      </c>
      <c r="D1177" t="s">
        <v>1619</v>
      </c>
      <c r="E1177" t="s">
        <v>1640</v>
      </c>
      <c r="F1177" t="s">
        <v>14</v>
      </c>
      <c r="G1177" t="s">
        <v>1375</v>
      </c>
      <c r="H1177" t="s">
        <v>22</v>
      </c>
      <c r="I1177" t="s">
        <v>1931</v>
      </c>
      <c r="J1177" t="s">
        <v>1375</v>
      </c>
      <c r="K1177" t="str">
        <f t="shared" si="162"/>
        <v>1232.11</v>
      </c>
      <c r="N1177" t="str">
        <f t="shared" si="163"/>
        <v>HOLDING REGISTER</v>
      </c>
      <c r="O1177" t="str">
        <f t="shared" si="164"/>
        <v>BOOL</v>
      </c>
      <c r="P1177" t="str">
        <f t="shared" si="165"/>
        <v>TELECAMERA T02S</v>
      </c>
      <c r="R1177" t="str">
        <f t="shared" si="166"/>
        <v>disponibile</v>
      </c>
      <c r="U1177" t="str">
        <f t="shared" si="167"/>
        <v>disponibile</v>
      </c>
      <c r="V1177" t="str">
        <f t="shared" si="168"/>
        <v>DIREZIONE SUD</v>
      </c>
      <c r="W1177" t="str">
        <f t="shared" si="169"/>
        <v>GALLERIA SAN GIULIANO</v>
      </c>
      <c r="Z1177" t="str">
        <f t="shared" si="170"/>
        <v>10.220.80.16</v>
      </c>
    </row>
    <row r="1178" spans="1:26" x14ac:dyDescent="0.25">
      <c r="A1178" t="s">
        <v>10</v>
      </c>
      <c r="B1178" t="s">
        <v>1063</v>
      </c>
      <c r="C1178" t="s">
        <v>1618</v>
      </c>
      <c r="D1178" t="s">
        <v>1619</v>
      </c>
      <c r="E1178" t="s">
        <v>1640</v>
      </c>
      <c r="F1178" t="s">
        <v>14</v>
      </c>
      <c r="G1178" t="s">
        <v>1375</v>
      </c>
      <c r="H1178" t="s">
        <v>22</v>
      </c>
      <c r="I1178" t="s">
        <v>1932</v>
      </c>
      <c r="J1178" t="s">
        <v>1375</v>
      </c>
      <c r="K1178" t="str">
        <f t="shared" si="162"/>
        <v>1232.12</v>
      </c>
      <c r="N1178" t="str">
        <f t="shared" si="163"/>
        <v>HOLDING REGISTER</v>
      </c>
      <c r="O1178" t="str">
        <f t="shared" si="164"/>
        <v>BOOL</v>
      </c>
      <c r="P1178" t="str">
        <f t="shared" si="165"/>
        <v>TELECAMERA T02S</v>
      </c>
      <c r="R1178" t="str">
        <f t="shared" si="166"/>
        <v>disponibile</v>
      </c>
      <c r="U1178" t="str">
        <f t="shared" si="167"/>
        <v>disponibile</v>
      </c>
      <c r="V1178" t="str">
        <f t="shared" si="168"/>
        <v>DIREZIONE SUD</v>
      </c>
      <c r="W1178" t="str">
        <f t="shared" si="169"/>
        <v>GALLERIA SAN GIULIANO</v>
      </c>
      <c r="Z1178" t="str">
        <f t="shared" si="170"/>
        <v>10.220.80.16</v>
      </c>
    </row>
    <row r="1179" spans="1:26" x14ac:dyDescent="0.25">
      <c r="A1179" t="s">
        <v>10</v>
      </c>
      <c r="B1179" t="s">
        <v>1063</v>
      </c>
      <c r="C1179" t="s">
        <v>1618</v>
      </c>
      <c r="D1179" t="s">
        <v>1619</v>
      </c>
      <c r="E1179" t="s">
        <v>1640</v>
      </c>
      <c r="F1179" t="s">
        <v>14</v>
      </c>
      <c r="G1179" t="s">
        <v>1375</v>
      </c>
      <c r="H1179" t="s">
        <v>22</v>
      </c>
      <c r="I1179" t="s">
        <v>1933</v>
      </c>
      <c r="J1179" t="s">
        <v>1375</v>
      </c>
      <c r="K1179" t="str">
        <f t="shared" si="162"/>
        <v>1232.13</v>
      </c>
      <c r="N1179" t="str">
        <f t="shared" si="163"/>
        <v>HOLDING REGISTER</v>
      </c>
      <c r="O1179" t="str">
        <f t="shared" si="164"/>
        <v>BOOL</v>
      </c>
      <c r="P1179" t="str">
        <f t="shared" si="165"/>
        <v>TELECAMERA T02S</v>
      </c>
      <c r="R1179" t="str">
        <f t="shared" si="166"/>
        <v>disponibile</v>
      </c>
      <c r="U1179" t="str">
        <f t="shared" si="167"/>
        <v>disponibile</v>
      </c>
      <c r="V1179" t="str">
        <f t="shared" si="168"/>
        <v>DIREZIONE SUD</v>
      </c>
      <c r="W1179" t="str">
        <f t="shared" si="169"/>
        <v>GALLERIA SAN GIULIANO</v>
      </c>
      <c r="Z1179" t="str">
        <f t="shared" si="170"/>
        <v>10.220.80.16</v>
      </c>
    </row>
    <row r="1180" spans="1:26" x14ac:dyDescent="0.25">
      <c r="A1180" t="s">
        <v>10</v>
      </c>
      <c r="B1180" t="s">
        <v>1063</v>
      </c>
      <c r="C1180" t="s">
        <v>1618</v>
      </c>
      <c r="D1180" t="s">
        <v>1619</v>
      </c>
      <c r="E1180" t="s">
        <v>1640</v>
      </c>
      <c r="F1180" t="s">
        <v>14</v>
      </c>
      <c r="G1180" t="s">
        <v>1375</v>
      </c>
      <c r="H1180" t="s">
        <v>22</v>
      </c>
      <c r="I1180" t="s">
        <v>1934</v>
      </c>
      <c r="J1180" t="s">
        <v>1375</v>
      </c>
      <c r="K1180" t="str">
        <f t="shared" si="162"/>
        <v>1232.14</v>
      </c>
      <c r="N1180" t="str">
        <f t="shared" si="163"/>
        <v>HOLDING REGISTER</v>
      </c>
      <c r="O1180" t="str">
        <f t="shared" si="164"/>
        <v>BOOL</v>
      </c>
      <c r="P1180" t="str">
        <f t="shared" si="165"/>
        <v>TELECAMERA T02S</v>
      </c>
      <c r="R1180" t="str">
        <f t="shared" si="166"/>
        <v>disponibile</v>
      </c>
      <c r="U1180" t="str">
        <f t="shared" si="167"/>
        <v>disponibile</v>
      </c>
      <c r="V1180" t="str">
        <f t="shared" si="168"/>
        <v>DIREZIONE SUD</v>
      </c>
      <c r="W1180" t="str">
        <f t="shared" si="169"/>
        <v>GALLERIA SAN GIULIANO</v>
      </c>
      <c r="Z1180" t="str">
        <f t="shared" si="170"/>
        <v>10.220.80.16</v>
      </c>
    </row>
    <row r="1181" spans="1:26" x14ac:dyDescent="0.25">
      <c r="A1181" t="s">
        <v>10</v>
      </c>
      <c r="B1181" t="s">
        <v>1063</v>
      </c>
      <c r="C1181" t="s">
        <v>1618</v>
      </c>
      <c r="D1181" t="s">
        <v>1619</v>
      </c>
      <c r="E1181" t="s">
        <v>1640</v>
      </c>
      <c r="F1181" t="s">
        <v>14</v>
      </c>
      <c r="G1181" t="s">
        <v>1375</v>
      </c>
      <c r="H1181" t="s">
        <v>22</v>
      </c>
      <c r="I1181" t="s">
        <v>1935</v>
      </c>
      <c r="J1181" t="s">
        <v>1375</v>
      </c>
      <c r="K1181" t="str">
        <f t="shared" si="162"/>
        <v>1232.15</v>
      </c>
      <c r="N1181" t="str">
        <f t="shared" si="163"/>
        <v>HOLDING REGISTER</v>
      </c>
      <c r="O1181" t="str">
        <f t="shared" si="164"/>
        <v>BOOL</v>
      </c>
      <c r="P1181" t="str">
        <f t="shared" si="165"/>
        <v>TELECAMERA T02S</v>
      </c>
      <c r="R1181" t="str">
        <f t="shared" si="166"/>
        <v>disponibile</v>
      </c>
      <c r="U1181" t="str">
        <f t="shared" si="167"/>
        <v>disponibile</v>
      </c>
      <c r="V1181" t="str">
        <f t="shared" si="168"/>
        <v>DIREZIONE SUD</v>
      </c>
      <c r="W1181" t="str">
        <f t="shared" si="169"/>
        <v>GALLERIA SAN GIULIANO</v>
      </c>
      <c r="Z1181" t="str">
        <f t="shared" si="170"/>
        <v>10.220.80.16</v>
      </c>
    </row>
    <row r="1182" spans="1:26" x14ac:dyDescent="0.25">
      <c r="A1182" t="s">
        <v>10</v>
      </c>
      <c r="B1182" t="s">
        <v>1063</v>
      </c>
      <c r="C1182" t="s">
        <v>1618</v>
      </c>
      <c r="D1182" t="s">
        <v>1619</v>
      </c>
      <c r="E1182" t="s">
        <v>1657</v>
      </c>
      <c r="F1182" t="s">
        <v>14</v>
      </c>
      <c r="G1182" t="s">
        <v>21</v>
      </c>
      <c r="H1182" t="s">
        <v>22</v>
      </c>
      <c r="I1182" t="s">
        <v>1936</v>
      </c>
      <c r="J1182" t="s">
        <v>1897</v>
      </c>
      <c r="K1182" t="str">
        <f t="shared" si="162"/>
        <v>1233.0</v>
      </c>
      <c r="N1182" t="str">
        <f t="shared" si="163"/>
        <v>HOLDING REGISTER</v>
      </c>
      <c r="O1182" t="str">
        <f t="shared" si="164"/>
        <v>BOOL</v>
      </c>
      <c r="P1182" t="str">
        <f t="shared" si="165"/>
        <v>TELECAMERA T05S</v>
      </c>
      <c r="R1182" t="str">
        <f t="shared" si="166"/>
        <v>PERDITA SEGNALE VIDEO</v>
      </c>
      <c r="U1182" t="str">
        <f t="shared" si="167"/>
        <v>Stato</v>
      </c>
      <c r="V1182" t="str">
        <f t="shared" si="168"/>
        <v>DIREZIONE SUD</v>
      </c>
      <c r="W1182" t="str">
        <f t="shared" si="169"/>
        <v>GALLERIA SAN GIULIANO</v>
      </c>
      <c r="Z1182" t="str">
        <f t="shared" si="170"/>
        <v>10.220.80.16</v>
      </c>
    </row>
    <row r="1183" spans="1:26" x14ac:dyDescent="0.25">
      <c r="A1183" t="s">
        <v>10</v>
      </c>
      <c r="B1183" t="s">
        <v>1063</v>
      </c>
      <c r="C1183" t="s">
        <v>1618</v>
      </c>
      <c r="D1183" t="s">
        <v>1619</v>
      </c>
      <c r="E1183" t="s">
        <v>1657</v>
      </c>
      <c r="F1183" t="s">
        <v>14</v>
      </c>
      <c r="G1183" t="s">
        <v>21</v>
      </c>
      <c r="H1183" t="s">
        <v>22</v>
      </c>
      <c r="I1183" t="s">
        <v>1937</v>
      </c>
      <c r="J1183" t="s">
        <v>1899</v>
      </c>
      <c r="K1183" t="str">
        <f t="shared" si="162"/>
        <v>1233.1</v>
      </c>
      <c r="N1183" t="str">
        <f t="shared" si="163"/>
        <v>HOLDING REGISTER</v>
      </c>
      <c r="O1183" t="str">
        <f t="shared" si="164"/>
        <v>BOOL</v>
      </c>
      <c r="P1183" t="str">
        <f t="shared" si="165"/>
        <v>TELECAMERA T05S</v>
      </c>
      <c r="R1183" t="str">
        <f t="shared" si="166"/>
        <v>MANOMISSIONE</v>
      </c>
      <c r="U1183" t="str">
        <f t="shared" si="167"/>
        <v>Stato</v>
      </c>
      <c r="V1183" t="str">
        <f t="shared" si="168"/>
        <v>DIREZIONE SUD</v>
      </c>
      <c r="W1183" t="str">
        <f t="shared" si="169"/>
        <v>GALLERIA SAN GIULIANO</v>
      </c>
      <c r="Z1183" t="str">
        <f t="shared" si="170"/>
        <v>10.220.80.16</v>
      </c>
    </row>
    <row r="1184" spans="1:26" x14ac:dyDescent="0.25">
      <c r="A1184" t="s">
        <v>10</v>
      </c>
      <c r="B1184" t="s">
        <v>1063</v>
      </c>
      <c r="C1184" t="s">
        <v>1618</v>
      </c>
      <c r="D1184" t="s">
        <v>1619</v>
      </c>
      <c r="E1184" t="s">
        <v>1657</v>
      </c>
      <c r="F1184" t="s">
        <v>14</v>
      </c>
      <c r="G1184" t="s">
        <v>21</v>
      </c>
      <c r="H1184" t="s">
        <v>22</v>
      </c>
      <c r="I1184" t="s">
        <v>1938</v>
      </c>
      <c r="J1184" t="s">
        <v>1375</v>
      </c>
      <c r="K1184" t="str">
        <f t="shared" si="162"/>
        <v>1233.2</v>
      </c>
      <c r="N1184" t="str">
        <f t="shared" si="163"/>
        <v>HOLDING REGISTER</v>
      </c>
      <c r="O1184" t="str">
        <f t="shared" si="164"/>
        <v>BOOL</v>
      </c>
      <c r="P1184" t="str">
        <f t="shared" si="165"/>
        <v>TELECAMERA T05S</v>
      </c>
      <c r="R1184" t="str">
        <f t="shared" si="166"/>
        <v>disponibile</v>
      </c>
      <c r="U1184" t="str">
        <f t="shared" si="167"/>
        <v>Stato</v>
      </c>
      <c r="V1184" t="str">
        <f t="shared" si="168"/>
        <v>DIREZIONE SUD</v>
      </c>
      <c r="W1184" t="str">
        <f t="shared" si="169"/>
        <v>GALLERIA SAN GIULIANO</v>
      </c>
      <c r="Z1184" t="str">
        <f t="shared" si="170"/>
        <v>10.220.80.16</v>
      </c>
    </row>
    <row r="1185" spans="1:26" x14ac:dyDescent="0.25">
      <c r="A1185" t="s">
        <v>10</v>
      </c>
      <c r="B1185" t="s">
        <v>1063</v>
      </c>
      <c r="C1185" t="s">
        <v>1618</v>
      </c>
      <c r="D1185" t="s">
        <v>1619</v>
      </c>
      <c r="E1185" t="s">
        <v>1657</v>
      </c>
      <c r="F1185" t="s">
        <v>14</v>
      </c>
      <c r="G1185" t="s">
        <v>1375</v>
      </c>
      <c r="H1185" t="s">
        <v>22</v>
      </c>
      <c r="I1185" t="s">
        <v>1939</v>
      </c>
      <c r="J1185" t="s">
        <v>1902</v>
      </c>
      <c r="K1185" t="str">
        <f t="shared" si="162"/>
        <v>1233.3</v>
      </c>
      <c r="N1185" t="str">
        <f t="shared" si="163"/>
        <v>HOLDING REGISTER</v>
      </c>
      <c r="O1185" t="str">
        <f t="shared" si="164"/>
        <v>BOOL</v>
      </c>
      <c r="P1185" t="str">
        <f t="shared" si="165"/>
        <v>TELECAMERA T05S</v>
      </c>
      <c r="R1185" t="str">
        <f t="shared" si="166"/>
        <v>VEICOLO FERMO</v>
      </c>
      <c r="U1185" t="str">
        <f t="shared" si="167"/>
        <v>disponibile</v>
      </c>
      <c r="V1185" t="str">
        <f t="shared" si="168"/>
        <v>DIREZIONE SUD</v>
      </c>
      <c r="W1185" t="str">
        <f t="shared" si="169"/>
        <v>GALLERIA SAN GIULIANO</v>
      </c>
      <c r="Z1185" t="str">
        <f t="shared" si="170"/>
        <v>10.220.80.16</v>
      </c>
    </row>
    <row r="1186" spans="1:26" x14ac:dyDescent="0.25">
      <c r="A1186" t="s">
        <v>10</v>
      </c>
      <c r="B1186" t="s">
        <v>1063</v>
      </c>
      <c r="C1186" t="s">
        <v>1618</v>
      </c>
      <c r="D1186" t="s">
        <v>1619</v>
      </c>
      <c r="E1186" t="s">
        <v>1657</v>
      </c>
      <c r="F1186" t="s">
        <v>14</v>
      </c>
      <c r="G1186" t="s">
        <v>1375</v>
      </c>
      <c r="H1186" t="s">
        <v>22</v>
      </c>
      <c r="I1186" t="s">
        <v>1940</v>
      </c>
      <c r="J1186" t="s">
        <v>1904</v>
      </c>
      <c r="K1186" t="str">
        <f t="shared" si="162"/>
        <v>1233.4</v>
      </c>
      <c r="N1186" t="str">
        <f t="shared" si="163"/>
        <v>HOLDING REGISTER</v>
      </c>
      <c r="O1186" t="str">
        <f t="shared" si="164"/>
        <v>BOOL</v>
      </c>
      <c r="P1186" t="str">
        <f t="shared" si="165"/>
        <v>TELECAMERA T05S</v>
      </c>
      <c r="R1186" t="str">
        <f t="shared" si="166"/>
        <v>CARICO DISPERSO</v>
      </c>
      <c r="U1186" t="str">
        <f t="shared" si="167"/>
        <v>disponibile</v>
      </c>
      <c r="V1186" t="str">
        <f t="shared" si="168"/>
        <v>DIREZIONE SUD</v>
      </c>
      <c r="W1186" t="str">
        <f t="shared" si="169"/>
        <v>GALLERIA SAN GIULIANO</v>
      </c>
      <c r="Z1186" t="str">
        <f t="shared" si="170"/>
        <v>10.220.80.16</v>
      </c>
    </row>
    <row r="1187" spans="1:26" x14ac:dyDescent="0.25">
      <c r="A1187" t="s">
        <v>10</v>
      </c>
      <c r="B1187" t="s">
        <v>1063</v>
      </c>
      <c r="C1187" t="s">
        <v>1618</v>
      </c>
      <c r="D1187" t="s">
        <v>1619</v>
      </c>
      <c r="E1187" t="s">
        <v>1657</v>
      </c>
      <c r="F1187" t="s">
        <v>14</v>
      </c>
      <c r="G1187" t="s">
        <v>1375</v>
      </c>
      <c r="H1187" t="s">
        <v>22</v>
      </c>
      <c r="I1187" t="s">
        <v>1941</v>
      </c>
      <c r="J1187" t="s">
        <v>1375</v>
      </c>
      <c r="K1187" t="str">
        <f t="shared" si="162"/>
        <v>1233.5</v>
      </c>
      <c r="N1187" t="str">
        <f t="shared" si="163"/>
        <v>HOLDING REGISTER</v>
      </c>
      <c r="O1187" t="str">
        <f t="shared" si="164"/>
        <v>BOOL</v>
      </c>
      <c r="P1187" t="str">
        <f t="shared" si="165"/>
        <v>TELECAMERA T05S</v>
      </c>
      <c r="R1187" t="str">
        <f t="shared" si="166"/>
        <v>disponibile</v>
      </c>
      <c r="U1187" t="str">
        <f t="shared" si="167"/>
        <v>disponibile</v>
      </c>
      <c r="V1187" t="str">
        <f t="shared" si="168"/>
        <v>DIREZIONE SUD</v>
      </c>
      <c r="W1187" t="str">
        <f t="shared" si="169"/>
        <v>GALLERIA SAN GIULIANO</v>
      </c>
      <c r="Z1187" t="str">
        <f t="shared" si="170"/>
        <v>10.220.80.16</v>
      </c>
    </row>
    <row r="1188" spans="1:26" x14ac:dyDescent="0.25">
      <c r="A1188" t="s">
        <v>10</v>
      </c>
      <c r="B1188" t="s">
        <v>1063</v>
      </c>
      <c r="C1188" t="s">
        <v>1618</v>
      </c>
      <c r="D1188" t="s">
        <v>1619</v>
      </c>
      <c r="E1188" t="s">
        <v>1657</v>
      </c>
      <c r="F1188" t="s">
        <v>14</v>
      </c>
      <c r="G1188" t="s">
        <v>1375</v>
      </c>
      <c r="H1188" t="s">
        <v>22</v>
      </c>
      <c r="I1188" t="s">
        <v>1942</v>
      </c>
      <c r="J1188" t="s">
        <v>1907</v>
      </c>
      <c r="K1188" t="str">
        <f t="shared" si="162"/>
        <v>1233.6</v>
      </c>
      <c r="N1188" t="str">
        <f t="shared" si="163"/>
        <v>HOLDING REGISTER</v>
      </c>
      <c r="O1188" t="str">
        <f t="shared" si="164"/>
        <v>BOOL</v>
      </c>
      <c r="P1188" t="str">
        <f t="shared" si="165"/>
        <v>TELECAMERA T05S</v>
      </c>
      <c r="R1188" t="str">
        <f t="shared" si="166"/>
        <v>PEDONE</v>
      </c>
      <c r="U1188" t="str">
        <f t="shared" si="167"/>
        <v>disponibile</v>
      </c>
      <c r="V1188" t="str">
        <f t="shared" si="168"/>
        <v>DIREZIONE SUD</v>
      </c>
      <c r="W1188" t="str">
        <f t="shared" si="169"/>
        <v>GALLERIA SAN GIULIANO</v>
      </c>
      <c r="Z1188" t="str">
        <f t="shared" si="170"/>
        <v>10.220.80.16</v>
      </c>
    </row>
    <row r="1189" spans="1:26" x14ac:dyDescent="0.25">
      <c r="A1189" t="s">
        <v>10</v>
      </c>
      <c r="B1189" t="s">
        <v>1063</v>
      </c>
      <c r="C1189" t="s">
        <v>1618</v>
      </c>
      <c r="D1189" t="s">
        <v>1619</v>
      </c>
      <c r="E1189" t="s">
        <v>1657</v>
      </c>
      <c r="F1189" t="s">
        <v>14</v>
      </c>
      <c r="G1189" t="s">
        <v>1375</v>
      </c>
      <c r="H1189" t="s">
        <v>22</v>
      </c>
      <c r="I1189" t="s">
        <v>1943</v>
      </c>
      <c r="J1189" t="s">
        <v>1909</v>
      </c>
      <c r="K1189" t="str">
        <f t="shared" si="162"/>
        <v>1233.7</v>
      </c>
      <c r="N1189" t="str">
        <f t="shared" si="163"/>
        <v>HOLDING REGISTER</v>
      </c>
      <c r="O1189" t="str">
        <f t="shared" si="164"/>
        <v>BOOL</v>
      </c>
      <c r="P1189" t="str">
        <f t="shared" si="165"/>
        <v>TELECAMERA T05S</v>
      </c>
      <c r="R1189" t="str">
        <f t="shared" si="166"/>
        <v>FUMO</v>
      </c>
      <c r="U1189" t="str">
        <f t="shared" si="167"/>
        <v>disponibile</v>
      </c>
      <c r="V1189" t="str">
        <f t="shared" si="168"/>
        <v>DIREZIONE SUD</v>
      </c>
      <c r="W1189" t="str">
        <f t="shared" si="169"/>
        <v>GALLERIA SAN GIULIANO</v>
      </c>
      <c r="Z1189" t="str">
        <f t="shared" si="170"/>
        <v>10.220.80.16</v>
      </c>
    </row>
    <row r="1190" spans="1:26" x14ac:dyDescent="0.25">
      <c r="A1190" t="s">
        <v>10</v>
      </c>
      <c r="B1190" t="s">
        <v>1063</v>
      </c>
      <c r="C1190" t="s">
        <v>1618</v>
      </c>
      <c r="D1190" t="s">
        <v>1619</v>
      </c>
      <c r="E1190" t="s">
        <v>1657</v>
      </c>
      <c r="F1190" t="s">
        <v>14</v>
      </c>
      <c r="G1190" t="s">
        <v>1375</v>
      </c>
      <c r="H1190" t="s">
        <v>22</v>
      </c>
      <c r="I1190" t="s">
        <v>1944</v>
      </c>
      <c r="J1190" t="s">
        <v>1911</v>
      </c>
      <c r="K1190" t="str">
        <f t="shared" si="162"/>
        <v>1233.8</v>
      </c>
      <c r="N1190" t="str">
        <f t="shared" si="163"/>
        <v>HOLDING REGISTER</v>
      </c>
      <c r="O1190" t="str">
        <f t="shared" si="164"/>
        <v>BOOL</v>
      </c>
      <c r="P1190" t="str">
        <f t="shared" si="165"/>
        <v>TELECAMERA T05S</v>
      </c>
      <c r="R1190" t="str">
        <f t="shared" si="166"/>
        <v>RALLENTAMENTI</v>
      </c>
      <c r="U1190" t="str">
        <f t="shared" si="167"/>
        <v>disponibile</v>
      </c>
      <c r="V1190" t="str">
        <f t="shared" si="168"/>
        <v>DIREZIONE SUD</v>
      </c>
      <c r="W1190" t="str">
        <f t="shared" si="169"/>
        <v>GALLERIA SAN GIULIANO</v>
      </c>
      <c r="Z1190" t="str">
        <f t="shared" si="170"/>
        <v>10.220.80.16</v>
      </c>
    </row>
    <row r="1191" spans="1:26" x14ac:dyDescent="0.25">
      <c r="A1191" t="s">
        <v>10</v>
      </c>
      <c r="B1191" t="s">
        <v>1063</v>
      </c>
      <c r="C1191" t="s">
        <v>1618</v>
      </c>
      <c r="D1191" t="s">
        <v>1619</v>
      </c>
      <c r="E1191" t="s">
        <v>1657</v>
      </c>
      <c r="F1191" t="s">
        <v>14</v>
      </c>
      <c r="G1191" t="s">
        <v>1375</v>
      </c>
      <c r="H1191" t="s">
        <v>22</v>
      </c>
      <c r="I1191" t="s">
        <v>1945</v>
      </c>
      <c r="J1191" t="s">
        <v>1913</v>
      </c>
      <c r="K1191" t="str">
        <f t="shared" si="162"/>
        <v>1233.9</v>
      </c>
      <c r="N1191" t="str">
        <f t="shared" si="163"/>
        <v>HOLDING REGISTER</v>
      </c>
      <c r="O1191" t="str">
        <f t="shared" si="164"/>
        <v>BOOL</v>
      </c>
      <c r="P1191" t="str">
        <f t="shared" si="165"/>
        <v>TELECAMERA T05S</v>
      </c>
      <c r="R1191" t="str">
        <f t="shared" si="166"/>
        <v>CODA IN GALLERIA</v>
      </c>
      <c r="U1191" t="str">
        <f t="shared" si="167"/>
        <v>disponibile</v>
      </c>
      <c r="V1191" t="str">
        <f t="shared" si="168"/>
        <v>DIREZIONE SUD</v>
      </c>
      <c r="W1191" t="str">
        <f t="shared" si="169"/>
        <v>GALLERIA SAN GIULIANO</v>
      </c>
      <c r="Z1191" t="str">
        <f t="shared" si="170"/>
        <v>10.220.80.16</v>
      </c>
    </row>
    <row r="1192" spans="1:26" x14ac:dyDescent="0.25">
      <c r="A1192" t="s">
        <v>10</v>
      </c>
      <c r="B1192" t="s">
        <v>1063</v>
      </c>
      <c r="C1192" t="s">
        <v>1618</v>
      </c>
      <c r="D1192" t="s">
        <v>1619</v>
      </c>
      <c r="E1192" t="s">
        <v>1657</v>
      </c>
      <c r="F1192" t="s">
        <v>14</v>
      </c>
      <c r="G1192" t="s">
        <v>1375</v>
      </c>
      <c r="H1192" t="s">
        <v>22</v>
      </c>
      <c r="I1192" t="s">
        <v>1946</v>
      </c>
      <c r="J1192" t="s">
        <v>1375</v>
      </c>
      <c r="K1192" t="str">
        <f t="shared" si="162"/>
        <v>1233.10</v>
      </c>
      <c r="N1192" t="str">
        <f t="shared" si="163"/>
        <v>HOLDING REGISTER</v>
      </c>
      <c r="O1192" t="str">
        <f t="shared" si="164"/>
        <v>BOOL</v>
      </c>
      <c r="P1192" t="str">
        <f t="shared" si="165"/>
        <v>TELECAMERA T05S</v>
      </c>
      <c r="R1192" t="str">
        <f t="shared" si="166"/>
        <v>disponibile</v>
      </c>
      <c r="U1192" t="str">
        <f t="shared" si="167"/>
        <v>disponibile</v>
      </c>
      <c r="V1192" t="str">
        <f t="shared" si="168"/>
        <v>DIREZIONE SUD</v>
      </c>
      <c r="W1192" t="str">
        <f t="shared" si="169"/>
        <v>GALLERIA SAN GIULIANO</v>
      </c>
      <c r="Z1192" t="str">
        <f t="shared" si="170"/>
        <v>10.220.80.16</v>
      </c>
    </row>
    <row r="1193" spans="1:26" x14ac:dyDescent="0.25">
      <c r="A1193" t="s">
        <v>10</v>
      </c>
      <c r="B1193" t="s">
        <v>1063</v>
      </c>
      <c r="C1193" t="s">
        <v>1618</v>
      </c>
      <c r="D1193" t="s">
        <v>1619</v>
      </c>
      <c r="E1193" t="s">
        <v>1657</v>
      </c>
      <c r="F1193" t="s">
        <v>14</v>
      </c>
      <c r="G1193" t="s">
        <v>1375</v>
      </c>
      <c r="H1193" t="s">
        <v>22</v>
      </c>
      <c r="I1193" t="s">
        <v>1947</v>
      </c>
      <c r="J1193" t="s">
        <v>1375</v>
      </c>
      <c r="K1193" t="str">
        <f t="shared" si="162"/>
        <v>1233.11</v>
      </c>
      <c r="N1193" t="str">
        <f t="shared" si="163"/>
        <v>HOLDING REGISTER</v>
      </c>
      <c r="O1193" t="str">
        <f t="shared" si="164"/>
        <v>BOOL</v>
      </c>
      <c r="P1193" t="str">
        <f t="shared" si="165"/>
        <v>TELECAMERA T05S</v>
      </c>
      <c r="R1193" t="str">
        <f t="shared" si="166"/>
        <v>disponibile</v>
      </c>
      <c r="U1193" t="str">
        <f t="shared" si="167"/>
        <v>disponibile</v>
      </c>
      <c r="V1193" t="str">
        <f t="shared" si="168"/>
        <v>DIREZIONE SUD</v>
      </c>
      <c r="W1193" t="str">
        <f t="shared" si="169"/>
        <v>GALLERIA SAN GIULIANO</v>
      </c>
      <c r="Z1193" t="str">
        <f t="shared" si="170"/>
        <v>10.220.80.16</v>
      </c>
    </row>
    <row r="1194" spans="1:26" x14ac:dyDescent="0.25">
      <c r="A1194" t="s">
        <v>10</v>
      </c>
      <c r="B1194" t="s">
        <v>1063</v>
      </c>
      <c r="C1194" t="s">
        <v>1618</v>
      </c>
      <c r="D1194" t="s">
        <v>1619</v>
      </c>
      <c r="E1194" t="s">
        <v>1657</v>
      </c>
      <c r="F1194" t="s">
        <v>14</v>
      </c>
      <c r="G1194" t="s">
        <v>1375</v>
      </c>
      <c r="H1194" t="s">
        <v>22</v>
      </c>
      <c r="I1194" t="s">
        <v>1948</v>
      </c>
      <c r="J1194" t="s">
        <v>1375</v>
      </c>
      <c r="K1194" t="str">
        <f t="shared" si="162"/>
        <v>1233.12</v>
      </c>
      <c r="N1194" t="str">
        <f t="shared" si="163"/>
        <v>HOLDING REGISTER</v>
      </c>
      <c r="O1194" t="str">
        <f t="shared" si="164"/>
        <v>BOOL</v>
      </c>
      <c r="P1194" t="str">
        <f t="shared" si="165"/>
        <v>TELECAMERA T05S</v>
      </c>
      <c r="R1194" t="str">
        <f t="shared" si="166"/>
        <v>disponibile</v>
      </c>
      <c r="U1194" t="str">
        <f t="shared" si="167"/>
        <v>disponibile</v>
      </c>
      <c r="V1194" t="str">
        <f t="shared" si="168"/>
        <v>DIREZIONE SUD</v>
      </c>
      <c r="W1194" t="str">
        <f t="shared" si="169"/>
        <v>GALLERIA SAN GIULIANO</v>
      </c>
      <c r="Z1194" t="str">
        <f t="shared" si="170"/>
        <v>10.220.80.16</v>
      </c>
    </row>
    <row r="1195" spans="1:26" x14ac:dyDescent="0.25">
      <c r="A1195" t="s">
        <v>10</v>
      </c>
      <c r="B1195" t="s">
        <v>1063</v>
      </c>
      <c r="C1195" t="s">
        <v>1618</v>
      </c>
      <c r="D1195" t="s">
        <v>1619</v>
      </c>
      <c r="E1195" t="s">
        <v>1657</v>
      </c>
      <c r="F1195" t="s">
        <v>14</v>
      </c>
      <c r="G1195" t="s">
        <v>1375</v>
      </c>
      <c r="H1195" t="s">
        <v>22</v>
      </c>
      <c r="I1195" t="s">
        <v>1949</v>
      </c>
      <c r="J1195" t="s">
        <v>1375</v>
      </c>
      <c r="K1195" t="str">
        <f t="shared" si="162"/>
        <v>1233.13</v>
      </c>
      <c r="N1195" t="str">
        <f t="shared" si="163"/>
        <v>HOLDING REGISTER</v>
      </c>
      <c r="O1195" t="str">
        <f t="shared" si="164"/>
        <v>BOOL</v>
      </c>
      <c r="P1195" t="str">
        <f t="shared" si="165"/>
        <v>TELECAMERA T05S</v>
      </c>
      <c r="R1195" t="str">
        <f t="shared" si="166"/>
        <v>disponibile</v>
      </c>
      <c r="U1195" t="str">
        <f t="shared" si="167"/>
        <v>disponibile</v>
      </c>
      <c r="V1195" t="str">
        <f t="shared" si="168"/>
        <v>DIREZIONE SUD</v>
      </c>
      <c r="W1195" t="str">
        <f t="shared" si="169"/>
        <v>GALLERIA SAN GIULIANO</v>
      </c>
      <c r="Z1195" t="str">
        <f t="shared" si="170"/>
        <v>10.220.80.16</v>
      </c>
    </row>
    <row r="1196" spans="1:26" x14ac:dyDescent="0.25">
      <c r="A1196" t="s">
        <v>10</v>
      </c>
      <c r="B1196" t="s">
        <v>1063</v>
      </c>
      <c r="C1196" t="s">
        <v>1618</v>
      </c>
      <c r="D1196" t="s">
        <v>1619</v>
      </c>
      <c r="E1196" t="s">
        <v>1657</v>
      </c>
      <c r="F1196" t="s">
        <v>14</v>
      </c>
      <c r="G1196" t="s">
        <v>1375</v>
      </c>
      <c r="H1196" t="s">
        <v>22</v>
      </c>
      <c r="I1196" t="s">
        <v>1950</v>
      </c>
      <c r="J1196" t="s">
        <v>1375</v>
      </c>
      <c r="K1196" t="str">
        <f t="shared" si="162"/>
        <v>1233.14</v>
      </c>
      <c r="N1196" t="str">
        <f t="shared" si="163"/>
        <v>HOLDING REGISTER</v>
      </c>
      <c r="O1196" t="str">
        <f t="shared" si="164"/>
        <v>BOOL</v>
      </c>
      <c r="P1196" t="str">
        <f t="shared" si="165"/>
        <v>TELECAMERA T05S</v>
      </c>
      <c r="R1196" t="str">
        <f t="shared" si="166"/>
        <v>disponibile</v>
      </c>
      <c r="U1196" t="str">
        <f t="shared" si="167"/>
        <v>disponibile</v>
      </c>
      <c r="V1196" t="str">
        <f t="shared" si="168"/>
        <v>DIREZIONE SUD</v>
      </c>
      <c r="W1196" t="str">
        <f t="shared" si="169"/>
        <v>GALLERIA SAN GIULIANO</v>
      </c>
      <c r="Z1196" t="str">
        <f t="shared" si="170"/>
        <v>10.220.80.16</v>
      </c>
    </row>
    <row r="1197" spans="1:26" x14ac:dyDescent="0.25">
      <c r="A1197" t="s">
        <v>10</v>
      </c>
      <c r="B1197" t="s">
        <v>1063</v>
      </c>
      <c r="C1197" t="s">
        <v>1618</v>
      </c>
      <c r="D1197" t="s">
        <v>1619</v>
      </c>
      <c r="E1197" t="s">
        <v>1657</v>
      </c>
      <c r="F1197" t="s">
        <v>14</v>
      </c>
      <c r="G1197" t="s">
        <v>1375</v>
      </c>
      <c r="H1197" t="s">
        <v>22</v>
      </c>
      <c r="I1197" t="s">
        <v>1951</v>
      </c>
      <c r="J1197" t="s">
        <v>1375</v>
      </c>
      <c r="K1197" t="str">
        <f t="shared" si="162"/>
        <v>1233.15</v>
      </c>
      <c r="N1197" t="str">
        <f t="shared" si="163"/>
        <v>HOLDING REGISTER</v>
      </c>
      <c r="O1197" t="str">
        <f t="shared" si="164"/>
        <v>BOOL</v>
      </c>
      <c r="P1197" t="str">
        <f t="shared" si="165"/>
        <v>TELECAMERA T05S</v>
      </c>
      <c r="R1197" t="str">
        <f t="shared" si="166"/>
        <v>disponibile</v>
      </c>
      <c r="U1197" t="str">
        <f t="shared" si="167"/>
        <v>disponibile</v>
      </c>
      <c r="V1197" t="str">
        <f t="shared" si="168"/>
        <v>DIREZIONE SUD</v>
      </c>
      <c r="W1197" t="str">
        <f t="shared" si="169"/>
        <v>GALLERIA SAN GIULIANO</v>
      </c>
      <c r="Z1197" t="str">
        <f t="shared" si="170"/>
        <v>10.220.80.16</v>
      </c>
    </row>
    <row r="1198" spans="1:26" x14ac:dyDescent="0.25">
      <c r="A1198" t="s">
        <v>10</v>
      </c>
      <c r="B1198" t="s">
        <v>1063</v>
      </c>
      <c r="C1198" t="s">
        <v>1618</v>
      </c>
      <c r="D1198" t="s">
        <v>1619</v>
      </c>
      <c r="E1198" t="s">
        <v>1674</v>
      </c>
      <c r="F1198" t="s">
        <v>14</v>
      </c>
      <c r="G1198" t="s">
        <v>21</v>
      </c>
      <c r="H1198" t="s">
        <v>22</v>
      </c>
      <c r="I1198" t="s">
        <v>1952</v>
      </c>
      <c r="J1198" t="s">
        <v>1897</v>
      </c>
      <c r="K1198" t="str">
        <f t="shared" si="162"/>
        <v>1234.0</v>
      </c>
      <c r="N1198" t="str">
        <f t="shared" si="163"/>
        <v>HOLDING REGISTER</v>
      </c>
      <c r="O1198" t="str">
        <f t="shared" si="164"/>
        <v>BOOL</v>
      </c>
      <c r="P1198" t="str">
        <f t="shared" si="165"/>
        <v>TELECAMERA T06S</v>
      </c>
      <c r="R1198" t="str">
        <f t="shared" si="166"/>
        <v>PERDITA SEGNALE VIDEO</v>
      </c>
      <c r="U1198" t="str">
        <f t="shared" si="167"/>
        <v>Stato</v>
      </c>
      <c r="V1198" t="str">
        <f t="shared" si="168"/>
        <v>DIREZIONE SUD</v>
      </c>
      <c r="W1198" t="str">
        <f t="shared" si="169"/>
        <v>GALLERIA SAN GIULIANO</v>
      </c>
      <c r="Z1198" t="str">
        <f t="shared" si="170"/>
        <v>10.220.80.16</v>
      </c>
    </row>
    <row r="1199" spans="1:26" x14ac:dyDescent="0.25">
      <c r="A1199" t="s">
        <v>10</v>
      </c>
      <c r="B1199" t="s">
        <v>1063</v>
      </c>
      <c r="C1199" t="s">
        <v>1618</v>
      </c>
      <c r="D1199" t="s">
        <v>1619</v>
      </c>
      <c r="E1199" t="s">
        <v>1674</v>
      </c>
      <c r="F1199" t="s">
        <v>14</v>
      </c>
      <c r="G1199" t="s">
        <v>21</v>
      </c>
      <c r="H1199" t="s">
        <v>22</v>
      </c>
      <c r="I1199" t="s">
        <v>1953</v>
      </c>
      <c r="J1199" t="s">
        <v>1899</v>
      </c>
      <c r="K1199" t="str">
        <f t="shared" si="162"/>
        <v>1234.1</v>
      </c>
      <c r="N1199" t="str">
        <f t="shared" si="163"/>
        <v>HOLDING REGISTER</v>
      </c>
      <c r="O1199" t="str">
        <f t="shared" si="164"/>
        <v>BOOL</v>
      </c>
      <c r="P1199" t="str">
        <f t="shared" si="165"/>
        <v>TELECAMERA T06S</v>
      </c>
      <c r="R1199" t="str">
        <f t="shared" si="166"/>
        <v>MANOMISSIONE</v>
      </c>
      <c r="U1199" t="str">
        <f t="shared" si="167"/>
        <v>Stato</v>
      </c>
      <c r="V1199" t="str">
        <f t="shared" si="168"/>
        <v>DIREZIONE SUD</v>
      </c>
      <c r="W1199" t="str">
        <f t="shared" si="169"/>
        <v>GALLERIA SAN GIULIANO</v>
      </c>
      <c r="Z1199" t="str">
        <f t="shared" si="170"/>
        <v>10.220.80.16</v>
      </c>
    </row>
    <row r="1200" spans="1:26" x14ac:dyDescent="0.25">
      <c r="A1200" t="s">
        <v>10</v>
      </c>
      <c r="B1200" t="s">
        <v>1063</v>
      </c>
      <c r="C1200" t="s">
        <v>1618</v>
      </c>
      <c r="D1200" t="s">
        <v>1619</v>
      </c>
      <c r="E1200" t="s">
        <v>1674</v>
      </c>
      <c r="F1200" t="s">
        <v>14</v>
      </c>
      <c r="G1200" t="s">
        <v>21</v>
      </c>
      <c r="H1200" t="s">
        <v>22</v>
      </c>
      <c r="I1200" t="s">
        <v>1954</v>
      </c>
      <c r="J1200" t="s">
        <v>1375</v>
      </c>
      <c r="K1200" t="str">
        <f t="shared" si="162"/>
        <v>1234.2</v>
      </c>
      <c r="N1200" t="str">
        <f t="shared" si="163"/>
        <v>HOLDING REGISTER</v>
      </c>
      <c r="O1200" t="str">
        <f t="shared" si="164"/>
        <v>BOOL</v>
      </c>
      <c r="P1200" t="str">
        <f t="shared" si="165"/>
        <v>TELECAMERA T06S</v>
      </c>
      <c r="R1200" t="str">
        <f t="shared" si="166"/>
        <v>disponibile</v>
      </c>
      <c r="U1200" t="str">
        <f t="shared" si="167"/>
        <v>Stato</v>
      </c>
      <c r="V1200" t="str">
        <f t="shared" si="168"/>
        <v>DIREZIONE SUD</v>
      </c>
      <c r="W1200" t="str">
        <f t="shared" si="169"/>
        <v>GALLERIA SAN GIULIANO</v>
      </c>
      <c r="Z1200" t="str">
        <f t="shared" si="170"/>
        <v>10.220.80.16</v>
      </c>
    </row>
    <row r="1201" spans="1:26" x14ac:dyDescent="0.25">
      <c r="A1201" t="s">
        <v>10</v>
      </c>
      <c r="B1201" t="s">
        <v>1063</v>
      </c>
      <c r="C1201" t="s">
        <v>1618</v>
      </c>
      <c r="D1201" t="s">
        <v>1619</v>
      </c>
      <c r="E1201" t="s">
        <v>1674</v>
      </c>
      <c r="F1201" t="s">
        <v>14</v>
      </c>
      <c r="G1201" t="s">
        <v>1375</v>
      </c>
      <c r="H1201" t="s">
        <v>22</v>
      </c>
      <c r="I1201" t="s">
        <v>1955</v>
      </c>
      <c r="J1201" t="s">
        <v>1902</v>
      </c>
      <c r="K1201" t="str">
        <f t="shared" si="162"/>
        <v>1234.3</v>
      </c>
      <c r="N1201" t="str">
        <f t="shared" si="163"/>
        <v>HOLDING REGISTER</v>
      </c>
      <c r="O1201" t="str">
        <f t="shared" si="164"/>
        <v>BOOL</v>
      </c>
      <c r="P1201" t="str">
        <f t="shared" si="165"/>
        <v>TELECAMERA T06S</v>
      </c>
      <c r="R1201" t="str">
        <f t="shared" si="166"/>
        <v>VEICOLO FERMO</v>
      </c>
      <c r="U1201" t="str">
        <f t="shared" si="167"/>
        <v>disponibile</v>
      </c>
      <c r="V1201" t="str">
        <f t="shared" si="168"/>
        <v>DIREZIONE SUD</v>
      </c>
      <c r="W1201" t="str">
        <f t="shared" si="169"/>
        <v>GALLERIA SAN GIULIANO</v>
      </c>
      <c r="Z1201" t="str">
        <f t="shared" si="170"/>
        <v>10.220.80.16</v>
      </c>
    </row>
    <row r="1202" spans="1:26" x14ac:dyDescent="0.25">
      <c r="A1202" t="s">
        <v>10</v>
      </c>
      <c r="B1202" t="s">
        <v>1063</v>
      </c>
      <c r="C1202" t="s">
        <v>1618</v>
      </c>
      <c r="D1202" t="s">
        <v>1619</v>
      </c>
      <c r="E1202" t="s">
        <v>1674</v>
      </c>
      <c r="F1202" t="s">
        <v>14</v>
      </c>
      <c r="G1202" t="s">
        <v>1375</v>
      </c>
      <c r="H1202" t="s">
        <v>22</v>
      </c>
      <c r="I1202" t="s">
        <v>1956</v>
      </c>
      <c r="J1202" t="s">
        <v>1904</v>
      </c>
      <c r="K1202" t="str">
        <f t="shared" si="162"/>
        <v>1234.4</v>
      </c>
      <c r="N1202" t="str">
        <f t="shared" si="163"/>
        <v>HOLDING REGISTER</v>
      </c>
      <c r="O1202" t="str">
        <f t="shared" si="164"/>
        <v>BOOL</v>
      </c>
      <c r="P1202" t="str">
        <f t="shared" si="165"/>
        <v>TELECAMERA T06S</v>
      </c>
      <c r="R1202" t="str">
        <f t="shared" si="166"/>
        <v>CARICO DISPERSO</v>
      </c>
      <c r="U1202" t="str">
        <f t="shared" si="167"/>
        <v>disponibile</v>
      </c>
      <c r="V1202" t="str">
        <f t="shared" si="168"/>
        <v>DIREZIONE SUD</v>
      </c>
      <c r="W1202" t="str">
        <f t="shared" si="169"/>
        <v>GALLERIA SAN GIULIANO</v>
      </c>
      <c r="Z1202" t="str">
        <f t="shared" si="170"/>
        <v>10.220.80.16</v>
      </c>
    </row>
    <row r="1203" spans="1:26" x14ac:dyDescent="0.25">
      <c r="A1203" t="s">
        <v>10</v>
      </c>
      <c r="B1203" t="s">
        <v>1063</v>
      </c>
      <c r="C1203" t="s">
        <v>1618</v>
      </c>
      <c r="D1203" t="s">
        <v>1619</v>
      </c>
      <c r="E1203" t="s">
        <v>1674</v>
      </c>
      <c r="F1203" t="s">
        <v>14</v>
      </c>
      <c r="G1203" t="s">
        <v>1375</v>
      </c>
      <c r="H1203" t="s">
        <v>22</v>
      </c>
      <c r="I1203" t="s">
        <v>1957</v>
      </c>
      <c r="J1203" t="s">
        <v>1375</v>
      </c>
      <c r="K1203" t="str">
        <f t="shared" si="162"/>
        <v>1234.5</v>
      </c>
      <c r="N1203" t="str">
        <f t="shared" si="163"/>
        <v>HOLDING REGISTER</v>
      </c>
      <c r="O1203" t="str">
        <f t="shared" si="164"/>
        <v>BOOL</v>
      </c>
      <c r="P1203" t="str">
        <f t="shared" si="165"/>
        <v>TELECAMERA T06S</v>
      </c>
      <c r="R1203" t="str">
        <f t="shared" si="166"/>
        <v>disponibile</v>
      </c>
      <c r="U1203" t="str">
        <f t="shared" si="167"/>
        <v>disponibile</v>
      </c>
      <c r="V1203" t="str">
        <f t="shared" si="168"/>
        <v>DIREZIONE SUD</v>
      </c>
      <c r="W1203" t="str">
        <f t="shared" si="169"/>
        <v>GALLERIA SAN GIULIANO</v>
      </c>
      <c r="Z1203" t="str">
        <f t="shared" si="170"/>
        <v>10.220.80.16</v>
      </c>
    </row>
    <row r="1204" spans="1:26" x14ac:dyDescent="0.25">
      <c r="A1204" t="s">
        <v>10</v>
      </c>
      <c r="B1204" t="s">
        <v>1063</v>
      </c>
      <c r="C1204" t="s">
        <v>1618</v>
      </c>
      <c r="D1204" t="s">
        <v>1619</v>
      </c>
      <c r="E1204" t="s">
        <v>1674</v>
      </c>
      <c r="F1204" t="s">
        <v>14</v>
      </c>
      <c r="G1204" t="s">
        <v>1375</v>
      </c>
      <c r="H1204" t="s">
        <v>22</v>
      </c>
      <c r="I1204" t="s">
        <v>1958</v>
      </c>
      <c r="J1204" t="s">
        <v>1907</v>
      </c>
      <c r="K1204" t="str">
        <f t="shared" si="162"/>
        <v>1234.6</v>
      </c>
      <c r="N1204" t="str">
        <f t="shared" si="163"/>
        <v>HOLDING REGISTER</v>
      </c>
      <c r="O1204" t="str">
        <f t="shared" si="164"/>
        <v>BOOL</v>
      </c>
      <c r="P1204" t="str">
        <f t="shared" si="165"/>
        <v>TELECAMERA T06S</v>
      </c>
      <c r="R1204" t="str">
        <f t="shared" si="166"/>
        <v>PEDONE</v>
      </c>
      <c r="U1204" t="str">
        <f t="shared" si="167"/>
        <v>disponibile</v>
      </c>
      <c r="V1204" t="str">
        <f t="shared" si="168"/>
        <v>DIREZIONE SUD</v>
      </c>
      <c r="W1204" t="str">
        <f t="shared" si="169"/>
        <v>GALLERIA SAN GIULIANO</v>
      </c>
      <c r="Z1204" t="str">
        <f t="shared" si="170"/>
        <v>10.220.80.16</v>
      </c>
    </row>
    <row r="1205" spans="1:26" x14ac:dyDescent="0.25">
      <c r="A1205" t="s">
        <v>10</v>
      </c>
      <c r="B1205" t="s">
        <v>1063</v>
      </c>
      <c r="C1205" t="s">
        <v>1618</v>
      </c>
      <c r="D1205" t="s">
        <v>1619</v>
      </c>
      <c r="E1205" t="s">
        <v>1674</v>
      </c>
      <c r="F1205" t="s">
        <v>14</v>
      </c>
      <c r="G1205" t="s">
        <v>1375</v>
      </c>
      <c r="H1205" t="s">
        <v>22</v>
      </c>
      <c r="I1205" t="s">
        <v>1959</v>
      </c>
      <c r="J1205" t="s">
        <v>1909</v>
      </c>
      <c r="K1205" t="str">
        <f t="shared" si="162"/>
        <v>1234.7</v>
      </c>
      <c r="N1205" t="str">
        <f t="shared" si="163"/>
        <v>HOLDING REGISTER</v>
      </c>
      <c r="O1205" t="str">
        <f t="shared" si="164"/>
        <v>BOOL</v>
      </c>
      <c r="P1205" t="str">
        <f t="shared" si="165"/>
        <v>TELECAMERA T06S</v>
      </c>
      <c r="R1205" t="str">
        <f t="shared" si="166"/>
        <v>FUMO</v>
      </c>
      <c r="U1205" t="str">
        <f t="shared" si="167"/>
        <v>disponibile</v>
      </c>
      <c r="V1205" t="str">
        <f t="shared" si="168"/>
        <v>DIREZIONE SUD</v>
      </c>
      <c r="W1205" t="str">
        <f t="shared" si="169"/>
        <v>GALLERIA SAN GIULIANO</v>
      </c>
      <c r="Z1205" t="str">
        <f t="shared" si="170"/>
        <v>10.220.80.16</v>
      </c>
    </row>
    <row r="1206" spans="1:26" x14ac:dyDescent="0.25">
      <c r="A1206" t="s">
        <v>10</v>
      </c>
      <c r="B1206" t="s">
        <v>1063</v>
      </c>
      <c r="C1206" t="s">
        <v>1618</v>
      </c>
      <c r="D1206" t="s">
        <v>1619</v>
      </c>
      <c r="E1206" t="s">
        <v>1674</v>
      </c>
      <c r="F1206" t="s">
        <v>14</v>
      </c>
      <c r="G1206" t="s">
        <v>1375</v>
      </c>
      <c r="H1206" t="s">
        <v>22</v>
      </c>
      <c r="I1206" t="s">
        <v>1960</v>
      </c>
      <c r="J1206" t="s">
        <v>1911</v>
      </c>
      <c r="K1206" t="str">
        <f t="shared" si="162"/>
        <v>1234.8</v>
      </c>
      <c r="N1206" t="str">
        <f t="shared" si="163"/>
        <v>HOLDING REGISTER</v>
      </c>
      <c r="O1206" t="str">
        <f t="shared" si="164"/>
        <v>BOOL</v>
      </c>
      <c r="P1206" t="str">
        <f t="shared" si="165"/>
        <v>TELECAMERA T06S</v>
      </c>
      <c r="R1206" t="str">
        <f t="shared" si="166"/>
        <v>RALLENTAMENTI</v>
      </c>
      <c r="U1206" t="str">
        <f t="shared" si="167"/>
        <v>disponibile</v>
      </c>
      <c r="V1206" t="str">
        <f t="shared" si="168"/>
        <v>DIREZIONE SUD</v>
      </c>
      <c r="W1206" t="str">
        <f t="shared" si="169"/>
        <v>GALLERIA SAN GIULIANO</v>
      </c>
      <c r="Z1206" t="str">
        <f t="shared" si="170"/>
        <v>10.220.80.16</v>
      </c>
    </row>
    <row r="1207" spans="1:26" x14ac:dyDescent="0.25">
      <c r="A1207" t="s">
        <v>10</v>
      </c>
      <c r="B1207" t="s">
        <v>1063</v>
      </c>
      <c r="C1207" t="s">
        <v>1618</v>
      </c>
      <c r="D1207" t="s">
        <v>1619</v>
      </c>
      <c r="E1207" t="s">
        <v>1674</v>
      </c>
      <c r="F1207" t="s">
        <v>14</v>
      </c>
      <c r="G1207" t="s">
        <v>1375</v>
      </c>
      <c r="H1207" t="s">
        <v>22</v>
      </c>
      <c r="I1207" t="s">
        <v>1961</v>
      </c>
      <c r="J1207" t="s">
        <v>1913</v>
      </c>
      <c r="K1207" t="str">
        <f t="shared" si="162"/>
        <v>1234.9</v>
      </c>
      <c r="N1207" t="str">
        <f t="shared" si="163"/>
        <v>HOLDING REGISTER</v>
      </c>
      <c r="O1207" t="str">
        <f t="shared" si="164"/>
        <v>BOOL</v>
      </c>
      <c r="P1207" t="str">
        <f t="shared" si="165"/>
        <v>TELECAMERA T06S</v>
      </c>
      <c r="R1207" t="str">
        <f t="shared" si="166"/>
        <v>CODA IN GALLERIA</v>
      </c>
      <c r="U1207" t="str">
        <f t="shared" si="167"/>
        <v>disponibile</v>
      </c>
      <c r="V1207" t="str">
        <f t="shared" si="168"/>
        <v>DIREZIONE SUD</v>
      </c>
      <c r="W1207" t="str">
        <f t="shared" si="169"/>
        <v>GALLERIA SAN GIULIANO</v>
      </c>
      <c r="Z1207" t="str">
        <f t="shared" si="170"/>
        <v>10.220.80.16</v>
      </c>
    </row>
    <row r="1208" spans="1:26" x14ac:dyDescent="0.25">
      <c r="A1208" t="s">
        <v>10</v>
      </c>
      <c r="B1208" t="s">
        <v>1063</v>
      </c>
      <c r="C1208" t="s">
        <v>1618</v>
      </c>
      <c r="D1208" t="s">
        <v>1619</v>
      </c>
      <c r="E1208" t="s">
        <v>1674</v>
      </c>
      <c r="F1208" t="s">
        <v>14</v>
      </c>
      <c r="G1208" t="s">
        <v>1375</v>
      </c>
      <c r="H1208" t="s">
        <v>22</v>
      </c>
      <c r="I1208" t="s">
        <v>1962</v>
      </c>
      <c r="J1208" t="s">
        <v>1375</v>
      </c>
      <c r="K1208" t="str">
        <f t="shared" si="162"/>
        <v>1234.10</v>
      </c>
      <c r="N1208" t="str">
        <f t="shared" si="163"/>
        <v>HOLDING REGISTER</v>
      </c>
      <c r="O1208" t="str">
        <f t="shared" si="164"/>
        <v>BOOL</v>
      </c>
      <c r="P1208" t="str">
        <f t="shared" si="165"/>
        <v>TELECAMERA T06S</v>
      </c>
      <c r="R1208" t="str">
        <f t="shared" si="166"/>
        <v>disponibile</v>
      </c>
      <c r="U1208" t="str">
        <f t="shared" si="167"/>
        <v>disponibile</v>
      </c>
      <c r="V1208" t="str">
        <f t="shared" si="168"/>
        <v>DIREZIONE SUD</v>
      </c>
      <c r="W1208" t="str">
        <f t="shared" si="169"/>
        <v>GALLERIA SAN GIULIANO</v>
      </c>
      <c r="Z1208" t="str">
        <f t="shared" si="170"/>
        <v>10.220.80.16</v>
      </c>
    </row>
    <row r="1209" spans="1:26" x14ac:dyDescent="0.25">
      <c r="A1209" t="s">
        <v>10</v>
      </c>
      <c r="B1209" t="s">
        <v>1063</v>
      </c>
      <c r="C1209" t="s">
        <v>1618</v>
      </c>
      <c r="D1209" t="s">
        <v>1619</v>
      </c>
      <c r="E1209" t="s">
        <v>1674</v>
      </c>
      <c r="F1209" t="s">
        <v>14</v>
      </c>
      <c r="G1209" t="s">
        <v>1375</v>
      </c>
      <c r="H1209" t="s">
        <v>22</v>
      </c>
      <c r="I1209" t="s">
        <v>1963</v>
      </c>
      <c r="J1209" t="s">
        <v>1375</v>
      </c>
      <c r="K1209" t="str">
        <f t="shared" si="162"/>
        <v>1234.11</v>
      </c>
      <c r="N1209" t="str">
        <f t="shared" si="163"/>
        <v>HOLDING REGISTER</v>
      </c>
      <c r="O1209" t="str">
        <f t="shared" si="164"/>
        <v>BOOL</v>
      </c>
      <c r="P1209" t="str">
        <f t="shared" si="165"/>
        <v>TELECAMERA T06S</v>
      </c>
      <c r="R1209" t="str">
        <f t="shared" si="166"/>
        <v>disponibile</v>
      </c>
      <c r="U1209" t="str">
        <f t="shared" si="167"/>
        <v>disponibile</v>
      </c>
      <c r="V1209" t="str">
        <f t="shared" si="168"/>
        <v>DIREZIONE SUD</v>
      </c>
      <c r="W1209" t="str">
        <f t="shared" si="169"/>
        <v>GALLERIA SAN GIULIANO</v>
      </c>
      <c r="Z1209" t="str">
        <f t="shared" si="170"/>
        <v>10.220.80.16</v>
      </c>
    </row>
    <row r="1210" spans="1:26" x14ac:dyDescent="0.25">
      <c r="A1210" t="s">
        <v>10</v>
      </c>
      <c r="B1210" t="s">
        <v>1063</v>
      </c>
      <c r="C1210" t="s">
        <v>1618</v>
      </c>
      <c r="D1210" t="s">
        <v>1619</v>
      </c>
      <c r="E1210" t="s">
        <v>1674</v>
      </c>
      <c r="F1210" t="s">
        <v>14</v>
      </c>
      <c r="G1210" t="s">
        <v>1375</v>
      </c>
      <c r="H1210" t="s">
        <v>22</v>
      </c>
      <c r="I1210" t="s">
        <v>1964</v>
      </c>
      <c r="J1210" t="s">
        <v>1375</v>
      </c>
      <c r="K1210" t="str">
        <f t="shared" si="162"/>
        <v>1234.12</v>
      </c>
      <c r="N1210" t="str">
        <f t="shared" si="163"/>
        <v>HOLDING REGISTER</v>
      </c>
      <c r="O1210" t="str">
        <f t="shared" si="164"/>
        <v>BOOL</v>
      </c>
      <c r="P1210" t="str">
        <f t="shared" si="165"/>
        <v>TELECAMERA T06S</v>
      </c>
      <c r="R1210" t="str">
        <f t="shared" si="166"/>
        <v>disponibile</v>
      </c>
      <c r="U1210" t="str">
        <f t="shared" si="167"/>
        <v>disponibile</v>
      </c>
      <c r="V1210" t="str">
        <f t="shared" si="168"/>
        <v>DIREZIONE SUD</v>
      </c>
      <c r="W1210" t="str">
        <f t="shared" si="169"/>
        <v>GALLERIA SAN GIULIANO</v>
      </c>
      <c r="Z1210" t="str">
        <f t="shared" si="170"/>
        <v>10.220.80.16</v>
      </c>
    </row>
    <row r="1211" spans="1:26" x14ac:dyDescent="0.25">
      <c r="A1211" t="s">
        <v>10</v>
      </c>
      <c r="B1211" t="s">
        <v>1063</v>
      </c>
      <c r="C1211" t="s">
        <v>1618</v>
      </c>
      <c r="D1211" t="s">
        <v>1619</v>
      </c>
      <c r="E1211" t="s">
        <v>1674</v>
      </c>
      <c r="F1211" t="s">
        <v>14</v>
      </c>
      <c r="G1211" t="s">
        <v>1375</v>
      </c>
      <c r="H1211" t="s">
        <v>22</v>
      </c>
      <c r="I1211" t="s">
        <v>1965</v>
      </c>
      <c r="J1211" t="s">
        <v>1375</v>
      </c>
      <c r="K1211" t="str">
        <f t="shared" si="162"/>
        <v>1234.13</v>
      </c>
      <c r="N1211" t="str">
        <f t="shared" si="163"/>
        <v>HOLDING REGISTER</v>
      </c>
      <c r="O1211" t="str">
        <f t="shared" si="164"/>
        <v>BOOL</v>
      </c>
      <c r="P1211" t="str">
        <f t="shared" si="165"/>
        <v>TELECAMERA T06S</v>
      </c>
      <c r="R1211" t="str">
        <f t="shared" si="166"/>
        <v>disponibile</v>
      </c>
      <c r="U1211" t="str">
        <f t="shared" si="167"/>
        <v>disponibile</v>
      </c>
      <c r="V1211" t="str">
        <f t="shared" si="168"/>
        <v>DIREZIONE SUD</v>
      </c>
      <c r="W1211" t="str">
        <f t="shared" si="169"/>
        <v>GALLERIA SAN GIULIANO</v>
      </c>
      <c r="Z1211" t="str">
        <f t="shared" si="170"/>
        <v>10.220.80.16</v>
      </c>
    </row>
    <row r="1212" spans="1:26" x14ac:dyDescent="0.25">
      <c r="A1212" t="s">
        <v>10</v>
      </c>
      <c r="B1212" t="s">
        <v>1063</v>
      </c>
      <c r="C1212" t="s">
        <v>1618</v>
      </c>
      <c r="D1212" t="s">
        <v>1619</v>
      </c>
      <c r="E1212" t="s">
        <v>1674</v>
      </c>
      <c r="F1212" t="s">
        <v>14</v>
      </c>
      <c r="G1212" t="s">
        <v>1375</v>
      </c>
      <c r="H1212" t="s">
        <v>22</v>
      </c>
      <c r="I1212" t="s">
        <v>1966</v>
      </c>
      <c r="J1212" t="s">
        <v>1375</v>
      </c>
      <c r="K1212" t="str">
        <f t="shared" si="162"/>
        <v>1234.14</v>
      </c>
      <c r="N1212" t="str">
        <f t="shared" si="163"/>
        <v>HOLDING REGISTER</v>
      </c>
      <c r="O1212" t="str">
        <f t="shared" si="164"/>
        <v>BOOL</v>
      </c>
      <c r="P1212" t="str">
        <f t="shared" si="165"/>
        <v>TELECAMERA T06S</v>
      </c>
      <c r="R1212" t="str">
        <f t="shared" si="166"/>
        <v>disponibile</v>
      </c>
      <c r="U1212" t="str">
        <f t="shared" si="167"/>
        <v>disponibile</v>
      </c>
      <c r="V1212" t="str">
        <f t="shared" si="168"/>
        <v>DIREZIONE SUD</v>
      </c>
      <c r="W1212" t="str">
        <f t="shared" si="169"/>
        <v>GALLERIA SAN GIULIANO</v>
      </c>
      <c r="Z1212" t="str">
        <f t="shared" si="170"/>
        <v>10.220.80.16</v>
      </c>
    </row>
    <row r="1213" spans="1:26" x14ac:dyDescent="0.25">
      <c r="A1213" t="s">
        <v>10</v>
      </c>
      <c r="B1213" t="s">
        <v>1063</v>
      </c>
      <c r="C1213" t="s">
        <v>1618</v>
      </c>
      <c r="D1213" t="s">
        <v>1619</v>
      </c>
      <c r="E1213" t="s">
        <v>1674</v>
      </c>
      <c r="F1213" t="s">
        <v>14</v>
      </c>
      <c r="G1213" t="s">
        <v>1375</v>
      </c>
      <c r="H1213" t="s">
        <v>22</v>
      </c>
      <c r="I1213" t="s">
        <v>1967</v>
      </c>
      <c r="J1213" t="s">
        <v>1375</v>
      </c>
      <c r="K1213" t="str">
        <f t="shared" si="162"/>
        <v>1234.15</v>
      </c>
      <c r="N1213" t="str">
        <f t="shared" si="163"/>
        <v>HOLDING REGISTER</v>
      </c>
      <c r="O1213" t="str">
        <f t="shared" si="164"/>
        <v>BOOL</v>
      </c>
      <c r="P1213" t="str">
        <f t="shared" si="165"/>
        <v>TELECAMERA T06S</v>
      </c>
      <c r="R1213" t="str">
        <f t="shared" si="166"/>
        <v>disponibile</v>
      </c>
      <c r="U1213" t="str">
        <f t="shared" si="167"/>
        <v>disponibile</v>
      </c>
      <c r="V1213" t="str">
        <f t="shared" si="168"/>
        <v>DIREZIONE SUD</v>
      </c>
      <c r="W1213" t="str">
        <f t="shared" si="169"/>
        <v>GALLERIA SAN GIULIANO</v>
      </c>
      <c r="Z1213" t="str">
        <f t="shared" si="170"/>
        <v>10.220.80.16</v>
      </c>
    </row>
    <row r="1214" spans="1:26" x14ac:dyDescent="0.25">
      <c r="A1214" t="s">
        <v>10</v>
      </c>
      <c r="B1214" t="s">
        <v>1063</v>
      </c>
      <c r="C1214" t="s">
        <v>1618</v>
      </c>
      <c r="D1214" t="s">
        <v>1619</v>
      </c>
      <c r="E1214" t="s">
        <v>1691</v>
      </c>
      <c r="F1214" t="s">
        <v>14</v>
      </c>
      <c r="G1214" t="s">
        <v>21</v>
      </c>
      <c r="H1214" t="s">
        <v>22</v>
      </c>
      <c r="I1214" t="s">
        <v>1968</v>
      </c>
      <c r="J1214" t="s">
        <v>1897</v>
      </c>
      <c r="K1214" t="str">
        <f t="shared" si="162"/>
        <v>1235.0</v>
      </c>
      <c r="N1214" t="str">
        <f t="shared" si="163"/>
        <v>HOLDING REGISTER</v>
      </c>
      <c r="O1214" t="str">
        <f t="shared" si="164"/>
        <v>BOOL</v>
      </c>
      <c r="P1214" t="str">
        <f t="shared" si="165"/>
        <v>TELECAMERA T07S</v>
      </c>
      <c r="R1214" t="str">
        <f t="shared" si="166"/>
        <v>PERDITA SEGNALE VIDEO</v>
      </c>
      <c r="U1214" t="str">
        <f t="shared" si="167"/>
        <v>Stato</v>
      </c>
      <c r="V1214" t="str">
        <f t="shared" si="168"/>
        <v>DIREZIONE SUD</v>
      </c>
      <c r="W1214" t="str">
        <f t="shared" si="169"/>
        <v>GALLERIA SAN GIULIANO</v>
      </c>
      <c r="Z1214" t="str">
        <f t="shared" si="170"/>
        <v>10.220.80.16</v>
      </c>
    </row>
    <row r="1215" spans="1:26" x14ac:dyDescent="0.25">
      <c r="A1215" t="s">
        <v>10</v>
      </c>
      <c r="B1215" t="s">
        <v>1063</v>
      </c>
      <c r="C1215" t="s">
        <v>1618</v>
      </c>
      <c r="D1215" t="s">
        <v>1619</v>
      </c>
      <c r="E1215" t="s">
        <v>1691</v>
      </c>
      <c r="F1215" t="s">
        <v>14</v>
      </c>
      <c r="G1215" t="s">
        <v>21</v>
      </c>
      <c r="H1215" t="s">
        <v>22</v>
      </c>
      <c r="I1215" t="s">
        <v>1969</v>
      </c>
      <c r="J1215" t="s">
        <v>1899</v>
      </c>
      <c r="K1215" t="str">
        <f t="shared" si="162"/>
        <v>1235.1</v>
      </c>
      <c r="N1215" t="str">
        <f t="shared" si="163"/>
        <v>HOLDING REGISTER</v>
      </c>
      <c r="O1215" t="str">
        <f t="shared" si="164"/>
        <v>BOOL</v>
      </c>
      <c r="P1215" t="str">
        <f t="shared" si="165"/>
        <v>TELECAMERA T07S</v>
      </c>
      <c r="R1215" t="str">
        <f t="shared" si="166"/>
        <v>MANOMISSIONE</v>
      </c>
      <c r="U1215" t="str">
        <f t="shared" si="167"/>
        <v>Stato</v>
      </c>
      <c r="V1215" t="str">
        <f t="shared" si="168"/>
        <v>DIREZIONE SUD</v>
      </c>
      <c r="W1215" t="str">
        <f t="shared" si="169"/>
        <v>GALLERIA SAN GIULIANO</v>
      </c>
      <c r="Z1215" t="str">
        <f t="shared" si="170"/>
        <v>10.220.80.16</v>
      </c>
    </row>
    <row r="1216" spans="1:26" x14ac:dyDescent="0.25">
      <c r="A1216" t="s">
        <v>10</v>
      </c>
      <c r="B1216" t="s">
        <v>1063</v>
      </c>
      <c r="C1216" t="s">
        <v>1618</v>
      </c>
      <c r="D1216" t="s">
        <v>1619</v>
      </c>
      <c r="E1216" t="s">
        <v>1691</v>
      </c>
      <c r="F1216" t="s">
        <v>14</v>
      </c>
      <c r="G1216" t="s">
        <v>21</v>
      </c>
      <c r="H1216" t="s">
        <v>22</v>
      </c>
      <c r="I1216" t="s">
        <v>1970</v>
      </c>
      <c r="J1216" t="s">
        <v>1375</v>
      </c>
      <c r="K1216" t="str">
        <f t="shared" si="162"/>
        <v>1235.2</v>
      </c>
      <c r="N1216" t="str">
        <f t="shared" si="163"/>
        <v>HOLDING REGISTER</v>
      </c>
      <c r="O1216" t="str">
        <f t="shared" si="164"/>
        <v>BOOL</v>
      </c>
      <c r="P1216" t="str">
        <f t="shared" si="165"/>
        <v>TELECAMERA T07S</v>
      </c>
      <c r="R1216" t="str">
        <f t="shared" si="166"/>
        <v>disponibile</v>
      </c>
      <c r="U1216" t="str">
        <f t="shared" si="167"/>
        <v>Stato</v>
      </c>
      <c r="V1216" t="str">
        <f t="shared" si="168"/>
        <v>DIREZIONE SUD</v>
      </c>
      <c r="W1216" t="str">
        <f t="shared" si="169"/>
        <v>GALLERIA SAN GIULIANO</v>
      </c>
      <c r="Z1216" t="str">
        <f t="shared" si="170"/>
        <v>10.220.80.16</v>
      </c>
    </row>
    <row r="1217" spans="1:26" x14ac:dyDescent="0.25">
      <c r="A1217" t="s">
        <v>10</v>
      </c>
      <c r="B1217" t="s">
        <v>1063</v>
      </c>
      <c r="C1217" t="s">
        <v>1618</v>
      </c>
      <c r="D1217" t="s">
        <v>1619</v>
      </c>
      <c r="E1217" t="s">
        <v>1691</v>
      </c>
      <c r="F1217" t="s">
        <v>14</v>
      </c>
      <c r="G1217" t="s">
        <v>1375</v>
      </c>
      <c r="H1217" t="s">
        <v>22</v>
      </c>
      <c r="I1217" t="s">
        <v>1971</v>
      </c>
      <c r="J1217" t="s">
        <v>1902</v>
      </c>
      <c r="K1217" t="str">
        <f t="shared" si="162"/>
        <v>1235.3</v>
      </c>
      <c r="N1217" t="str">
        <f t="shared" si="163"/>
        <v>HOLDING REGISTER</v>
      </c>
      <c r="O1217" t="str">
        <f t="shared" si="164"/>
        <v>BOOL</v>
      </c>
      <c r="P1217" t="str">
        <f t="shared" si="165"/>
        <v>TELECAMERA T07S</v>
      </c>
      <c r="R1217" t="str">
        <f t="shared" si="166"/>
        <v>VEICOLO FERMO</v>
      </c>
      <c r="U1217" t="str">
        <f t="shared" si="167"/>
        <v>disponibile</v>
      </c>
      <c r="V1217" t="str">
        <f t="shared" si="168"/>
        <v>DIREZIONE SUD</v>
      </c>
      <c r="W1217" t="str">
        <f t="shared" si="169"/>
        <v>GALLERIA SAN GIULIANO</v>
      </c>
      <c r="Z1217" t="str">
        <f t="shared" si="170"/>
        <v>10.220.80.16</v>
      </c>
    </row>
    <row r="1218" spans="1:26" x14ac:dyDescent="0.25">
      <c r="A1218" t="s">
        <v>10</v>
      </c>
      <c r="B1218" t="s">
        <v>1063</v>
      </c>
      <c r="C1218" t="s">
        <v>1618</v>
      </c>
      <c r="D1218" t="s">
        <v>1619</v>
      </c>
      <c r="E1218" t="s">
        <v>1691</v>
      </c>
      <c r="F1218" t="s">
        <v>14</v>
      </c>
      <c r="G1218" t="s">
        <v>1375</v>
      </c>
      <c r="H1218" t="s">
        <v>22</v>
      </c>
      <c r="I1218" t="s">
        <v>1972</v>
      </c>
      <c r="J1218" t="s">
        <v>1904</v>
      </c>
      <c r="K1218" t="str">
        <f t="shared" si="162"/>
        <v>1235.4</v>
      </c>
      <c r="N1218" t="str">
        <f t="shared" si="163"/>
        <v>HOLDING REGISTER</v>
      </c>
      <c r="O1218" t="str">
        <f t="shared" si="164"/>
        <v>BOOL</v>
      </c>
      <c r="P1218" t="str">
        <f t="shared" si="165"/>
        <v>TELECAMERA T07S</v>
      </c>
      <c r="R1218" t="str">
        <f t="shared" si="166"/>
        <v>CARICO DISPERSO</v>
      </c>
      <c r="U1218" t="str">
        <f t="shared" si="167"/>
        <v>disponibile</v>
      </c>
      <c r="V1218" t="str">
        <f t="shared" si="168"/>
        <v>DIREZIONE SUD</v>
      </c>
      <c r="W1218" t="str">
        <f t="shared" si="169"/>
        <v>GALLERIA SAN GIULIANO</v>
      </c>
      <c r="Z1218" t="str">
        <f t="shared" si="170"/>
        <v>10.220.80.16</v>
      </c>
    </row>
    <row r="1219" spans="1:26" x14ac:dyDescent="0.25">
      <c r="A1219" t="s">
        <v>10</v>
      </c>
      <c r="B1219" t="s">
        <v>1063</v>
      </c>
      <c r="C1219" t="s">
        <v>1618</v>
      </c>
      <c r="D1219" t="s">
        <v>1619</v>
      </c>
      <c r="E1219" t="s">
        <v>1691</v>
      </c>
      <c r="F1219" t="s">
        <v>14</v>
      </c>
      <c r="G1219" t="s">
        <v>1375</v>
      </c>
      <c r="H1219" t="s">
        <v>22</v>
      </c>
      <c r="I1219" t="s">
        <v>1973</v>
      </c>
      <c r="J1219" t="s">
        <v>1375</v>
      </c>
      <c r="K1219" t="str">
        <f t="shared" ref="K1219:K1282" si="171">IF(I1219="","",I1219)</f>
        <v>1235.5</v>
      </c>
      <c r="N1219" t="str">
        <f t="shared" ref="N1219:N1282" si="172">IF(F1219="","",F1219)</f>
        <v>HOLDING REGISTER</v>
      </c>
      <c r="O1219" t="str">
        <f t="shared" ref="O1219:O1282" si="173">IF(H1219="","",H1219)</f>
        <v>BOOL</v>
      </c>
      <c r="P1219" t="str">
        <f t="shared" ref="P1219:P1282" si="174">_xlfn.CONCAT(D1219," ",E1219)</f>
        <v>TELECAMERA T07S</v>
      </c>
      <c r="R1219" t="str">
        <f t="shared" ref="R1219:R1282" si="175">IF(J1219="","",J1219)</f>
        <v>disponibile</v>
      </c>
      <c r="U1219" t="str">
        <f t="shared" ref="U1219:U1282" si="176">IF(G1219="","",G1219)</f>
        <v>disponibile</v>
      </c>
      <c r="V1219" t="str">
        <f t="shared" ref="V1219:V1282" si="177">IF(C1219="","",C1219)</f>
        <v>DIREZIONE SUD</v>
      </c>
      <c r="W1219" t="str">
        <f t="shared" ref="W1219:W1282" si="178">IF(B1219="","",B1219)</f>
        <v>GALLERIA SAN GIULIANO</v>
      </c>
      <c r="Z1219" t="str">
        <f t="shared" ref="Z1219:Z1282" si="179">IF(A1219="","",A1219)</f>
        <v>10.220.80.16</v>
      </c>
    </row>
    <row r="1220" spans="1:26" x14ac:dyDescent="0.25">
      <c r="A1220" t="s">
        <v>10</v>
      </c>
      <c r="B1220" t="s">
        <v>1063</v>
      </c>
      <c r="C1220" t="s">
        <v>1618</v>
      </c>
      <c r="D1220" t="s">
        <v>1619</v>
      </c>
      <c r="E1220" t="s">
        <v>1691</v>
      </c>
      <c r="F1220" t="s">
        <v>14</v>
      </c>
      <c r="G1220" t="s">
        <v>1375</v>
      </c>
      <c r="H1220" t="s">
        <v>22</v>
      </c>
      <c r="I1220" t="s">
        <v>1974</v>
      </c>
      <c r="J1220" t="s">
        <v>1907</v>
      </c>
      <c r="K1220" t="str">
        <f t="shared" si="171"/>
        <v>1235.6</v>
      </c>
      <c r="N1220" t="str">
        <f t="shared" si="172"/>
        <v>HOLDING REGISTER</v>
      </c>
      <c r="O1220" t="str">
        <f t="shared" si="173"/>
        <v>BOOL</v>
      </c>
      <c r="P1220" t="str">
        <f t="shared" si="174"/>
        <v>TELECAMERA T07S</v>
      </c>
      <c r="R1220" t="str">
        <f t="shared" si="175"/>
        <v>PEDONE</v>
      </c>
      <c r="U1220" t="str">
        <f t="shared" si="176"/>
        <v>disponibile</v>
      </c>
      <c r="V1220" t="str">
        <f t="shared" si="177"/>
        <v>DIREZIONE SUD</v>
      </c>
      <c r="W1220" t="str">
        <f t="shared" si="178"/>
        <v>GALLERIA SAN GIULIANO</v>
      </c>
      <c r="Z1220" t="str">
        <f t="shared" si="179"/>
        <v>10.220.80.16</v>
      </c>
    </row>
    <row r="1221" spans="1:26" x14ac:dyDescent="0.25">
      <c r="A1221" t="s">
        <v>10</v>
      </c>
      <c r="B1221" t="s">
        <v>1063</v>
      </c>
      <c r="C1221" t="s">
        <v>1618</v>
      </c>
      <c r="D1221" t="s">
        <v>1619</v>
      </c>
      <c r="E1221" t="s">
        <v>1691</v>
      </c>
      <c r="F1221" t="s">
        <v>14</v>
      </c>
      <c r="G1221" t="s">
        <v>1375</v>
      </c>
      <c r="H1221" t="s">
        <v>22</v>
      </c>
      <c r="I1221" t="s">
        <v>1975</v>
      </c>
      <c r="J1221" t="s">
        <v>1909</v>
      </c>
      <c r="K1221" t="str">
        <f t="shared" si="171"/>
        <v>1235.7</v>
      </c>
      <c r="N1221" t="str">
        <f t="shared" si="172"/>
        <v>HOLDING REGISTER</v>
      </c>
      <c r="O1221" t="str">
        <f t="shared" si="173"/>
        <v>BOOL</v>
      </c>
      <c r="P1221" t="str">
        <f t="shared" si="174"/>
        <v>TELECAMERA T07S</v>
      </c>
      <c r="R1221" t="str">
        <f t="shared" si="175"/>
        <v>FUMO</v>
      </c>
      <c r="U1221" t="str">
        <f t="shared" si="176"/>
        <v>disponibile</v>
      </c>
      <c r="V1221" t="str">
        <f t="shared" si="177"/>
        <v>DIREZIONE SUD</v>
      </c>
      <c r="W1221" t="str">
        <f t="shared" si="178"/>
        <v>GALLERIA SAN GIULIANO</v>
      </c>
      <c r="Z1221" t="str">
        <f t="shared" si="179"/>
        <v>10.220.80.16</v>
      </c>
    </row>
    <row r="1222" spans="1:26" x14ac:dyDescent="0.25">
      <c r="A1222" t="s">
        <v>10</v>
      </c>
      <c r="B1222" t="s">
        <v>1063</v>
      </c>
      <c r="C1222" t="s">
        <v>1618</v>
      </c>
      <c r="D1222" t="s">
        <v>1619</v>
      </c>
      <c r="E1222" t="s">
        <v>1691</v>
      </c>
      <c r="F1222" t="s">
        <v>14</v>
      </c>
      <c r="G1222" t="s">
        <v>1375</v>
      </c>
      <c r="H1222" t="s">
        <v>22</v>
      </c>
      <c r="I1222" t="s">
        <v>1976</v>
      </c>
      <c r="J1222" t="s">
        <v>1911</v>
      </c>
      <c r="K1222" t="str">
        <f t="shared" si="171"/>
        <v>1235.8</v>
      </c>
      <c r="N1222" t="str">
        <f t="shared" si="172"/>
        <v>HOLDING REGISTER</v>
      </c>
      <c r="O1222" t="str">
        <f t="shared" si="173"/>
        <v>BOOL</v>
      </c>
      <c r="P1222" t="str">
        <f t="shared" si="174"/>
        <v>TELECAMERA T07S</v>
      </c>
      <c r="R1222" t="str">
        <f t="shared" si="175"/>
        <v>RALLENTAMENTI</v>
      </c>
      <c r="U1222" t="str">
        <f t="shared" si="176"/>
        <v>disponibile</v>
      </c>
      <c r="V1222" t="str">
        <f t="shared" si="177"/>
        <v>DIREZIONE SUD</v>
      </c>
      <c r="W1222" t="str">
        <f t="shared" si="178"/>
        <v>GALLERIA SAN GIULIANO</v>
      </c>
      <c r="Z1222" t="str">
        <f t="shared" si="179"/>
        <v>10.220.80.16</v>
      </c>
    </row>
    <row r="1223" spans="1:26" x14ac:dyDescent="0.25">
      <c r="A1223" t="s">
        <v>10</v>
      </c>
      <c r="B1223" t="s">
        <v>1063</v>
      </c>
      <c r="C1223" t="s">
        <v>1618</v>
      </c>
      <c r="D1223" t="s">
        <v>1619</v>
      </c>
      <c r="E1223" t="s">
        <v>1691</v>
      </c>
      <c r="F1223" t="s">
        <v>14</v>
      </c>
      <c r="G1223" t="s">
        <v>1375</v>
      </c>
      <c r="H1223" t="s">
        <v>22</v>
      </c>
      <c r="I1223" t="s">
        <v>1977</v>
      </c>
      <c r="J1223" t="s">
        <v>1913</v>
      </c>
      <c r="K1223" t="str">
        <f t="shared" si="171"/>
        <v>1235.9</v>
      </c>
      <c r="N1223" t="str">
        <f t="shared" si="172"/>
        <v>HOLDING REGISTER</v>
      </c>
      <c r="O1223" t="str">
        <f t="shared" si="173"/>
        <v>BOOL</v>
      </c>
      <c r="P1223" t="str">
        <f t="shared" si="174"/>
        <v>TELECAMERA T07S</v>
      </c>
      <c r="R1223" t="str">
        <f t="shared" si="175"/>
        <v>CODA IN GALLERIA</v>
      </c>
      <c r="U1223" t="str">
        <f t="shared" si="176"/>
        <v>disponibile</v>
      </c>
      <c r="V1223" t="str">
        <f t="shared" si="177"/>
        <v>DIREZIONE SUD</v>
      </c>
      <c r="W1223" t="str">
        <f t="shared" si="178"/>
        <v>GALLERIA SAN GIULIANO</v>
      </c>
      <c r="Z1223" t="str">
        <f t="shared" si="179"/>
        <v>10.220.80.16</v>
      </c>
    </row>
    <row r="1224" spans="1:26" x14ac:dyDescent="0.25">
      <c r="A1224" t="s">
        <v>10</v>
      </c>
      <c r="B1224" t="s">
        <v>1063</v>
      </c>
      <c r="C1224" t="s">
        <v>1618</v>
      </c>
      <c r="D1224" t="s">
        <v>1619</v>
      </c>
      <c r="E1224" t="s">
        <v>1691</v>
      </c>
      <c r="F1224" t="s">
        <v>14</v>
      </c>
      <c r="G1224" t="s">
        <v>1375</v>
      </c>
      <c r="H1224" t="s">
        <v>22</v>
      </c>
      <c r="I1224" t="s">
        <v>1978</v>
      </c>
      <c r="J1224" t="s">
        <v>1375</v>
      </c>
      <c r="K1224" t="str">
        <f t="shared" si="171"/>
        <v>1235.10</v>
      </c>
      <c r="N1224" t="str">
        <f t="shared" si="172"/>
        <v>HOLDING REGISTER</v>
      </c>
      <c r="O1224" t="str">
        <f t="shared" si="173"/>
        <v>BOOL</v>
      </c>
      <c r="P1224" t="str">
        <f t="shared" si="174"/>
        <v>TELECAMERA T07S</v>
      </c>
      <c r="R1224" t="str">
        <f t="shared" si="175"/>
        <v>disponibile</v>
      </c>
      <c r="U1224" t="str">
        <f t="shared" si="176"/>
        <v>disponibile</v>
      </c>
      <c r="V1224" t="str">
        <f t="shared" si="177"/>
        <v>DIREZIONE SUD</v>
      </c>
      <c r="W1224" t="str">
        <f t="shared" si="178"/>
        <v>GALLERIA SAN GIULIANO</v>
      </c>
      <c r="Z1224" t="str">
        <f t="shared" si="179"/>
        <v>10.220.80.16</v>
      </c>
    </row>
    <row r="1225" spans="1:26" x14ac:dyDescent="0.25">
      <c r="A1225" t="s">
        <v>10</v>
      </c>
      <c r="B1225" t="s">
        <v>1063</v>
      </c>
      <c r="C1225" t="s">
        <v>1618</v>
      </c>
      <c r="D1225" t="s">
        <v>1619</v>
      </c>
      <c r="E1225" t="s">
        <v>1691</v>
      </c>
      <c r="F1225" t="s">
        <v>14</v>
      </c>
      <c r="G1225" t="s">
        <v>1375</v>
      </c>
      <c r="H1225" t="s">
        <v>22</v>
      </c>
      <c r="I1225" t="s">
        <v>1979</v>
      </c>
      <c r="J1225" t="s">
        <v>1375</v>
      </c>
      <c r="K1225" t="str">
        <f t="shared" si="171"/>
        <v>1235.11</v>
      </c>
      <c r="N1225" t="str">
        <f t="shared" si="172"/>
        <v>HOLDING REGISTER</v>
      </c>
      <c r="O1225" t="str">
        <f t="shared" si="173"/>
        <v>BOOL</v>
      </c>
      <c r="P1225" t="str">
        <f t="shared" si="174"/>
        <v>TELECAMERA T07S</v>
      </c>
      <c r="R1225" t="str">
        <f t="shared" si="175"/>
        <v>disponibile</v>
      </c>
      <c r="U1225" t="str">
        <f t="shared" si="176"/>
        <v>disponibile</v>
      </c>
      <c r="V1225" t="str">
        <f t="shared" si="177"/>
        <v>DIREZIONE SUD</v>
      </c>
      <c r="W1225" t="str">
        <f t="shared" si="178"/>
        <v>GALLERIA SAN GIULIANO</v>
      </c>
      <c r="Z1225" t="str">
        <f t="shared" si="179"/>
        <v>10.220.80.16</v>
      </c>
    </row>
    <row r="1226" spans="1:26" x14ac:dyDescent="0.25">
      <c r="A1226" t="s">
        <v>10</v>
      </c>
      <c r="B1226" t="s">
        <v>1063</v>
      </c>
      <c r="C1226" t="s">
        <v>1618</v>
      </c>
      <c r="D1226" t="s">
        <v>1619</v>
      </c>
      <c r="E1226" t="s">
        <v>1691</v>
      </c>
      <c r="F1226" t="s">
        <v>14</v>
      </c>
      <c r="G1226" t="s">
        <v>1375</v>
      </c>
      <c r="H1226" t="s">
        <v>22</v>
      </c>
      <c r="I1226" t="s">
        <v>1980</v>
      </c>
      <c r="J1226" t="s">
        <v>1375</v>
      </c>
      <c r="K1226" t="str">
        <f t="shared" si="171"/>
        <v>1235.12</v>
      </c>
      <c r="N1226" t="str">
        <f t="shared" si="172"/>
        <v>HOLDING REGISTER</v>
      </c>
      <c r="O1226" t="str">
        <f t="shared" si="173"/>
        <v>BOOL</v>
      </c>
      <c r="P1226" t="str">
        <f t="shared" si="174"/>
        <v>TELECAMERA T07S</v>
      </c>
      <c r="R1226" t="str">
        <f t="shared" si="175"/>
        <v>disponibile</v>
      </c>
      <c r="U1226" t="str">
        <f t="shared" si="176"/>
        <v>disponibile</v>
      </c>
      <c r="V1226" t="str">
        <f t="shared" si="177"/>
        <v>DIREZIONE SUD</v>
      </c>
      <c r="W1226" t="str">
        <f t="shared" si="178"/>
        <v>GALLERIA SAN GIULIANO</v>
      </c>
      <c r="Z1226" t="str">
        <f t="shared" si="179"/>
        <v>10.220.80.16</v>
      </c>
    </row>
    <row r="1227" spans="1:26" x14ac:dyDescent="0.25">
      <c r="A1227" t="s">
        <v>10</v>
      </c>
      <c r="B1227" t="s">
        <v>1063</v>
      </c>
      <c r="C1227" t="s">
        <v>1618</v>
      </c>
      <c r="D1227" t="s">
        <v>1619</v>
      </c>
      <c r="E1227" t="s">
        <v>1691</v>
      </c>
      <c r="F1227" t="s">
        <v>14</v>
      </c>
      <c r="G1227" t="s">
        <v>1375</v>
      </c>
      <c r="H1227" t="s">
        <v>22</v>
      </c>
      <c r="I1227" t="s">
        <v>1981</v>
      </c>
      <c r="J1227" t="s">
        <v>1375</v>
      </c>
      <c r="K1227" t="str">
        <f t="shared" si="171"/>
        <v>1235.13</v>
      </c>
      <c r="N1227" t="str">
        <f t="shared" si="172"/>
        <v>HOLDING REGISTER</v>
      </c>
      <c r="O1227" t="str">
        <f t="shared" si="173"/>
        <v>BOOL</v>
      </c>
      <c r="P1227" t="str">
        <f t="shared" si="174"/>
        <v>TELECAMERA T07S</v>
      </c>
      <c r="R1227" t="str">
        <f t="shared" si="175"/>
        <v>disponibile</v>
      </c>
      <c r="U1227" t="str">
        <f t="shared" si="176"/>
        <v>disponibile</v>
      </c>
      <c r="V1227" t="str">
        <f t="shared" si="177"/>
        <v>DIREZIONE SUD</v>
      </c>
      <c r="W1227" t="str">
        <f t="shared" si="178"/>
        <v>GALLERIA SAN GIULIANO</v>
      </c>
      <c r="Z1227" t="str">
        <f t="shared" si="179"/>
        <v>10.220.80.16</v>
      </c>
    </row>
    <row r="1228" spans="1:26" x14ac:dyDescent="0.25">
      <c r="A1228" t="s">
        <v>10</v>
      </c>
      <c r="B1228" t="s">
        <v>1063</v>
      </c>
      <c r="C1228" t="s">
        <v>1618</v>
      </c>
      <c r="D1228" t="s">
        <v>1619</v>
      </c>
      <c r="E1228" t="s">
        <v>1691</v>
      </c>
      <c r="F1228" t="s">
        <v>14</v>
      </c>
      <c r="G1228" t="s">
        <v>1375</v>
      </c>
      <c r="H1228" t="s">
        <v>22</v>
      </c>
      <c r="I1228" t="s">
        <v>1982</v>
      </c>
      <c r="J1228" t="s">
        <v>1375</v>
      </c>
      <c r="K1228" t="str">
        <f t="shared" si="171"/>
        <v>1235.14</v>
      </c>
      <c r="N1228" t="str">
        <f t="shared" si="172"/>
        <v>HOLDING REGISTER</v>
      </c>
      <c r="O1228" t="str">
        <f t="shared" si="173"/>
        <v>BOOL</v>
      </c>
      <c r="P1228" t="str">
        <f t="shared" si="174"/>
        <v>TELECAMERA T07S</v>
      </c>
      <c r="R1228" t="str">
        <f t="shared" si="175"/>
        <v>disponibile</v>
      </c>
      <c r="U1228" t="str">
        <f t="shared" si="176"/>
        <v>disponibile</v>
      </c>
      <c r="V1228" t="str">
        <f t="shared" si="177"/>
        <v>DIREZIONE SUD</v>
      </c>
      <c r="W1228" t="str">
        <f t="shared" si="178"/>
        <v>GALLERIA SAN GIULIANO</v>
      </c>
      <c r="Z1228" t="str">
        <f t="shared" si="179"/>
        <v>10.220.80.16</v>
      </c>
    </row>
    <row r="1229" spans="1:26" x14ac:dyDescent="0.25">
      <c r="A1229" t="s">
        <v>10</v>
      </c>
      <c r="B1229" t="s">
        <v>1063</v>
      </c>
      <c r="C1229" t="s">
        <v>1618</v>
      </c>
      <c r="D1229" t="s">
        <v>1619</v>
      </c>
      <c r="E1229" t="s">
        <v>1691</v>
      </c>
      <c r="F1229" t="s">
        <v>14</v>
      </c>
      <c r="G1229" t="s">
        <v>1375</v>
      </c>
      <c r="H1229" t="s">
        <v>22</v>
      </c>
      <c r="I1229" t="s">
        <v>1983</v>
      </c>
      <c r="J1229" t="s">
        <v>1375</v>
      </c>
      <c r="K1229" t="str">
        <f t="shared" si="171"/>
        <v>1235.15</v>
      </c>
      <c r="N1229" t="str">
        <f t="shared" si="172"/>
        <v>HOLDING REGISTER</v>
      </c>
      <c r="O1229" t="str">
        <f t="shared" si="173"/>
        <v>BOOL</v>
      </c>
      <c r="P1229" t="str">
        <f t="shared" si="174"/>
        <v>TELECAMERA T07S</v>
      </c>
      <c r="R1229" t="str">
        <f t="shared" si="175"/>
        <v>disponibile</v>
      </c>
      <c r="U1229" t="str">
        <f t="shared" si="176"/>
        <v>disponibile</v>
      </c>
      <c r="V1229" t="str">
        <f t="shared" si="177"/>
        <v>DIREZIONE SUD</v>
      </c>
      <c r="W1229" t="str">
        <f t="shared" si="178"/>
        <v>GALLERIA SAN GIULIANO</v>
      </c>
      <c r="Z1229" t="str">
        <f t="shared" si="179"/>
        <v>10.220.80.16</v>
      </c>
    </row>
    <row r="1230" spans="1:26" x14ac:dyDescent="0.25">
      <c r="A1230" t="s">
        <v>10</v>
      </c>
      <c r="B1230" t="s">
        <v>1063</v>
      </c>
      <c r="C1230" t="s">
        <v>1618</v>
      </c>
      <c r="D1230" t="s">
        <v>1619</v>
      </c>
      <c r="E1230" t="s">
        <v>1708</v>
      </c>
      <c r="F1230" t="s">
        <v>14</v>
      </c>
      <c r="G1230" t="s">
        <v>21</v>
      </c>
      <c r="H1230" t="s">
        <v>22</v>
      </c>
      <c r="I1230" t="s">
        <v>1984</v>
      </c>
      <c r="J1230" t="s">
        <v>1897</v>
      </c>
      <c r="K1230" t="str">
        <f t="shared" si="171"/>
        <v>1236.0</v>
      </c>
      <c r="N1230" t="str">
        <f t="shared" si="172"/>
        <v>HOLDING REGISTER</v>
      </c>
      <c r="O1230" t="str">
        <f t="shared" si="173"/>
        <v>BOOL</v>
      </c>
      <c r="P1230" t="str">
        <f t="shared" si="174"/>
        <v>TELECAMERA T10S</v>
      </c>
      <c r="R1230" t="str">
        <f t="shared" si="175"/>
        <v>PERDITA SEGNALE VIDEO</v>
      </c>
      <c r="U1230" t="str">
        <f t="shared" si="176"/>
        <v>Stato</v>
      </c>
      <c r="V1230" t="str">
        <f t="shared" si="177"/>
        <v>DIREZIONE SUD</v>
      </c>
      <c r="W1230" t="str">
        <f t="shared" si="178"/>
        <v>GALLERIA SAN GIULIANO</v>
      </c>
      <c r="Z1230" t="str">
        <f t="shared" si="179"/>
        <v>10.220.80.16</v>
      </c>
    </row>
    <row r="1231" spans="1:26" x14ac:dyDescent="0.25">
      <c r="A1231" t="s">
        <v>10</v>
      </c>
      <c r="B1231" t="s">
        <v>1063</v>
      </c>
      <c r="C1231" t="s">
        <v>1618</v>
      </c>
      <c r="D1231" t="s">
        <v>1619</v>
      </c>
      <c r="E1231" t="s">
        <v>1708</v>
      </c>
      <c r="F1231" t="s">
        <v>14</v>
      </c>
      <c r="G1231" t="s">
        <v>21</v>
      </c>
      <c r="H1231" t="s">
        <v>22</v>
      </c>
      <c r="I1231" t="s">
        <v>1985</v>
      </c>
      <c r="J1231" t="s">
        <v>1899</v>
      </c>
      <c r="K1231" t="str">
        <f t="shared" si="171"/>
        <v>1236.1</v>
      </c>
      <c r="N1231" t="str">
        <f t="shared" si="172"/>
        <v>HOLDING REGISTER</v>
      </c>
      <c r="O1231" t="str">
        <f t="shared" si="173"/>
        <v>BOOL</v>
      </c>
      <c r="P1231" t="str">
        <f t="shared" si="174"/>
        <v>TELECAMERA T10S</v>
      </c>
      <c r="R1231" t="str">
        <f t="shared" si="175"/>
        <v>MANOMISSIONE</v>
      </c>
      <c r="U1231" t="str">
        <f t="shared" si="176"/>
        <v>Stato</v>
      </c>
      <c r="V1231" t="str">
        <f t="shared" si="177"/>
        <v>DIREZIONE SUD</v>
      </c>
      <c r="W1231" t="str">
        <f t="shared" si="178"/>
        <v>GALLERIA SAN GIULIANO</v>
      </c>
      <c r="Z1231" t="str">
        <f t="shared" si="179"/>
        <v>10.220.80.16</v>
      </c>
    </row>
    <row r="1232" spans="1:26" x14ac:dyDescent="0.25">
      <c r="A1232" t="s">
        <v>10</v>
      </c>
      <c r="B1232" t="s">
        <v>1063</v>
      </c>
      <c r="C1232" t="s">
        <v>1618</v>
      </c>
      <c r="D1232" t="s">
        <v>1619</v>
      </c>
      <c r="E1232" t="s">
        <v>1708</v>
      </c>
      <c r="F1232" t="s">
        <v>14</v>
      </c>
      <c r="G1232" t="s">
        <v>21</v>
      </c>
      <c r="H1232" t="s">
        <v>22</v>
      </c>
      <c r="I1232" t="s">
        <v>1986</v>
      </c>
      <c r="J1232" t="s">
        <v>1375</v>
      </c>
      <c r="K1232" t="str">
        <f t="shared" si="171"/>
        <v>1236.2</v>
      </c>
      <c r="N1232" t="str">
        <f t="shared" si="172"/>
        <v>HOLDING REGISTER</v>
      </c>
      <c r="O1232" t="str">
        <f t="shared" si="173"/>
        <v>BOOL</v>
      </c>
      <c r="P1232" t="str">
        <f t="shared" si="174"/>
        <v>TELECAMERA T10S</v>
      </c>
      <c r="R1232" t="str">
        <f t="shared" si="175"/>
        <v>disponibile</v>
      </c>
      <c r="U1232" t="str">
        <f t="shared" si="176"/>
        <v>Stato</v>
      </c>
      <c r="V1232" t="str">
        <f t="shared" si="177"/>
        <v>DIREZIONE SUD</v>
      </c>
      <c r="W1232" t="str">
        <f t="shared" si="178"/>
        <v>GALLERIA SAN GIULIANO</v>
      </c>
      <c r="Z1232" t="str">
        <f t="shared" si="179"/>
        <v>10.220.80.16</v>
      </c>
    </row>
    <row r="1233" spans="1:26" x14ac:dyDescent="0.25">
      <c r="A1233" t="s">
        <v>10</v>
      </c>
      <c r="B1233" t="s">
        <v>1063</v>
      </c>
      <c r="C1233" t="s">
        <v>1618</v>
      </c>
      <c r="D1233" t="s">
        <v>1619</v>
      </c>
      <c r="E1233" t="s">
        <v>1708</v>
      </c>
      <c r="F1233" t="s">
        <v>14</v>
      </c>
      <c r="G1233" t="s">
        <v>1375</v>
      </c>
      <c r="H1233" t="s">
        <v>22</v>
      </c>
      <c r="I1233" t="s">
        <v>1987</v>
      </c>
      <c r="J1233" t="s">
        <v>1902</v>
      </c>
      <c r="K1233" t="str">
        <f t="shared" si="171"/>
        <v>1236.3</v>
      </c>
      <c r="N1233" t="str">
        <f t="shared" si="172"/>
        <v>HOLDING REGISTER</v>
      </c>
      <c r="O1233" t="str">
        <f t="shared" si="173"/>
        <v>BOOL</v>
      </c>
      <c r="P1233" t="str">
        <f t="shared" si="174"/>
        <v>TELECAMERA T10S</v>
      </c>
      <c r="R1233" t="str">
        <f t="shared" si="175"/>
        <v>VEICOLO FERMO</v>
      </c>
      <c r="U1233" t="str">
        <f t="shared" si="176"/>
        <v>disponibile</v>
      </c>
      <c r="V1233" t="str">
        <f t="shared" si="177"/>
        <v>DIREZIONE SUD</v>
      </c>
      <c r="W1233" t="str">
        <f t="shared" si="178"/>
        <v>GALLERIA SAN GIULIANO</v>
      </c>
      <c r="Z1233" t="str">
        <f t="shared" si="179"/>
        <v>10.220.80.16</v>
      </c>
    </row>
    <row r="1234" spans="1:26" x14ac:dyDescent="0.25">
      <c r="A1234" t="s">
        <v>10</v>
      </c>
      <c r="B1234" t="s">
        <v>1063</v>
      </c>
      <c r="C1234" t="s">
        <v>1618</v>
      </c>
      <c r="D1234" t="s">
        <v>1619</v>
      </c>
      <c r="E1234" t="s">
        <v>1708</v>
      </c>
      <c r="F1234" t="s">
        <v>14</v>
      </c>
      <c r="G1234" t="s">
        <v>1375</v>
      </c>
      <c r="H1234" t="s">
        <v>22</v>
      </c>
      <c r="I1234" t="s">
        <v>1988</v>
      </c>
      <c r="J1234" t="s">
        <v>1904</v>
      </c>
      <c r="K1234" t="str">
        <f t="shared" si="171"/>
        <v>1236.4</v>
      </c>
      <c r="N1234" t="str">
        <f t="shared" si="172"/>
        <v>HOLDING REGISTER</v>
      </c>
      <c r="O1234" t="str">
        <f t="shared" si="173"/>
        <v>BOOL</v>
      </c>
      <c r="P1234" t="str">
        <f t="shared" si="174"/>
        <v>TELECAMERA T10S</v>
      </c>
      <c r="R1234" t="str">
        <f t="shared" si="175"/>
        <v>CARICO DISPERSO</v>
      </c>
      <c r="U1234" t="str">
        <f t="shared" si="176"/>
        <v>disponibile</v>
      </c>
      <c r="V1234" t="str">
        <f t="shared" si="177"/>
        <v>DIREZIONE SUD</v>
      </c>
      <c r="W1234" t="str">
        <f t="shared" si="178"/>
        <v>GALLERIA SAN GIULIANO</v>
      </c>
      <c r="Z1234" t="str">
        <f t="shared" si="179"/>
        <v>10.220.80.16</v>
      </c>
    </row>
    <row r="1235" spans="1:26" x14ac:dyDescent="0.25">
      <c r="A1235" t="s">
        <v>10</v>
      </c>
      <c r="B1235" t="s">
        <v>1063</v>
      </c>
      <c r="C1235" t="s">
        <v>1618</v>
      </c>
      <c r="D1235" t="s">
        <v>1619</v>
      </c>
      <c r="E1235" t="s">
        <v>1708</v>
      </c>
      <c r="F1235" t="s">
        <v>14</v>
      </c>
      <c r="G1235" t="s">
        <v>1375</v>
      </c>
      <c r="H1235" t="s">
        <v>22</v>
      </c>
      <c r="I1235" t="s">
        <v>1989</v>
      </c>
      <c r="J1235" t="s">
        <v>1375</v>
      </c>
      <c r="K1235" t="str">
        <f t="shared" si="171"/>
        <v>1236.5</v>
      </c>
      <c r="N1235" t="str">
        <f t="shared" si="172"/>
        <v>HOLDING REGISTER</v>
      </c>
      <c r="O1235" t="str">
        <f t="shared" si="173"/>
        <v>BOOL</v>
      </c>
      <c r="P1235" t="str">
        <f t="shared" si="174"/>
        <v>TELECAMERA T10S</v>
      </c>
      <c r="R1235" t="str">
        <f t="shared" si="175"/>
        <v>disponibile</v>
      </c>
      <c r="U1235" t="str">
        <f t="shared" si="176"/>
        <v>disponibile</v>
      </c>
      <c r="V1235" t="str">
        <f t="shared" si="177"/>
        <v>DIREZIONE SUD</v>
      </c>
      <c r="W1235" t="str">
        <f t="shared" si="178"/>
        <v>GALLERIA SAN GIULIANO</v>
      </c>
      <c r="Z1235" t="str">
        <f t="shared" si="179"/>
        <v>10.220.80.16</v>
      </c>
    </row>
    <row r="1236" spans="1:26" x14ac:dyDescent="0.25">
      <c r="A1236" t="s">
        <v>10</v>
      </c>
      <c r="B1236" t="s">
        <v>1063</v>
      </c>
      <c r="C1236" t="s">
        <v>1618</v>
      </c>
      <c r="D1236" t="s">
        <v>1619</v>
      </c>
      <c r="E1236" t="s">
        <v>1708</v>
      </c>
      <c r="F1236" t="s">
        <v>14</v>
      </c>
      <c r="G1236" t="s">
        <v>1375</v>
      </c>
      <c r="H1236" t="s">
        <v>22</v>
      </c>
      <c r="I1236" t="s">
        <v>1990</v>
      </c>
      <c r="J1236" t="s">
        <v>1907</v>
      </c>
      <c r="K1236" t="str">
        <f t="shared" si="171"/>
        <v>1236.6</v>
      </c>
      <c r="N1236" t="str">
        <f t="shared" si="172"/>
        <v>HOLDING REGISTER</v>
      </c>
      <c r="O1236" t="str">
        <f t="shared" si="173"/>
        <v>BOOL</v>
      </c>
      <c r="P1236" t="str">
        <f t="shared" si="174"/>
        <v>TELECAMERA T10S</v>
      </c>
      <c r="R1236" t="str">
        <f t="shared" si="175"/>
        <v>PEDONE</v>
      </c>
      <c r="U1236" t="str">
        <f t="shared" si="176"/>
        <v>disponibile</v>
      </c>
      <c r="V1236" t="str">
        <f t="shared" si="177"/>
        <v>DIREZIONE SUD</v>
      </c>
      <c r="W1236" t="str">
        <f t="shared" si="178"/>
        <v>GALLERIA SAN GIULIANO</v>
      </c>
      <c r="Z1236" t="str">
        <f t="shared" si="179"/>
        <v>10.220.80.16</v>
      </c>
    </row>
    <row r="1237" spans="1:26" x14ac:dyDescent="0.25">
      <c r="A1237" t="s">
        <v>10</v>
      </c>
      <c r="B1237" t="s">
        <v>1063</v>
      </c>
      <c r="C1237" t="s">
        <v>1618</v>
      </c>
      <c r="D1237" t="s">
        <v>1619</v>
      </c>
      <c r="E1237" t="s">
        <v>1708</v>
      </c>
      <c r="F1237" t="s">
        <v>14</v>
      </c>
      <c r="G1237" t="s">
        <v>1375</v>
      </c>
      <c r="H1237" t="s">
        <v>22</v>
      </c>
      <c r="I1237" t="s">
        <v>1991</v>
      </c>
      <c r="J1237" t="s">
        <v>1909</v>
      </c>
      <c r="K1237" t="str">
        <f t="shared" si="171"/>
        <v>1236.7</v>
      </c>
      <c r="N1237" t="str">
        <f t="shared" si="172"/>
        <v>HOLDING REGISTER</v>
      </c>
      <c r="O1237" t="str">
        <f t="shared" si="173"/>
        <v>BOOL</v>
      </c>
      <c r="P1237" t="str">
        <f t="shared" si="174"/>
        <v>TELECAMERA T10S</v>
      </c>
      <c r="R1237" t="str">
        <f t="shared" si="175"/>
        <v>FUMO</v>
      </c>
      <c r="U1237" t="str">
        <f t="shared" si="176"/>
        <v>disponibile</v>
      </c>
      <c r="V1237" t="str">
        <f t="shared" si="177"/>
        <v>DIREZIONE SUD</v>
      </c>
      <c r="W1237" t="str">
        <f t="shared" si="178"/>
        <v>GALLERIA SAN GIULIANO</v>
      </c>
      <c r="Z1237" t="str">
        <f t="shared" si="179"/>
        <v>10.220.80.16</v>
      </c>
    </row>
    <row r="1238" spans="1:26" x14ac:dyDescent="0.25">
      <c r="A1238" t="s">
        <v>10</v>
      </c>
      <c r="B1238" t="s">
        <v>1063</v>
      </c>
      <c r="C1238" t="s">
        <v>1618</v>
      </c>
      <c r="D1238" t="s">
        <v>1619</v>
      </c>
      <c r="E1238" t="s">
        <v>1708</v>
      </c>
      <c r="F1238" t="s">
        <v>14</v>
      </c>
      <c r="G1238" t="s">
        <v>1375</v>
      </c>
      <c r="H1238" t="s">
        <v>22</v>
      </c>
      <c r="I1238" t="s">
        <v>1992</v>
      </c>
      <c r="J1238" t="s">
        <v>1911</v>
      </c>
      <c r="K1238" t="str">
        <f t="shared" si="171"/>
        <v>1236.8</v>
      </c>
      <c r="N1238" t="str">
        <f t="shared" si="172"/>
        <v>HOLDING REGISTER</v>
      </c>
      <c r="O1238" t="str">
        <f t="shared" si="173"/>
        <v>BOOL</v>
      </c>
      <c r="P1238" t="str">
        <f t="shared" si="174"/>
        <v>TELECAMERA T10S</v>
      </c>
      <c r="R1238" t="str">
        <f t="shared" si="175"/>
        <v>RALLENTAMENTI</v>
      </c>
      <c r="U1238" t="str">
        <f t="shared" si="176"/>
        <v>disponibile</v>
      </c>
      <c r="V1238" t="str">
        <f t="shared" si="177"/>
        <v>DIREZIONE SUD</v>
      </c>
      <c r="W1238" t="str">
        <f t="shared" si="178"/>
        <v>GALLERIA SAN GIULIANO</v>
      </c>
      <c r="Z1238" t="str">
        <f t="shared" si="179"/>
        <v>10.220.80.16</v>
      </c>
    </row>
    <row r="1239" spans="1:26" x14ac:dyDescent="0.25">
      <c r="A1239" t="s">
        <v>10</v>
      </c>
      <c r="B1239" t="s">
        <v>1063</v>
      </c>
      <c r="C1239" t="s">
        <v>1618</v>
      </c>
      <c r="D1239" t="s">
        <v>1619</v>
      </c>
      <c r="E1239" t="s">
        <v>1708</v>
      </c>
      <c r="F1239" t="s">
        <v>14</v>
      </c>
      <c r="G1239" t="s">
        <v>1375</v>
      </c>
      <c r="H1239" t="s">
        <v>22</v>
      </c>
      <c r="I1239" t="s">
        <v>1993</v>
      </c>
      <c r="J1239" t="s">
        <v>1913</v>
      </c>
      <c r="K1239" t="str">
        <f t="shared" si="171"/>
        <v>1236.9</v>
      </c>
      <c r="N1239" t="str">
        <f t="shared" si="172"/>
        <v>HOLDING REGISTER</v>
      </c>
      <c r="O1239" t="str">
        <f t="shared" si="173"/>
        <v>BOOL</v>
      </c>
      <c r="P1239" t="str">
        <f t="shared" si="174"/>
        <v>TELECAMERA T10S</v>
      </c>
      <c r="R1239" t="str">
        <f t="shared" si="175"/>
        <v>CODA IN GALLERIA</v>
      </c>
      <c r="U1239" t="str">
        <f t="shared" si="176"/>
        <v>disponibile</v>
      </c>
      <c r="V1239" t="str">
        <f t="shared" si="177"/>
        <v>DIREZIONE SUD</v>
      </c>
      <c r="W1239" t="str">
        <f t="shared" si="178"/>
        <v>GALLERIA SAN GIULIANO</v>
      </c>
      <c r="Z1239" t="str">
        <f t="shared" si="179"/>
        <v>10.220.80.16</v>
      </c>
    </row>
    <row r="1240" spans="1:26" x14ac:dyDescent="0.25">
      <c r="A1240" t="s">
        <v>10</v>
      </c>
      <c r="B1240" t="s">
        <v>1063</v>
      </c>
      <c r="C1240" t="s">
        <v>1618</v>
      </c>
      <c r="D1240" t="s">
        <v>1619</v>
      </c>
      <c r="E1240" t="s">
        <v>1708</v>
      </c>
      <c r="F1240" t="s">
        <v>14</v>
      </c>
      <c r="G1240" t="s">
        <v>1375</v>
      </c>
      <c r="H1240" t="s">
        <v>22</v>
      </c>
      <c r="I1240" t="s">
        <v>1994</v>
      </c>
      <c r="J1240" t="s">
        <v>1375</v>
      </c>
      <c r="K1240" t="str">
        <f t="shared" si="171"/>
        <v>1236.10</v>
      </c>
      <c r="N1240" t="str">
        <f t="shared" si="172"/>
        <v>HOLDING REGISTER</v>
      </c>
      <c r="O1240" t="str">
        <f t="shared" si="173"/>
        <v>BOOL</v>
      </c>
      <c r="P1240" t="str">
        <f t="shared" si="174"/>
        <v>TELECAMERA T10S</v>
      </c>
      <c r="R1240" t="str">
        <f t="shared" si="175"/>
        <v>disponibile</v>
      </c>
      <c r="U1240" t="str">
        <f t="shared" si="176"/>
        <v>disponibile</v>
      </c>
      <c r="V1240" t="str">
        <f t="shared" si="177"/>
        <v>DIREZIONE SUD</v>
      </c>
      <c r="W1240" t="str">
        <f t="shared" si="178"/>
        <v>GALLERIA SAN GIULIANO</v>
      </c>
      <c r="Z1240" t="str">
        <f t="shared" si="179"/>
        <v>10.220.80.16</v>
      </c>
    </row>
    <row r="1241" spans="1:26" x14ac:dyDescent="0.25">
      <c r="A1241" t="s">
        <v>10</v>
      </c>
      <c r="B1241" t="s">
        <v>1063</v>
      </c>
      <c r="C1241" t="s">
        <v>1618</v>
      </c>
      <c r="D1241" t="s">
        <v>1619</v>
      </c>
      <c r="E1241" t="s">
        <v>1708</v>
      </c>
      <c r="F1241" t="s">
        <v>14</v>
      </c>
      <c r="G1241" t="s">
        <v>1375</v>
      </c>
      <c r="H1241" t="s">
        <v>22</v>
      </c>
      <c r="I1241" t="s">
        <v>1995</v>
      </c>
      <c r="J1241" t="s">
        <v>1375</v>
      </c>
      <c r="K1241" t="str">
        <f t="shared" si="171"/>
        <v>1236.11</v>
      </c>
      <c r="N1241" t="str">
        <f t="shared" si="172"/>
        <v>HOLDING REGISTER</v>
      </c>
      <c r="O1241" t="str">
        <f t="shared" si="173"/>
        <v>BOOL</v>
      </c>
      <c r="P1241" t="str">
        <f t="shared" si="174"/>
        <v>TELECAMERA T10S</v>
      </c>
      <c r="R1241" t="str">
        <f t="shared" si="175"/>
        <v>disponibile</v>
      </c>
      <c r="U1241" t="str">
        <f t="shared" si="176"/>
        <v>disponibile</v>
      </c>
      <c r="V1241" t="str">
        <f t="shared" si="177"/>
        <v>DIREZIONE SUD</v>
      </c>
      <c r="W1241" t="str">
        <f t="shared" si="178"/>
        <v>GALLERIA SAN GIULIANO</v>
      </c>
      <c r="Z1241" t="str">
        <f t="shared" si="179"/>
        <v>10.220.80.16</v>
      </c>
    </row>
    <row r="1242" spans="1:26" x14ac:dyDescent="0.25">
      <c r="A1242" t="s">
        <v>10</v>
      </c>
      <c r="B1242" t="s">
        <v>1063</v>
      </c>
      <c r="C1242" t="s">
        <v>1618</v>
      </c>
      <c r="D1242" t="s">
        <v>1619</v>
      </c>
      <c r="E1242" t="s">
        <v>1708</v>
      </c>
      <c r="F1242" t="s">
        <v>14</v>
      </c>
      <c r="G1242" t="s">
        <v>1375</v>
      </c>
      <c r="H1242" t="s">
        <v>22</v>
      </c>
      <c r="I1242" t="s">
        <v>1996</v>
      </c>
      <c r="J1242" t="s">
        <v>1375</v>
      </c>
      <c r="K1242" t="str">
        <f t="shared" si="171"/>
        <v>1236.12</v>
      </c>
      <c r="N1242" t="str">
        <f t="shared" si="172"/>
        <v>HOLDING REGISTER</v>
      </c>
      <c r="O1242" t="str">
        <f t="shared" si="173"/>
        <v>BOOL</v>
      </c>
      <c r="P1242" t="str">
        <f t="shared" si="174"/>
        <v>TELECAMERA T10S</v>
      </c>
      <c r="R1242" t="str">
        <f t="shared" si="175"/>
        <v>disponibile</v>
      </c>
      <c r="U1242" t="str">
        <f t="shared" si="176"/>
        <v>disponibile</v>
      </c>
      <c r="V1242" t="str">
        <f t="shared" si="177"/>
        <v>DIREZIONE SUD</v>
      </c>
      <c r="W1242" t="str">
        <f t="shared" si="178"/>
        <v>GALLERIA SAN GIULIANO</v>
      </c>
      <c r="Z1242" t="str">
        <f t="shared" si="179"/>
        <v>10.220.80.16</v>
      </c>
    </row>
    <row r="1243" spans="1:26" x14ac:dyDescent="0.25">
      <c r="A1243" t="s">
        <v>10</v>
      </c>
      <c r="B1243" t="s">
        <v>1063</v>
      </c>
      <c r="C1243" t="s">
        <v>1618</v>
      </c>
      <c r="D1243" t="s">
        <v>1619</v>
      </c>
      <c r="E1243" t="s">
        <v>1708</v>
      </c>
      <c r="F1243" t="s">
        <v>14</v>
      </c>
      <c r="G1243" t="s">
        <v>1375</v>
      </c>
      <c r="H1243" t="s">
        <v>22</v>
      </c>
      <c r="I1243" t="s">
        <v>1997</v>
      </c>
      <c r="J1243" t="s">
        <v>1375</v>
      </c>
      <c r="K1243" t="str">
        <f t="shared" si="171"/>
        <v>1236.13</v>
      </c>
      <c r="N1243" t="str">
        <f t="shared" si="172"/>
        <v>HOLDING REGISTER</v>
      </c>
      <c r="O1243" t="str">
        <f t="shared" si="173"/>
        <v>BOOL</v>
      </c>
      <c r="P1243" t="str">
        <f t="shared" si="174"/>
        <v>TELECAMERA T10S</v>
      </c>
      <c r="R1243" t="str">
        <f t="shared" si="175"/>
        <v>disponibile</v>
      </c>
      <c r="U1243" t="str">
        <f t="shared" si="176"/>
        <v>disponibile</v>
      </c>
      <c r="V1243" t="str">
        <f t="shared" si="177"/>
        <v>DIREZIONE SUD</v>
      </c>
      <c r="W1243" t="str">
        <f t="shared" si="178"/>
        <v>GALLERIA SAN GIULIANO</v>
      </c>
      <c r="Z1243" t="str">
        <f t="shared" si="179"/>
        <v>10.220.80.16</v>
      </c>
    </row>
    <row r="1244" spans="1:26" x14ac:dyDescent="0.25">
      <c r="A1244" t="s">
        <v>10</v>
      </c>
      <c r="B1244" t="s">
        <v>1063</v>
      </c>
      <c r="C1244" t="s">
        <v>1618</v>
      </c>
      <c r="D1244" t="s">
        <v>1619</v>
      </c>
      <c r="E1244" t="s">
        <v>1708</v>
      </c>
      <c r="F1244" t="s">
        <v>14</v>
      </c>
      <c r="G1244" t="s">
        <v>1375</v>
      </c>
      <c r="H1244" t="s">
        <v>22</v>
      </c>
      <c r="I1244" t="s">
        <v>1998</v>
      </c>
      <c r="J1244" t="s">
        <v>1375</v>
      </c>
      <c r="K1244" t="str">
        <f t="shared" si="171"/>
        <v>1236.14</v>
      </c>
      <c r="N1244" t="str">
        <f t="shared" si="172"/>
        <v>HOLDING REGISTER</v>
      </c>
      <c r="O1244" t="str">
        <f t="shared" si="173"/>
        <v>BOOL</v>
      </c>
      <c r="P1244" t="str">
        <f t="shared" si="174"/>
        <v>TELECAMERA T10S</v>
      </c>
      <c r="R1244" t="str">
        <f t="shared" si="175"/>
        <v>disponibile</v>
      </c>
      <c r="U1244" t="str">
        <f t="shared" si="176"/>
        <v>disponibile</v>
      </c>
      <c r="V1244" t="str">
        <f t="shared" si="177"/>
        <v>DIREZIONE SUD</v>
      </c>
      <c r="W1244" t="str">
        <f t="shared" si="178"/>
        <v>GALLERIA SAN GIULIANO</v>
      </c>
      <c r="Z1244" t="str">
        <f t="shared" si="179"/>
        <v>10.220.80.16</v>
      </c>
    </row>
    <row r="1245" spans="1:26" x14ac:dyDescent="0.25">
      <c r="A1245" t="s">
        <v>10</v>
      </c>
      <c r="B1245" t="s">
        <v>1063</v>
      </c>
      <c r="C1245" t="s">
        <v>1618</v>
      </c>
      <c r="D1245" t="s">
        <v>1619</v>
      </c>
      <c r="E1245" t="s">
        <v>1708</v>
      </c>
      <c r="F1245" t="s">
        <v>14</v>
      </c>
      <c r="G1245" t="s">
        <v>1375</v>
      </c>
      <c r="H1245" t="s">
        <v>22</v>
      </c>
      <c r="I1245" t="s">
        <v>1999</v>
      </c>
      <c r="J1245" t="s">
        <v>1375</v>
      </c>
      <c r="K1245" t="str">
        <f t="shared" si="171"/>
        <v>1236.15</v>
      </c>
      <c r="N1245" t="str">
        <f t="shared" si="172"/>
        <v>HOLDING REGISTER</v>
      </c>
      <c r="O1245" t="str">
        <f t="shared" si="173"/>
        <v>BOOL</v>
      </c>
      <c r="P1245" t="str">
        <f t="shared" si="174"/>
        <v>TELECAMERA T10S</v>
      </c>
      <c r="R1245" t="str">
        <f t="shared" si="175"/>
        <v>disponibile</v>
      </c>
      <c r="U1245" t="str">
        <f t="shared" si="176"/>
        <v>disponibile</v>
      </c>
      <c r="V1245" t="str">
        <f t="shared" si="177"/>
        <v>DIREZIONE SUD</v>
      </c>
      <c r="W1245" t="str">
        <f t="shared" si="178"/>
        <v>GALLERIA SAN GIULIANO</v>
      </c>
      <c r="Z1245" t="str">
        <f t="shared" si="179"/>
        <v>10.220.80.16</v>
      </c>
    </row>
    <row r="1246" spans="1:26" x14ac:dyDescent="0.25">
      <c r="A1246" t="s">
        <v>10</v>
      </c>
      <c r="B1246" t="s">
        <v>1063</v>
      </c>
      <c r="C1246" t="s">
        <v>1618</v>
      </c>
      <c r="D1246" t="s">
        <v>1619</v>
      </c>
      <c r="E1246" t="s">
        <v>1725</v>
      </c>
      <c r="F1246" t="s">
        <v>14</v>
      </c>
      <c r="G1246" t="s">
        <v>21</v>
      </c>
      <c r="H1246" t="s">
        <v>22</v>
      </c>
      <c r="I1246" t="s">
        <v>2000</v>
      </c>
      <c r="J1246" t="s">
        <v>1897</v>
      </c>
      <c r="K1246" t="str">
        <f t="shared" si="171"/>
        <v>1237.0</v>
      </c>
      <c r="N1246" t="str">
        <f t="shared" si="172"/>
        <v>HOLDING REGISTER</v>
      </c>
      <c r="O1246" t="str">
        <f t="shared" si="173"/>
        <v>BOOL</v>
      </c>
      <c r="P1246" t="str">
        <f t="shared" si="174"/>
        <v>TELECAMERA T11S</v>
      </c>
      <c r="R1246" t="str">
        <f t="shared" si="175"/>
        <v>PERDITA SEGNALE VIDEO</v>
      </c>
      <c r="U1246" t="str">
        <f t="shared" si="176"/>
        <v>Stato</v>
      </c>
      <c r="V1246" t="str">
        <f t="shared" si="177"/>
        <v>DIREZIONE SUD</v>
      </c>
      <c r="W1246" t="str">
        <f t="shared" si="178"/>
        <v>GALLERIA SAN GIULIANO</v>
      </c>
      <c r="Z1246" t="str">
        <f t="shared" si="179"/>
        <v>10.220.80.16</v>
      </c>
    </row>
    <row r="1247" spans="1:26" x14ac:dyDescent="0.25">
      <c r="A1247" t="s">
        <v>10</v>
      </c>
      <c r="B1247" t="s">
        <v>1063</v>
      </c>
      <c r="C1247" t="s">
        <v>1618</v>
      </c>
      <c r="D1247" t="s">
        <v>1619</v>
      </c>
      <c r="E1247" t="s">
        <v>1725</v>
      </c>
      <c r="F1247" t="s">
        <v>14</v>
      </c>
      <c r="G1247" t="s">
        <v>21</v>
      </c>
      <c r="H1247" t="s">
        <v>22</v>
      </c>
      <c r="I1247" t="s">
        <v>2001</v>
      </c>
      <c r="J1247" t="s">
        <v>1899</v>
      </c>
      <c r="K1247" t="str">
        <f t="shared" si="171"/>
        <v>1237.1</v>
      </c>
      <c r="N1247" t="str">
        <f t="shared" si="172"/>
        <v>HOLDING REGISTER</v>
      </c>
      <c r="O1247" t="str">
        <f t="shared" si="173"/>
        <v>BOOL</v>
      </c>
      <c r="P1247" t="str">
        <f t="shared" si="174"/>
        <v>TELECAMERA T11S</v>
      </c>
      <c r="R1247" t="str">
        <f t="shared" si="175"/>
        <v>MANOMISSIONE</v>
      </c>
      <c r="U1247" t="str">
        <f t="shared" si="176"/>
        <v>Stato</v>
      </c>
      <c r="V1247" t="str">
        <f t="shared" si="177"/>
        <v>DIREZIONE SUD</v>
      </c>
      <c r="W1247" t="str">
        <f t="shared" si="178"/>
        <v>GALLERIA SAN GIULIANO</v>
      </c>
      <c r="Z1247" t="str">
        <f t="shared" si="179"/>
        <v>10.220.80.16</v>
      </c>
    </row>
    <row r="1248" spans="1:26" x14ac:dyDescent="0.25">
      <c r="A1248" t="s">
        <v>10</v>
      </c>
      <c r="B1248" t="s">
        <v>1063</v>
      </c>
      <c r="C1248" t="s">
        <v>1618</v>
      </c>
      <c r="D1248" t="s">
        <v>1619</v>
      </c>
      <c r="E1248" t="s">
        <v>1725</v>
      </c>
      <c r="F1248" t="s">
        <v>14</v>
      </c>
      <c r="G1248" t="s">
        <v>21</v>
      </c>
      <c r="H1248" t="s">
        <v>22</v>
      </c>
      <c r="I1248" t="s">
        <v>2002</v>
      </c>
      <c r="J1248" t="s">
        <v>1375</v>
      </c>
      <c r="K1248" t="str">
        <f t="shared" si="171"/>
        <v>1237.2</v>
      </c>
      <c r="N1248" t="str">
        <f t="shared" si="172"/>
        <v>HOLDING REGISTER</v>
      </c>
      <c r="O1248" t="str">
        <f t="shared" si="173"/>
        <v>BOOL</v>
      </c>
      <c r="P1248" t="str">
        <f t="shared" si="174"/>
        <v>TELECAMERA T11S</v>
      </c>
      <c r="R1248" t="str">
        <f t="shared" si="175"/>
        <v>disponibile</v>
      </c>
      <c r="U1248" t="str">
        <f t="shared" si="176"/>
        <v>Stato</v>
      </c>
      <c r="V1248" t="str">
        <f t="shared" si="177"/>
        <v>DIREZIONE SUD</v>
      </c>
      <c r="W1248" t="str">
        <f t="shared" si="178"/>
        <v>GALLERIA SAN GIULIANO</v>
      </c>
      <c r="Z1248" t="str">
        <f t="shared" si="179"/>
        <v>10.220.80.16</v>
      </c>
    </row>
    <row r="1249" spans="1:26" x14ac:dyDescent="0.25">
      <c r="A1249" t="s">
        <v>10</v>
      </c>
      <c r="B1249" t="s">
        <v>1063</v>
      </c>
      <c r="C1249" t="s">
        <v>1618</v>
      </c>
      <c r="D1249" t="s">
        <v>1619</v>
      </c>
      <c r="E1249" t="s">
        <v>1725</v>
      </c>
      <c r="F1249" t="s">
        <v>14</v>
      </c>
      <c r="G1249" t="s">
        <v>1375</v>
      </c>
      <c r="H1249" t="s">
        <v>22</v>
      </c>
      <c r="I1249" t="s">
        <v>2003</v>
      </c>
      <c r="J1249" t="s">
        <v>1902</v>
      </c>
      <c r="K1249" t="str">
        <f t="shared" si="171"/>
        <v>1237.3</v>
      </c>
      <c r="N1249" t="str">
        <f t="shared" si="172"/>
        <v>HOLDING REGISTER</v>
      </c>
      <c r="O1249" t="str">
        <f t="shared" si="173"/>
        <v>BOOL</v>
      </c>
      <c r="P1249" t="str">
        <f t="shared" si="174"/>
        <v>TELECAMERA T11S</v>
      </c>
      <c r="R1249" t="str">
        <f t="shared" si="175"/>
        <v>VEICOLO FERMO</v>
      </c>
      <c r="U1249" t="str">
        <f t="shared" si="176"/>
        <v>disponibile</v>
      </c>
      <c r="V1249" t="str">
        <f t="shared" si="177"/>
        <v>DIREZIONE SUD</v>
      </c>
      <c r="W1249" t="str">
        <f t="shared" si="178"/>
        <v>GALLERIA SAN GIULIANO</v>
      </c>
      <c r="Z1249" t="str">
        <f t="shared" si="179"/>
        <v>10.220.80.16</v>
      </c>
    </row>
    <row r="1250" spans="1:26" x14ac:dyDescent="0.25">
      <c r="A1250" t="s">
        <v>10</v>
      </c>
      <c r="B1250" t="s">
        <v>1063</v>
      </c>
      <c r="C1250" t="s">
        <v>1618</v>
      </c>
      <c r="D1250" t="s">
        <v>1619</v>
      </c>
      <c r="E1250" t="s">
        <v>1725</v>
      </c>
      <c r="F1250" t="s">
        <v>14</v>
      </c>
      <c r="G1250" t="s">
        <v>1375</v>
      </c>
      <c r="H1250" t="s">
        <v>22</v>
      </c>
      <c r="I1250" t="s">
        <v>2004</v>
      </c>
      <c r="J1250" t="s">
        <v>1904</v>
      </c>
      <c r="K1250" t="str">
        <f t="shared" si="171"/>
        <v>1237.4</v>
      </c>
      <c r="N1250" t="str">
        <f t="shared" si="172"/>
        <v>HOLDING REGISTER</v>
      </c>
      <c r="O1250" t="str">
        <f t="shared" si="173"/>
        <v>BOOL</v>
      </c>
      <c r="P1250" t="str">
        <f t="shared" si="174"/>
        <v>TELECAMERA T11S</v>
      </c>
      <c r="R1250" t="str">
        <f t="shared" si="175"/>
        <v>CARICO DISPERSO</v>
      </c>
      <c r="U1250" t="str">
        <f t="shared" si="176"/>
        <v>disponibile</v>
      </c>
      <c r="V1250" t="str">
        <f t="shared" si="177"/>
        <v>DIREZIONE SUD</v>
      </c>
      <c r="W1250" t="str">
        <f t="shared" si="178"/>
        <v>GALLERIA SAN GIULIANO</v>
      </c>
      <c r="Z1250" t="str">
        <f t="shared" si="179"/>
        <v>10.220.80.16</v>
      </c>
    </row>
    <row r="1251" spans="1:26" x14ac:dyDescent="0.25">
      <c r="A1251" t="s">
        <v>10</v>
      </c>
      <c r="B1251" t="s">
        <v>1063</v>
      </c>
      <c r="C1251" t="s">
        <v>1618</v>
      </c>
      <c r="D1251" t="s">
        <v>1619</v>
      </c>
      <c r="E1251" t="s">
        <v>1725</v>
      </c>
      <c r="F1251" t="s">
        <v>14</v>
      </c>
      <c r="G1251" t="s">
        <v>1375</v>
      </c>
      <c r="H1251" t="s">
        <v>22</v>
      </c>
      <c r="I1251" t="s">
        <v>2005</v>
      </c>
      <c r="J1251" t="s">
        <v>1375</v>
      </c>
      <c r="K1251" t="str">
        <f t="shared" si="171"/>
        <v>1237.5</v>
      </c>
      <c r="N1251" t="str">
        <f t="shared" si="172"/>
        <v>HOLDING REGISTER</v>
      </c>
      <c r="O1251" t="str">
        <f t="shared" si="173"/>
        <v>BOOL</v>
      </c>
      <c r="P1251" t="str">
        <f t="shared" si="174"/>
        <v>TELECAMERA T11S</v>
      </c>
      <c r="R1251" t="str">
        <f t="shared" si="175"/>
        <v>disponibile</v>
      </c>
      <c r="U1251" t="str">
        <f t="shared" si="176"/>
        <v>disponibile</v>
      </c>
      <c r="V1251" t="str">
        <f t="shared" si="177"/>
        <v>DIREZIONE SUD</v>
      </c>
      <c r="W1251" t="str">
        <f t="shared" si="178"/>
        <v>GALLERIA SAN GIULIANO</v>
      </c>
      <c r="Z1251" t="str">
        <f t="shared" si="179"/>
        <v>10.220.80.16</v>
      </c>
    </row>
    <row r="1252" spans="1:26" x14ac:dyDescent="0.25">
      <c r="A1252" t="s">
        <v>10</v>
      </c>
      <c r="B1252" t="s">
        <v>1063</v>
      </c>
      <c r="C1252" t="s">
        <v>1618</v>
      </c>
      <c r="D1252" t="s">
        <v>1619</v>
      </c>
      <c r="E1252" t="s">
        <v>1725</v>
      </c>
      <c r="F1252" t="s">
        <v>14</v>
      </c>
      <c r="G1252" t="s">
        <v>1375</v>
      </c>
      <c r="H1252" t="s">
        <v>22</v>
      </c>
      <c r="I1252" t="s">
        <v>2006</v>
      </c>
      <c r="J1252" t="s">
        <v>1907</v>
      </c>
      <c r="K1252" t="str">
        <f t="shared" si="171"/>
        <v>1237.6</v>
      </c>
      <c r="N1252" t="str">
        <f t="shared" si="172"/>
        <v>HOLDING REGISTER</v>
      </c>
      <c r="O1252" t="str">
        <f t="shared" si="173"/>
        <v>BOOL</v>
      </c>
      <c r="P1252" t="str">
        <f t="shared" si="174"/>
        <v>TELECAMERA T11S</v>
      </c>
      <c r="R1252" t="str">
        <f t="shared" si="175"/>
        <v>PEDONE</v>
      </c>
      <c r="U1252" t="str">
        <f t="shared" si="176"/>
        <v>disponibile</v>
      </c>
      <c r="V1252" t="str">
        <f t="shared" si="177"/>
        <v>DIREZIONE SUD</v>
      </c>
      <c r="W1252" t="str">
        <f t="shared" si="178"/>
        <v>GALLERIA SAN GIULIANO</v>
      </c>
      <c r="Z1252" t="str">
        <f t="shared" si="179"/>
        <v>10.220.80.16</v>
      </c>
    </row>
    <row r="1253" spans="1:26" x14ac:dyDescent="0.25">
      <c r="A1253" t="s">
        <v>10</v>
      </c>
      <c r="B1253" t="s">
        <v>1063</v>
      </c>
      <c r="C1253" t="s">
        <v>1618</v>
      </c>
      <c r="D1253" t="s">
        <v>1619</v>
      </c>
      <c r="E1253" t="s">
        <v>1725</v>
      </c>
      <c r="F1253" t="s">
        <v>14</v>
      </c>
      <c r="G1253" t="s">
        <v>1375</v>
      </c>
      <c r="H1253" t="s">
        <v>22</v>
      </c>
      <c r="I1253" t="s">
        <v>2007</v>
      </c>
      <c r="J1253" t="s">
        <v>1909</v>
      </c>
      <c r="K1253" t="str">
        <f t="shared" si="171"/>
        <v>1237.7</v>
      </c>
      <c r="N1253" t="str">
        <f t="shared" si="172"/>
        <v>HOLDING REGISTER</v>
      </c>
      <c r="O1253" t="str">
        <f t="shared" si="173"/>
        <v>BOOL</v>
      </c>
      <c r="P1253" t="str">
        <f t="shared" si="174"/>
        <v>TELECAMERA T11S</v>
      </c>
      <c r="R1253" t="str">
        <f t="shared" si="175"/>
        <v>FUMO</v>
      </c>
      <c r="U1253" t="str">
        <f t="shared" si="176"/>
        <v>disponibile</v>
      </c>
      <c r="V1253" t="str">
        <f t="shared" si="177"/>
        <v>DIREZIONE SUD</v>
      </c>
      <c r="W1253" t="str">
        <f t="shared" si="178"/>
        <v>GALLERIA SAN GIULIANO</v>
      </c>
      <c r="Z1253" t="str">
        <f t="shared" si="179"/>
        <v>10.220.80.16</v>
      </c>
    </row>
    <row r="1254" spans="1:26" x14ac:dyDescent="0.25">
      <c r="A1254" t="s">
        <v>10</v>
      </c>
      <c r="B1254" t="s">
        <v>1063</v>
      </c>
      <c r="C1254" t="s">
        <v>1618</v>
      </c>
      <c r="D1254" t="s">
        <v>1619</v>
      </c>
      <c r="E1254" t="s">
        <v>1725</v>
      </c>
      <c r="F1254" t="s">
        <v>14</v>
      </c>
      <c r="G1254" t="s">
        <v>1375</v>
      </c>
      <c r="H1254" t="s">
        <v>22</v>
      </c>
      <c r="I1254" t="s">
        <v>2008</v>
      </c>
      <c r="J1254" t="s">
        <v>1911</v>
      </c>
      <c r="K1254" t="str">
        <f t="shared" si="171"/>
        <v>1237.8</v>
      </c>
      <c r="N1254" t="str">
        <f t="shared" si="172"/>
        <v>HOLDING REGISTER</v>
      </c>
      <c r="O1254" t="str">
        <f t="shared" si="173"/>
        <v>BOOL</v>
      </c>
      <c r="P1254" t="str">
        <f t="shared" si="174"/>
        <v>TELECAMERA T11S</v>
      </c>
      <c r="R1254" t="str">
        <f t="shared" si="175"/>
        <v>RALLENTAMENTI</v>
      </c>
      <c r="U1254" t="str">
        <f t="shared" si="176"/>
        <v>disponibile</v>
      </c>
      <c r="V1254" t="str">
        <f t="shared" si="177"/>
        <v>DIREZIONE SUD</v>
      </c>
      <c r="W1254" t="str">
        <f t="shared" si="178"/>
        <v>GALLERIA SAN GIULIANO</v>
      </c>
      <c r="Z1254" t="str">
        <f t="shared" si="179"/>
        <v>10.220.80.16</v>
      </c>
    </row>
    <row r="1255" spans="1:26" x14ac:dyDescent="0.25">
      <c r="A1255" t="s">
        <v>10</v>
      </c>
      <c r="B1255" t="s">
        <v>1063</v>
      </c>
      <c r="C1255" t="s">
        <v>1618</v>
      </c>
      <c r="D1255" t="s">
        <v>1619</v>
      </c>
      <c r="E1255" t="s">
        <v>1725</v>
      </c>
      <c r="F1255" t="s">
        <v>14</v>
      </c>
      <c r="G1255" t="s">
        <v>1375</v>
      </c>
      <c r="H1255" t="s">
        <v>22</v>
      </c>
      <c r="I1255" t="s">
        <v>2009</v>
      </c>
      <c r="J1255" t="s">
        <v>1913</v>
      </c>
      <c r="K1255" t="str">
        <f t="shared" si="171"/>
        <v>1237.9</v>
      </c>
      <c r="N1255" t="str">
        <f t="shared" si="172"/>
        <v>HOLDING REGISTER</v>
      </c>
      <c r="O1255" t="str">
        <f t="shared" si="173"/>
        <v>BOOL</v>
      </c>
      <c r="P1255" t="str">
        <f t="shared" si="174"/>
        <v>TELECAMERA T11S</v>
      </c>
      <c r="R1255" t="str">
        <f t="shared" si="175"/>
        <v>CODA IN GALLERIA</v>
      </c>
      <c r="U1255" t="str">
        <f t="shared" si="176"/>
        <v>disponibile</v>
      </c>
      <c r="V1255" t="str">
        <f t="shared" si="177"/>
        <v>DIREZIONE SUD</v>
      </c>
      <c r="W1255" t="str">
        <f t="shared" si="178"/>
        <v>GALLERIA SAN GIULIANO</v>
      </c>
      <c r="Z1255" t="str">
        <f t="shared" si="179"/>
        <v>10.220.80.16</v>
      </c>
    </row>
    <row r="1256" spans="1:26" x14ac:dyDescent="0.25">
      <c r="A1256" t="s">
        <v>10</v>
      </c>
      <c r="B1256" t="s">
        <v>1063</v>
      </c>
      <c r="C1256" t="s">
        <v>1618</v>
      </c>
      <c r="D1256" t="s">
        <v>1619</v>
      </c>
      <c r="E1256" t="s">
        <v>1725</v>
      </c>
      <c r="F1256" t="s">
        <v>14</v>
      </c>
      <c r="G1256" t="s">
        <v>1375</v>
      </c>
      <c r="H1256" t="s">
        <v>22</v>
      </c>
      <c r="I1256" t="s">
        <v>2010</v>
      </c>
      <c r="J1256" t="s">
        <v>1375</v>
      </c>
      <c r="K1256" t="str">
        <f t="shared" si="171"/>
        <v>1237.10</v>
      </c>
      <c r="N1256" t="str">
        <f t="shared" si="172"/>
        <v>HOLDING REGISTER</v>
      </c>
      <c r="O1256" t="str">
        <f t="shared" si="173"/>
        <v>BOOL</v>
      </c>
      <c r="P1256" t="str">
        <f t="shared" si="174"/>
        <v>TELECAMERA T11S</v>
      </c>
      <c r="R1256" t="str">
        <f t="shared" si="175"/>
        <v>disponibile</v>
      </c>
      <c r="U1256" t="str">
        <f t="shared" si="176"/>
        <v>disponibile</v>
      </c>
      <c r="V1256" t="str">
        <f t="shared" si="177"/>
        <v>DIREZIONE SUD</v>
      </c>
      <c r="W1256" t="str">
        <f t="shared" si="178"/>
        <v>GALLERIA SAN GIULIANO</v>
      </c>
      <c r="Z1256" t="str">
        <f t="shared" si="179"/>
        <v>10.220.80.16</v>
      </c>
    </row>
    <row r="1257" spans="1:26" x14ac:dyDescent="0.25">
      <c r="A1257" t="s">
        <v>10</v>
      </c>
      <c r="B1257" t="s">
        <v>1063</v>
      </c>
      <c r="C1257" t="s">
        <v>1618</v>
      </c>
      <c r="D1257" t="s">
        <v>1619</v>
      </c>
      <c r="E1257" t="s">
        <v>1725</v>
      </c>
      <c r="F1257" t="s">
        <v>14</v>
      </c>
      <c r="G1257" t="s">
        <v>1375</v>
      </c>
      <c r="H1257" t="s">
        <v>22</v>
      </c>
      <c r="I1257" t="s">
        <v>2011</v>
      </c>
      <c r="J1257" t="s">
        <v>1375</v>
      </c>
      <c r="K1257" t="str">
        <f t="shared" si="171"/>
        <v>1237.11</v>
      </c>
      <c r="N1257" t="str">
        <f t="shared" si="172"/>
        <v>HOLDING REGISTER</v>
      </c>
      <c r="O1257" t="str">
        <f t="shared" si="173"/>
        <v>BOOL</v>
      </c>
      <c r="P1257" t="str">
        <f t="shared" si="174"/>
        <v>TELECAMERA T11S</v>
      </c>
      <c r="R1257" t="str">
        <f t="shared" si="175"/>
        <v>disponibile</v>
      </c>
      <c r="U1257" t="str">
        <f t="shared" si="176"/>
        <v>disponibile</v>
      </c>
      <c r="V1257" t="str">
        <f t="shared" si="177"/>
        <v>DIREZIONE SUD</v>
      </c>
      <c r="W1257" t="str">
        <f t="shared" si="178"/>
        <v>GALLERIA SAN GIULIANO</v>
      </c>
      <c r="Z1257" t="str">
        <f t="shared" si="179"/>
        <v>10.220.80.16</v>
      </c>
    </row>
    <row r="1258" spans="1:26" x14ac:dyDescent="0.25">
      <c r="A1258" t="s">
        <v>10</v>
      </c>
      <c r="B1258" t="s">
        <v>1063</v>
      </c>
      <c r="C1258" t="s">
        <v>1618</v>
      </c>
      <c r="D1258" t="s">
        <v>1619</v>
      </c>
      <c r="E1258" t="s">
        <v>1725</v>
      </c>
      <c r="F1258" t="s">
        <v>14</v>
      </c>
      <c r="G1258" t="s">
        <v>1375</v>
      </c>
      <c r="H1258" t="s">
        <v>22</v>
      </c>
      <c r="I1258" t="s">
        <v>2012</v>
      </c>
      <c r="J1258" t="s">
        <v>1375</v>
      </c>
      <c r="K1258" t="str">
        <f t="shared" si="171"/>
        <v>1237.12</v>
      </c>
      <c r="N1258" t="str">
        <f t="shared" si="172"/>
        <v>HOLDING REGISTER</v>
      </c>
      <c r="O1258" t="str">
        <f t="shared" si="173"/>
        <v>BOOL</v>
      </c>
      <c r="P1258" t="str">
        <f t="shared" si="174"/>
        <v>TELECAMERA T11S</v>
      </c>
      <c r="R1258" t="str">
        <f t="shared" si="175"/>
        <v>disponibile</v>
      </c>
      <c r="U1258" t="str">
        <f t="shared" si="176"/>
        <v>disponibile</v>
      </c>
      <c r="V1258" t="str">
        <f t="shared" si="177"/>
        <v>DIREZIONE SUD</v>
      </c>
      <c r="W1258" t="str">
        <f t="shared" si="178"/>
        <v>GALLERIA SAN GIULIANO</v>
      </c>
      <c r="Z1258" t="str">
        <f t="shared" si="179"/>
        <v>10.220.80.16</v>
      </c>
    </row>
    <row r="1259" spans="1:26" x14ac:dyDescent="0.25">
      <c r="A1259" t="s">
        <v>10</v>
      </c>
      <c r="B1259" t="s">
        <v>1063</v>
      </c>
      <c r="C1259" t="s">
        <v>1618</v>
      </c>
      <c r="D1259" t="s">
        <v>1619</v>
      </c>
      <c r="E1259" t="s">
        <v>1725</v>
      </c>
      <c r="F1259" t="s">
        <v>14</v>
      </c>
      <c r="G1259" t="s">
        <v>1375</v>
      </c>
      <c r="H1259" t="s">
        <v>22</v>
      </c>
      <c r="I1259" t="s">
        <v>2013</v>
      </c>
      <c r="J1259" t="s">
        <v>1375</v>
      </c>
      <c r="K1259" t="str">
        <f t="shared" si="171"/>
        <v>1237.13</v>
      </c>
      <c r="N1259" t="str">
        <f t="shared" si="172"/>
        <v>HOLDING REGISTER</v>
      </c>
      <c r="O1259" t="str">
        <f t="shared" si="173"/>
        <v>BOOL</v>
      </c>
      <c r="P1259" t="str">
        <f t="shared" si="174"/>
        <v>TELECAMERA T11S</v>
      </c>
      <c r="R1259" t="str">
        <f t="shared" si="175"/>
        <v>disponibile</v>
      </c>
      <c r="U1259" t="str">
        <f t="shared" si="176"/>
        <v>disponibile</v>
      </c>
      <c r="V1259" t="str">
        <f t="shared" si="177"/>
        <v>DIREZIONE SUD</v>
      </c>
      <c r="W1259" t="str">
        <f t="shared" si="178"/>
        <v>GALLERIA SAN GIULIANO</v>
      </c>
      <c r="Z1259" t="str">
        <f t="shared" si="179"/>
        <v>10.220.80.16</v>
      </c>
    </row>
    <row r="1260" spans="1:26" x14ac:dyDescent="0.25">
      <c r="A1260" t="s">
        <v>10</v>
      </c>
      <c r="B1260" t="s">
        <v>1063</v>
      </c>
      <c r="C1260" t="s">
        <v>1618</v>
      </c>
      <c r="D1260" t="s">
        <v>1619</v>
      </c>
      <c r="E1260" t="s">
        <v>1725</v>
      </c>
      <c r="F1260" t="s">
        <v>14</v>
      </c>
      <c r="G1260" t="s">
        <v>1375</v>
      </c>
      <c r="H1260" t="s">
        <v>22</v>
      </c>
      <c r="I1260" t="s">
        <v>2014</v>
      </c>
      <c r="J1260" t="s">
        <v>1375</v>
      </c>
      <c r="K1260" t="str">
        <f t="shared" si="171"/>
        <v>1237.14</v>
      </c>
      <c r="N1260" t="str">
        <f t="shared" si="172"/>
        <v>HOLDING REGISTER</v>
      </c>
      <c r="O1260" t="str">
        <f t="shared" si="173"/>
        <v>BOOL</v>
      </c>
      <c r="P1260" t="str">
        <f t="shared" si="174"/>
        <v>TELECAMERA T11S</v>
      </c>
      <c r="R1260" t="str">
        <f t="shared" si="175"/>
        <v>disponibile</v>
      </c>
      <c r="U1260" t="str">
        <f t="shared" si="176"/>
        <v>disponibile</v>
      </c>
      <c r="V1260" t="str">
        <f t="shared" si="177"/>
        <v>DIREZIONE SUD</v>
      </c>
      <c r="W1260" t="str">
        <f t="shared" si="178"/>
        <v>GALLERIA SAN GIULIANO</v>
      </c>
      <c r="Z1260" t="str">
        <f t="shared" si="179"/>
        <v>10.220.80.16</v>
      </c>
    </row>
    <row r="1261" spans="1:26" x14ac:dyDescent="0.25">
      <c r="A1261" t="s">
        <v>10</v>
      </c>
      <c r="B1261" t="s">
        <v>1063</v>
      </c>
      <c r="C1261" t="s">
        <v>1618</v>
      </c>
      <c r="D1261" t="s">
        <v>1619</v>
      </c>
      <c r="E1261" t="s">
        <v>1725</v>
      </c>
      <c r="F1261" t="s">
        <v>14</v>
      </c>
      <c r="G1261" t="s">
        <v>1375</v>
      </c>
      <c r="H1261" t="s">
        <v>22</v>
      </c>
      <c r="I1261" t="s">
        <v>2015</v>
      </c>
      <c r="J1261" t="s">
        <v>1375</v>
      </c>
      <c r="K1261" t="str">
        <f t="shared" si="171"/>
        <v>1237.15</v>
      </c>
      <c r="N1261" t="str">
        <f t="shared" si="172"/>
        <v>HOLDING REGISTER</v>
      </c>
      <c r="O1261" t="str">
        <f t="shared" si="173"/>
        <v>BOOL</v>
      </c>
      <c r="P1261" t="str">
        <f t="shared" si="174"/>
        <v>TELECAMERA T11S</v>
      </c>
      <c r="R1261" t="str">
        <f t="shared" si="175"/>
        <v>disponibile</v>
      </c>
      <c r="U1261" t="str">
        <f t="shared" si="176"/>
        <v>disponibile</v>
      </c>
      <c r="V1261" t="str">
        <f t="shared" si="177"/>
        <v>DIREZIONE SUD</v>
      </c>
      <c r="W1261" t="str">
        <f t="shared" si="178"/>
        <v>GALLERIA SAN GIULIANO</v>
      </c>
      <c r="Z1261" t="str">
        <f t="shared" si="179"/>
        <v>10.220.80.16</v>
      </c>
    </row>
    <row r="1262" spans="1:26" x14ac:dyDescent="0.25">
      <c r="A1262" t="s">
        <v>10</v>
      </c>
      <c r="B1262" t="s">
        <v>1063</v>
      </c>
      <c r="C1262" t="s">
        <v>1618</v>
      </c>
      <c r="D1262" t="s">
        <v>1619</v>
      </c>
      <c r="E1262" t="s">
        <v>1742</v>
      </c>
      <c r="F1262" t="s">
        <v>14</v>
      </c>
      <c r="G1262" t="s">
        <v>21</v>
      </c>
      <c r="H1262" t="s">
        <v>22</v>
      </c>
      <c r="I1262" t="s">
        <v>2016</v>
      </c>
      <c r="J1262" t="s">
        <v>1897</v>
      </c>
      <c r="K1262" t="str">
        <f t="shared" si="171"/>
        <v>1238.0</v>
      </c>
      <c r="N1262" t="str">
        <f t="shared" si="172"/>
        <v>HOLDING REGISTER</v>
      </c>
      <c r="O1262" t="str">
        <f t="shared" si="173"/>
        <v>BOOL</v>
      </c>
      <c r="P1262" t="str">
        <f t="shared" si="174"/>
        <v>TELECAMERA T12S</v>
      </c>
      <c r="R1262" t="str">
        <f t="shared" si="175"/>
        <v>PERDITA SEGNALE VIDEO</v>
      </c>
      <c r="U1262" t="str">
        <f t="shared" si="176"/>
        <v>Stato</v>
      </c>
      <c r="V1262" t="str">
        <f t="shared" si="177"/>
        <v>DIREZIONE SUD</v>
      </c>
      <c r="W1262" t="str">
        <f t="shared" si="178"/>
        <v>GALLERIA SAN GIULIANO</v>
      </c>
      <c r="Z1262" t="str">
        <f t="shared" si="179"/>
        <v>10.220.80.16</v>
      </c>
    </row>
    <row r="1263" spans="1:26" x14ac:dyDescent="0.25">
      <c r="A1263" t="s">
        <v>10</v>
      </c>
      <c r="B1263" t="s">
        <v>1063</v>
      </c>
      <c r="C1263" t="s">
        <v>1618</v>
      </c>
      <c r="D1263" t="s">
        <v>1619</v>
      </c>
      <c r="E1263" t="s">
        <v>1742</v>
      </c>
      <c r="F1263" t="s">
        <v>14</v>
      </c>
      <c r="G1263" t="s">
        <v>21</v>
      </c>
      <c r="H1263" t="s">
        <v>22</v>
      </c>
      <c r="I1263" t="s">
        <v>2017</v>
      </c>
      <c r="J1263" t="s">
        <v>1899</v>
      </c>
      <c r="K1263" t="str">
        <f t="shared" si="171"/>
        <v>1238.1</v>
      </c>
      <c r="N1263" t="str">
        <f t="shared" si="172"/>
        <v>HOLDING REGISTER</v>
      </c>
      <c r="O1263" t="str">
        <f t="shared" si="173"/>
        <v>BOOL</v>
      </c>
      <c r="P1263" t="str">
        <f t="shared" si="174"/>
        <v>TELECAMERA T12S</v>
      </c>
      <c r="R1263" t="str">
        <f t="shared" si="175"/>
        <v>MANOMISSIONE</v>
      </c>
      <c r="U1263" t="str">
        <f t="shared" si="176"/>
        <v>Stato</v>
      </c>
      <c r="V1263" t="str">
        <f t="shared" si="177"/>
        <v>DIREZIONE SUD</v>
      </c>
      <c r="W1263" t="str">
        <f t="shared" si="178"/>
        <v>GALLERIA SAN GIULIANO</v>
      </c>
      <c r="Z1263" t="str">
        <f t="shared" si="179"/>
        <v>10.220.80.16</v>
      </c>
    </row>
    <row r="1264" spans="1:26" x14ac:dyDescent="0.25">
      <c r="A1264" t="s">
        <v>10</v>
      </c>
      <c r="B1264" t="s">
        <v>1063</v>
      </c>
      <c r="C1264" t="s">
        <v>1618</v>
      </c>
      <c r="D1264" t="s">
        <v>1619</v>
      </c>
      <c r="E1264" t="s">
        <v>1742</v>
      </c>
      <c r="F1264" t="s">
        <v>14</v>
      </c>
      <c r="G1264" t="s">
        <v>21</v>
      </c>
      <c r="H1264" t="s">
        <v>22</v>
      </c>
      <c r="I1264" t="s">
        <v>2018</v>
      </c>
      <c r="J1264" t="s">
        <v>1375</v>
      </c>
      <c r="K1264" t="str">
        <f t="shared" si="171"/>
        <v>1238.2</v>
      </c>
      <c r="N1264" t="str">
        <f t="shared" si="172"/>
        <v>HOLDING REGISTER</v>
      </c>
      <c r="O1264" t="str">
        <f t="shared" si="173"/>
        <v>BOOL</v>
      </c>
      <c r="P1264" t="str">
        <f t="shared" si="174"/>
        <v>TELECAMERA T12S</v>
      </c>
      <c r="R1264" t="str">
        <f t="shared" si="175"/>
        <v>disponibile</v>
      </c>
      <c r="U1264" t="str">
        <f t="shared" si="176"/>
        <v>Stato</v>
      </c>
      <c r="V1264" t="str">
        <f t="shared" si="177"/>
        <v>DIREZIONE SUD</v>
      </c>
      <c r="W1264" t="str">
        <f t="shared" si="178"/>
        <v>GALLERIA SAN GIULIANO</v>
      </c>
      <c r="Z1264" t="str">
        <f t="shared" si="179"/>
        <v>10.220.80.16</v>
      </c>
    </row>
    <row r="1265" spans="1:26" x14ac:dyDescent="0.25">
      <c r="A1265" t="s">
        <v>10</v>
      </c>
      <c r="B1265" t="s">
        <v>1063</v>
      </c>
      <c r="C1265" t="s">
        <v>1618</v>
      </c>
      <c r="D1265" t="s">
        <v>1619</v>
      </c>
      <c r="E1265" t="s">
        <v>1742</v>
      </c>
      <c r="F1265" t="s">
        <v>14</v>
      </c>
      <c r="G1265" t="s">
        <v>1375</v>
      </c>
      <c r="H1265" t="s">
        <v>22</v>
      </c>
      <c r="I1265" t="s">
        <v>2019</v>
      </c>
      <c r="J1265" t="s">
        <v>1902</v>
      </c>
      <c r="K1265" t="str">
        <f t="shared" si="171"/>
        <v>1238.3</v>
      </c>
      <c r="N1265" t="str">
        <f t="shared" si="172"/>
        <v>HOLDING REGISTER</v>
      </c>
      <c r="O1265" t="str">
        <f t="shared" si="173"/>
        <v>BOOL</v>
      </c>
      <c r="P1265" t="str">
        <f t="shared" si="174"/>
        <v>TELECAMERA T12S</v>
      </c>
      <c r="R1265" t="str">
        <f t="shared" si="175"/>
        <v>VEICOLO FERMO</v>
      </c>
      <c r="U1265" t="str">
        <f t="shared" si="176"/>
        <v>disponibile</v>
      </c>
      <c r="V1265" t="str">
        <f t="shared" si="177"/>
        <v>DIREZIONE SUD</v>
      </c>
      <c r="W1265" t="str">
        <f t="shared" si="178"/>
        <v>GALLERIA SAN GIULIANO</v>
      </c>
      <c r="Z1265" t="str">
        <f t="shared" si="179"/>
        <v>10.220.80.16</v>
      </c>
    </row>
    <row r="1266" spans="1:26" x14ac:dyDescent="0.25">
      <c r="A1266" t="s">
        <v>10</v>
      </c>
      <c r="B1266" t="s">
        <v>1063</v>
      </c>
      <c r="C1266" t="s">
        <v>1618</v>
      </c>
      <c r="D1266" t="s">
        <v>1619</v>
      </c>
      <c r="E1266" t="s">
        <v>1742</v>
      </c>
      <c r="F1266" t="s">
        <v>14</v>
      </c>
      <c r="G1266" t="s">
        <v>1375</v>
      </c>
      <c r="H1266" t="s">
        <v>22</v>
      </c>
      <c r="I1266" t="s">
        <v>2020</v>
      </c>
      <c r="J1266" t="s">
        <v>1904</v>
      </c>
      <c r="K1266" t="str">
        <f t="shared" si="171"/>
        <v>1238.4</v>
      </c>
      <c r="N1266" t="str">
        <f t="shared" si="172"/>
        <v>HOLDING REGISTER</v>
      </c>
      <c r="O1266" t="str">
        <f t="shared" si="173"/>
        <v>BOOL</v>
      </c>
      <c r="P1266" t="str">
        <f t="shared" si="174"/>
        <v>TELECAMERA T12S</v>
      </c>
      <c r="R1266" t="str">
        <f t="shared" si="175"/>
        <v>CARICO DISPERSO</v>
      </c>
      <c r="U1266" t="str">
        <f t="shared" si="176"/>
        <v>disponibile</v>
      </c>
      <c r="V1266" t="str">
        <f t="shared" si="177"/>
        <v>DIREZIONE SUD</v>
      </c>
      <c r="W1266" t="str">
        <f t="shared" si="178"/>
        <v>GALLERIA SAN GIULIANO</v>
      </c>
      <c r="Z1266" t="str">
        <f t="shared" si="179"/>
        <v>10.220.80.16</v>
      </c>
    </row>
    <row r="1267" spans="1:26" x14ac:dyDescent="0.25">
      <c r="A1267" t="s">
        <v>10</v>
      </c>
      <c r="B1267" t="s">
        <v>1063</v>
      </c>
      <c r="C1267" t="s">
        <v>1618</v>
      </c>
      <c r="D1267" t="s">
        <v>1619</v>
      </c>
      <c r="E1267" t="s">
        <v>1742</v>
      </c>
      <c r="F1267" t="s">
        <v>14</v>
      </c>
      <c r="G1267" t="s">
        <v>1375</v>
      </c>
      <c r="H1267" t="s">
        <v>22</v>
      </c>
      <c r="I1267" t="s">
        <v>2021</v>
      </c>
      <c r="J1267" t="s">
        <v>1375</v>
      </c>
      <c r="K1267" t="str">
        <f t="shared" si="171"/>
        <v>1238.5</v>
      </c>
      <c r="N1267" t="str">
        <f t="shared" si="172"/>
        <v>HOLDING REGISTER</v>
      </c>
      <c r="O1267" t="str">
        <f t="shared" si="173"/>
        <v>BOOL</v>
      </c>
      <c r="P1267" t="str">
        <f t="shared" si="174"/>
        <v>TELECAMERA T12S</v>
      </c>
      <c r="R1267" t="str">
        <f t="shared" si="175"/>
        <v>disponibile</v>
      </c>
      <c r="U1267" t="str">
        <f t="shared" si="176"/>
        <v>disponibile</v>
      </c>
      <c r="V1267" t="str">
        <f t="shared" si="177"/>
        <v>DIREZIONE SUD</v>
      </c>
      <c r="W1267" t="str">
        <f t="shared" si="178"/>
        <v>GALLERIA SAN GIULIANO</v>
      </c>
      <c r="Z1267" t="str">
        <f t="shared" si="179"/>
        <v>10.220.80.16</v>
      </c>
    </row>
    <row r="1268" spans="1:26" x14ac:dyDescent="0.25">
      <c r="A1268" t="s">
        <v>10</v>
      </c>
      <c r="B1268" t="s">
        <v>1063</v>
      </c>
      <c r="C1268" t="s">
        <v>1618</v>
      </c>
      <c r="D1268" t="s">
        <v>1619</v>
      </c>
      <c r="E1268" t="s">
        <v>1742</v>
      </c>
      <c r="F1268" t="s">
        <v>14</v>
      </c>
      <c r="G1268" t="s">
        <v>1375</v>
      </c>
      <c r="H1268" t="s">
        <v>22</v>
      </c>
      <c r="I1268" t="s">
        <v>2022</v>
      </c>
      <c r="J1268" t="s">
        <v>1907</v>
      </c>
      <c r="K1268" t="str">
        <f t="shared" si="171"/>
        <v>1238.6</v>
      </c>
      <c r="N1268" t="str">
        <f t="shared" si="172"/>
        <v>HOLDING REGISTER</v>
      </c>
      <c r="O1268" t="str">
        <f t="shared" si="173"/>
        <v>BOOL</v>
      </c>
      <c r="P1268" t="str">
        <f t="shared" si="174"/>
        <v>TELECAMERA T12S</v>
      </c>
      <c r="R1268" t="str">
        <f t="shared" si="175"/>
        <v>PEDONE</v>
      </c>
      <c r="U1268" t="str">
        <f t="shared" si="176"/>
        <v>disponibile</v>
      </c>
      <c r="V1268" t="str">
        <f t="shared" si="177"/>
        <v>DIREZIONE SUD</v>
      </c>
      <c r="W1268" t="str">
        <f t="shared" si="178"/>
        <v>GALLERIA SAN GIULIANO</v>
      </c>
      <c r="Z1268" t="str">
        <f t="shared" si="179"/>
        <v>10.220.80.16</v>
      </c>
    </row>
    <row r="1269" spans="1:26" x14ac:dyDescent="0.25">
      <c r="A1269" t="s">
        <v>10</v>
      </c>
      <c r="B1269" t="s">
        <v>1063</v>
      </c>
      <c r="C1269" t="s">
        <v>1618</v>
      </c>
      <c r="D1269" t="s">
        <v>1619</v>
      </c>
      <c r="E1269" t="s">
        <v>1742</v>
      </c>
      <c r="F1269" t="s">
        <v>14</v>
      </c>
      <c r="G1269" t="s">
        <v>1375</v>
      </c>
      <c r="H1269" t="s">
        <v>22</v>
      </c>
      <c r="I1269" t="s">
        <v>2023</v>
      </c>
      <c r="J1269" t="s">
        <v>1909</v>
      </c>
      <c r="K1269" t="str">
        <f t="shared" si="171"/>
        <v>1238.7</v>
      </c>
      <c r="N1269" t="str">
        <f t="shared" si="172"/>
        <v>HOLDING REGISTER</v>
      </c>
      <c r="O1269" t="str">
        <f t="shared" si="173"/>
        <v>BOOL</v>
      </c>
      <c r="P1269" t="str">
        <f t="shared" si="174"/>
        <v>TELECAMERA T12S</v>
      </c>
      <c r="R1269" t="str">
        <f t="shared" si="175"/>
        <v>FUMO</v>
      </c>
      <c r="U1269" t="str">
        <f t="shared" si="176"/>
        <v>disponibile</v>
      </c>
      <c r="V1269" t="str">
        <f t="shared" si="177"/>
        <v>DIREZIONE SUD</v>
      </c>
      <c r="W1269" t="str">
        <f t="shared" si="178"/>
        <v>GALLERIA SAN GIULIANO</v>
      </c>
      <c r="Z1269" t="str">
        <f t="shared" si="179"/>
        <v>10.220.80.16</v>
      </c>
    </row>
    <row r="1270" spans="1:26" x14ac:dyDescent="0.25">
      <c r="A1270" t="s">
        <v>10</v>
      </c>
      <c r="B1270" t="s">
        <v>1063</v>
      </c>
      <c r="C1270" t="s">
        <v>1618</v>
      </c>
      <c r="D1270" t="s">
        <v>1619</v>
      </c>
      <c r="E1270" t="s">
        <v>1742</v>
      </c>
      <c r="F1270" t="s">
        <v>14</v>
      </c>
      <c r="G1270" t="s">
        <v>1375</v>
      </c>
      <c r="H1270" t="s">
        <v>22</v>
      </c>
      <c r="I1270" t="s">
        <v>2024</v>
      </c>
      <c r="J1270" t="s">
        <v>1911</v>
      </c>
      <c r="K1270" t="str">
        <f t="shared" si="171"/>
        <v>1238.8</v>
      </c>
      <c r="N1270" t="str">
        <f t="shared" si="172"/>
        <v>HOLDING REGISTER</v>
      </c>
      <c r="O1270" t="str">
        <f t="shared" si="173"/>
        <v>BOOL</v>
      </c>
      <c r="P1270" t="str">
        <f t="shared" si="174"/>
        <v>TELECAMERA T12S</v>
      </c>
      <c r="R1270" t="str">
        <f t="shared" si="175"/>
        <v>RALLENTAMENTI</v>
      </c>
      <c r="U1270" t="str">
        <f t="shared" si="176"/>
        <v>disponibile</v>
      </c>
      <c r="V1270" t="str">
        <f t="shared" si="177"/>
        <v>DIREZIONE SUD</v>
      </c>
      <c r="W1270" t="str">
        <f t="shared" si="178"/>
        <v>GALLERIA SAN GIULIANO</v>
      </c>
      <c r="Z1270" t="str">
        <f t="shared" si="179"/>
        <v>10.220.80.16</v>
      </c>
    </row>
    <row r="1271" spans="1:26" x14ac:dyDescent="0.25">
      <c r="A1271" t="s">
        <v>10</v>
      </c>
      <c r="B1271" t="s">
        <v>1063</v>
      </c>
      <c r="C1271" t="s">
        <v>1618</v>
      </c>
      <c r="D1271" t="s">
        <v>1619</v>
      </c>
      <c r="E1271" t="s">
        <v>1742</v>
      </c>
      <c r="F1271" t="s">
        <v>14</v>
      </c>
      <c r="G1271" t="s">
        <v>1375</v>
      </c>
      <c r="H1271" t="s">
        <v>22</v>
      </c>
      <c r="I1271" t="s">
        <v>2025</v>
      </c>
      <c r="J1271" t="s">
        <v>1913</v>
      </c>
      <c r="K1271" t="str">
        <f t="shared" si="171"/>
        <v>1238.9</v>
      </c>
      <c r="N1271" t="str">
        <f t="shared" si="172"/>
        <v>HOLDING REGISTER</v>
      </c>
      <c r="O1271" t="str">
        <f t="shared" si="173"/>
        <v>BOOL</v>
      </c>
      <c r="P1271" t="str">
        <f t="shared" si="174"/>
        <v>TELECAMERA T12S</v>
      </c>
      <c r="R1271" t="str">
        <f t="shared" si="175"/>
        <v>CODA IN GALLERIA</v>
      </c>
      <c r="U1271" t="str">
        <f t="shared" si="176"/>
        <v>disponibile</v>
      </c>
      <c r="V1271" t="str">
        <f t="shared" si="177"/>
        <v>DIREZIONE SUD</v>
      </c>
      <c r="W1271" t="str">
        <f t="shared" si="178"/>
        <v>GALLERIA SAN GIULIANO</v>
      </c>
      <c r="Z1271" t="str">
        <f t="shared" si="179"/>
        <v>10.220.80.16</v>
      </c>
    </row>
    <row r="1272" spans="1:26" x14ac:dyDescent="0.25">
      <c r="A1272" t="s">
        <v>10</v>
      </c>
      <c r="B1272" t="s">
        <v>1063</v>
      </c>
      <c r="C1272" t="s">
        <v>1618</v>
      </c>
      <c r="D1272" t="s">
        <v>1619</v>
      </c>
      <c r="E1272" t="s">
        <v>1742</v>
      </c>
      <c r="F1272" t="s">
        <v>14</v>
      </c>
      <c r="G1272" t="s">
        <v>1375</v>
      </c>
      <c r="H1272" t="s">
        <v>22</v>
      </c>
      <c r="I1272" t="s">
        <v>2026</v>
      </c>
      <c r="J1272" t="s">
        <v>1375</v>
      </c>
      <c r="K1272" t="str">
        <f t="shared" si="171"/>
        <v>1238.10</v>
      </c>
      <c r="N1272" t="str">
        <f t="shared" si="172"/>
        <v>HOLDING REGISTER</v>
      </c>
      <c r="O1272" t="str">
        <f t="shared" si="173"/>
        <v>BOOL</v>
      </c>
      <c r="P1272" t="str">
        <f t="shared" si="174"/>
        <v>TELECAMERA T12S</v>
      </c>
      <c r="R1272" t="str">
        <f t="shared" si="175"/>
        <v>disponibile</v>
      </c>
      <c r="U1272" t="str">
        <f t="shared" si="176"/>
        <v>disponibile</v>
      </c>
      <c r="V1272" t="str">
        <f t="shared" si="177"/>
        <v>DIREZIONE SUD</v>
      </c>
      <c r="W1272" t="str">
        <f t="shared" si="178"/>
        <v>GALLERIA SAN GIULIANO</v>
      </c>
      <c r="Z1272" t="str">
        <f t="shared" si="179"/>
        <v>10.220.80.16</v>
      </c>
    </row>
    <row r="1273" spans="1:26" x14ac:dyDescent="0.25">
      <c r="A1273" t="s">
        <v>10</v>
      </c>
      <c r="B1273" t="s">
        <v>1063</v>
      </c>
      <c r="C1273" t="s">
        <v>1618</v>
      </c>
      <c r="D1273" t="s">
        <v>1619</v>
      </c>
      <c r="E1273" t="s">
        <v>1742</v>
      </c>
      <c r="F1273" t="s">
        <v>14</v>
      </c>
      <c r="G1273" t="s">
        <v>1375</v>
      </c>
      <c r="H1273" t="s">
        <v>22</v>
      </c>
      <c r="I1273" t="s">
        <v>2027</v>
      </c>
      <c r="J1273" t="s">
        <v>1375</v>
      </c>
      <c r="K1273" t="str">
        <f t="shared" si="171"/>
        <v>1238.11</v>
      </c>
      <c r="N1273" t="str">
        <f t="shared" si="172"/>
        <v>HOLDING REGISTER</v>
      </c>
      <c r="O1273" t="str">
        <f t="shared" si="173"/>
        <v>BOOL</v>
      </c>
      <c r="P1273" t="str">
        <f t="shared" si="174"/>
        <v>TELECAMERA T12S</v>
      </c>
      <c r="R1273" t="str">
        <f t="shared" si="175"/>
        <v>disponibile</v>
      </c>
      <c r="U1273" t="str">
        <f t="shared" si="176"/>
        <v>disponibile</v>
      </c>
      <c r="V1273" t="str">
        <f t="shared" si="177"/>
        <v>DIREZIONE SUD</v>
      </c>
      <c r="W1273" t="str">
        <f t="shared" si="178"/>
        <v>GALLERIA SAN GIULIANO</v>
      </c>
      <c r="Z1273" t="str">
        <f t="shared" si="179"/>
        <v>10.220.80.16</v>
      </c>
    </row>
    <row r="1274" spans="1:26" x14ac:dyDescent="0.25">
      <c r="A1274" t="s">
        <v>10</v>
      </c>
      <c r="B1274" t="s">
        <v>1063</v>
      </c>
      <c r="C1274" t="s">
        <v>1618</v>
      </c>
      <c r="D1274" t="s">
        <v>1619</v>
      </c>
      <c r="E1274" t="s">
        <v>1742</v>
      </c>
      <c r="F1274" t="s">
        <v>14</v>
      </c>
      <c r="G1274" t="s">
        <v>1375</v>
      </c>
      <c r="H1274" t="s">
        <v>22</v>
      </c>
      <c r="I1274" t="s">
        <v>2028</v>
      </c>
      <c r="J1274" t="s">
        <v>1375</v>
      </c>
      <c r="K1274" t="str">
        <f t="shared" si="171"/>
        <v>1238.12</v>
      </c>
      <c r="N1274" t="str">
        <f t="shared" si="172"/>
        <v>HOLDING REGISTER</v>
      </c>
      <c r="O1274" t="str">
        <f t="shared" si="173"/>
        <v>BOOL</v>
      </c>
      <c r="P1274" t="str">
        <f t="shared" si="174"/>
        <v>TELECAMERA T12S</v>
      </c>
      <c r="R1274" t="str">
        <f t="shared" si="175"/>
        <v>disponibile</v>
      </c>
      <c r="U1274" t="str">
        <f t="shared" si="176"/>
        <v>disponibile</v>
      </c>
      <c r="V1274" t="str">
        <f t="shared" si="177"/>
        <v>DIREZIONE SUD</v>
      </c>
      <c r="W1274" t="str">
        <f t="shared" si="178"/>
        <v>GALLERIA SAN GIULIANO</v>
      </c>
      <c r="Z1274" t="str">
        <f t="shared" si="179"/>
        <v>10.220.80.16</v>
      </c>
    </row>
    <row r="1275" spans="1:26" x14ac:dyDescent="0.25">
      <c r="A1275" t="s">
        <v>10</v>
      </c>
      <c r="B1275" t="s">
        <v>1063</v>
      </c>
      <c r="C1275" t="s">
        <v>1618</v>
      </c>
      <c r="D1275" t="s">
        <v>1619</v>
      </c>
      <c r="E1275" t="s">
        <v>1742</v>
      </c>
      <c r="F1275" t="s">
        <v>14</v>
      </c>
      <c r="G1275" t="s">
        <v>1375</v>
      </c>
      <c r="H1275" t="s">
        <v>22</v>
      </c>
      <c r="I1275" t="s">
        <v>2029</v>
      </c>
      <c r="J1275" t="s">
        <v>1375</v>
      </c>
      <c r="K1275" t="str">
        <f t="shared" si="171"/>
        <v>1238.13</v>
      </c>
      <c r="N1275" t="str">
        <f t="shared" si="172"/>
        <v>HOLDING REGISTER</v>
      </c>
      <c r="O1275" t="str">
        <f t="shared" si="173"/>
        <v>BOOL</v>
      </c>
      <c r="P1275" t="str">
        <f t="shared" si="174"/>
        <v>TELECAMERA T12S</v>
      </c>
      <c r="R1275" t="str">
        <f t="shared" si="175"/>
        <v>disponibile</v>
      </c>
      <c r="U1275" t="str">
        <f t="shared" si="176"/>
        <v>disponibile</v>
      </c>
      <c r="V1275" t="str">
        <f t="shared" si="177"/>
        <v>DIREZIONE SUD</v>
      </c>
      <c r="W1275" t="str">
        <f t="shared" si="178"/>
        <v>GALLERIA SAN GIULIANO</v>
      </c>
      <c r="Z1275" t="str">
        <f t="shared" si="179"/>
        <v>10.220.80.16</v>
      </c>
    </row>
    <row r="1276" spans="1:26" x14ac:dyDescent="0.25">
      <c r="A1276" t="s">
        <v>10</v>
      </c>
      <c r="B1276" t="s">
        <v>1063</v>
      </c>
      <c r="C1276" t="s">
        <v>1618</v>
      </c>
      <c r="D1276" t="s">
        <v>1619</v>
      </c>
      <c r="E1276" t="s">
        <v>1742</v>
      </c>
      <c r="F1276" t="s">
        <v>14</v>
      </c>
      <c r="G1276" t="s">
        <v>1375</v>
      </c>
      <c r="H1276" t="s">
        <v>22</v>
      </c>
      <c r="I1276" t="s">
        <v>2030</v>
      </c>
      <c r="J1276" t="s">
        <v>1375</v>
      </c>
      <c r="K1276" t="str">
        <f t="shared" si="171"/>
        <v>1238.14</v>
      </c>
      <c r="N1276" t="str">
        <f t="shared" si="172"/>
        <v>HOLDING REGISTER</v>
      </c>
      <c r="O1276" t="str">
        <f t="shared" si="173"/>
        <v>BOOL</v>
      </c>
      <c r="P1276" t="str">
        <f t="shared" si="174"/>
        <v>TELECAMERA T12S</v>
      </c>
      <c r="R1276" t="str">
        <f t="shared" si="175"/>
        <v>disponibile</v>
      </c>
      <c r="U1276" t="str">
        <f t="shared" si="176"/>
        <v>disponibile</v>
      </c>
      <c r="V1276" t="str">
        <f t="shared" si="177"/>
        <v>DIREZIONE SUD</v>
      </c>
      <c r="W1276" t="str">
        <f t="shared" si="178"/>
        <v>GALLERIA SAN GIULIANO</v>
      </c>
      <c r="Z1276" t="str">
        <f t="shared" si="179"/>
        <v>10.220.80.16</v>
      </c>
    </row>
    <row r="1277" spans="1:26" x14ac:dyDescent="0.25">
      <c r="A1277" t="s">
        <v>10</v>
      </c>
      <c r="B1277" t="s">
        <v>1063</v>
      </c>
      <c r="C1277" t="s">
        <v>1618</v>
      </c>
      <c r="D1277" t="s">
        <v>1619</v>
      </c>
      <c r="E1277" t="s">
        <v>1742</v>
      </c>
      <c r="F1277" t="s">
        <v>14</v>
      </c>
      <c r="G1277" t="s">
        <v>1375</v>
      </c>
      <c r="H1277" t="s">
        <v>22</v>
      </c>
      <c r="I1277" t="s">
        <v>2031</v>
      </c>
      <c r="J1277" t="s">
        <v>1375</v>
      </c>
      <c r="K1277" t="str">
        <f t="shared" si="171"/>
        <v>1238.15</v>
      </c>
      <c r="N1277" t="str">
        <f t="shared" si="172"/>
        <v>HOLDING REGISTER</v>
      </c>
      <c r="O1277" t="str">
        <f t="shared" si="173"/>
        <v>BOOL</v>
      </c>
      <c r="P1277" t="str">
        <f t="shared" si="174"/>
        <v>TELECAMERA T12S</v>
      </c>
      <c r="R1277" t="str">
        <f t="shared" si="175"/>
        <v>disponibile</v>
      </c>
      <c r="U1277" t="str">
        <f t="shared" si="176"/>
        <v>disponibile</v>
      </c>
      <c r="V1277" t="str">
        <f t="shared" si="177"/>
        <v>DIREZIONE SUD</v>
      </c>
      <c r="W1277" t="str">
        <f t="shared" si="178"/>
        <v>GALLERIA SAN GIULIANO</v>
      </c>
      <c r="Z1277" t="str">
        <f t="shared" si="179"/>
        <v>10.220.80.16</v>
      </c>
    </row>
    <row r="1278" spans="1:26" x14ac:dyDescent="0.25">
      <c r="A1278" t="s">
        <v>10</v>
      </c>
      <c r="B1278" t="s">
        <v>1063</v>
      </c>
      <c r="C1278" t="s">
        <v>1618</v>
      </c>
      <c r="D1278" t="s">
        <v>1619</v>
      </c>
      <c r="E1278" t="s">
        <v>1759</v>
      </c>
      <c r="F1278" t="s">
        <v>14</v>
      </c>
      <c r="G1278" t="s">
        <v>28</v>
      </c>
      <c r="H1278" t="s">
        <v>22</v>
      </c>
      <c r="I1278" t="s">
        <v>2032</v>
      </c>
      <c r="J1278" t="s">
        <v>1897</v>
      </c>
      <c r="K1278" t="str">
        <f t="shared" si="171"/>
        <v>1239.0</v>
      </c>
      <c r="N1278" t="str">
        <f t="shared" si="172"/>
        <v>HOLDING REGISTER</v>
      </c>
      <c r="O1278" t="str">
        <f t="shared" si="173"/>
        <v>BOOL</v>
      </c>
      <c r="P1278" t="str">
        <f t="shared" si="174"/>
        <v>TELECAMERA T13N</v>
      </c>
      <c r="R1278" t="str">
        <f t="shared" si="175"/>
        <v>PERDITA SEGNALE VIDEO</v>
      </c>
      <c r="U1278" t="str">
        <f t="shared" si="176"/>
        <v>Allarme</v>
      </c>
      <c r="V1278" t="str">
        <f t="shared" si="177"/>
        <v>DIREZIONE SUD</v>
      </c>
      <c r="W1278" t="str">
        <f t="shared" si="178"/>
        <v>GALLERIA SAN GIULIANO</v>
      </c>
      <c r="Z1278" t="str">
        <f t="shared" si="179"/>
        <v>10.220.80.16</v>
      </c>
    </row>
    <row r="1279" spans="1:26" x14ac:dyDescent="0.25">
      <c r="A1279" t="s">
        <v>10</v>
      </c>
      <c r="B1279" t="s">
        <v>1063</v>
      </c>
      <c r="C1279" t="s">
        <v>1761</v>
      </c>
      <c r="D1279" t="s">
        <v>1619</v>
      </c>
      <c r="E1279" t="s">
        <v>1759</v>
      </c>
      <c r="F1279" t="s">
        <v>14</v>
      </c>
      <c r="G1279" t="s">
        <v>28</v>
      </c>
      <c r="H1279" t="s">
        <v>22</v>
      </c>
      <c r="I1279" t="s">
        <v>2033</v>
      </c>
      <c r="J1279" t="s">
        <v>1899</v>
      </c>
      <c r="K1279" t="str">
        <f t="shared" si="171"/>
        <v>1239.1</v>
      </c>
      <c r="N1279" t="str">
        <f t="shared" si="172"/>
        <v>HOLDING REGISTER</v>
      </c>
      <c r="O1279" t="str">
        <f t="shared" si="173"/>
        <v>BOOL</v>
      </c>
      <c r="P1279" t="str">
        <f t="shared" si="174"/>
        <v>TELECAMERA T13N</v>
      </c>
      <c r="R1279" t="str">
        <f t="shared" si="175"/>
        <v>MANOMISSIONE</v>
      </c>
      <c r="U1279" t="str">
        <f t="shared" si="176"/>
        <v>Allarme</v>
      </c>
      <c r="V1279" t="str">
        <f t="shared" si="177"/>
        <v>DIREZIONE NORD</v>
      </c>
      <c r="W1279" t="str">
        <f t="shared" si="178"/>
        <v>GALLERIA SAN GIULIANO</v>
      </c>
      <c r="Z1279" t="str">
        <f t="shared" si="179"/>
        <v>10.220.80.16</v>
      </c>
    </row>
    <row r="1280" spans="1:26" x14ac:dyDescent="0.25">
      <c r="A1280" t="s">
        <v>10</v>
      </c>
      <c r="B1280" t="s">
        <v>1063</v>
      </c>
      <c r="C1280" t="s">
        <v>1761</v>
      </c>
      <c r="D1280" t="s">
        <v>1619</v>
      </c>
      <c r="E1280" t="s">
        <v>1759</v>
      </c>
      <c r="F1280" t="s">
        <v>14</v>
      </c>
      <c r="G1280" t="s">
        <v>1375</v>
      </c>
      <c r="H1280" t="s">
        <v>22</v>
      </c>
      <c r="I1280" t="s">
        <v>2034</v>
      </c>
      <c r="J1280" t="s">
        <v>1375</v>
      </c>
      <c r="K1280" t="str">
        <f t="shared" si="171"/>
        <v>1239.2</v>
      </c>
      <c r="N1280" t="str">
        <f t="shared" si="172"/>
        <v>HOLDING REGISTER</v>
      </c>
      <c r="O1280" t="str">
        <f t="shared" si="173"/>
        <v>BOOL</v>
      </c>
      <c r="P1280" t="str">
        <f t="shared" si="174"/>
        <v>TELECAMERA T13N</v>
      </c>
      <c r="R1280" t="str">
        <f t="shared" si="175"/>
        <v>disponibile</v>
      </c>
      <c r="U1280" t="str">
        <f t="shared" si="176"/>
        <v>disponibile</v>
      </c>
      <c r="V1280" t="str">
        <f t="shared" si="177"/>
        <v>DIREZIONE NORD</v>
      </c>
      <c r="W1280" t="str">
        <f t="shared" si="178"/>
        <v>GALLERIA SAN GIULIANO</v>
      </c>
      <c r="Z1280" t="str">
        <f t="shared" si="179"/>
        <v>10.220.80.16</v>
      </c>
    </row>
    <row r="1281" spans="1:26" x14ac:dyDescent="0.25">
      <c r="A1281" t="s">
        <v>10</v>
      </c>
      <c r="B1281" t="s">
        <v>1063</v>
      </c>
      <c r="C1281" t="s">
        <v>1761</v>
      </c>
      <c r="D1281" t="s">
        <v>1619</v>
      </c>
      <c r="E1281" t="s">
        <v>1759</v>
      </c>
      <c r="F1281" t="s">
        <v>14</v>
      </c>
      <c r="G1281" t="s">
        <v>28</v>
      </c>
      <c r="H1281" t="s">
        <v>22</v>
      </c>
      <c r="I1281" t="s">
        <v>2035</v>
      </c>
      <c r="J1281" t="s">
        <v>1902</v>
      </c>
      <c r="K1281" t="str">
        <f t="shared" si="171"/>
        <v>1239.3</v>
      </c>
      <c r="N1281" t="str">
        <f t="shared" si="172"/>
        <v>HOLDING REGISTER</v>
      </c>
      <c r="O1281" t="str">
        <f t="shared" si="173"/>
        <v>BOOL</v>
      </c>
      <c r="P1281" t="str">
        <f t="shared" si="174"/>
        <v>TELECAMERA T13N</v>
      </c>
      <c r="R1281" t="str">
        <f t="shared" si="175"/>
        <v>VEICOLO FERMO</v>
      </c>
      <c r="U1281" t="str">
        <f t="shared" si="176"/>
        <v>Allarme</v>
      </c>
      <c r="V1281" t="str">
        <f t="shared" si="177"/>
        <v>DIREZIONE NORD</v>
      </c>
      <c r="W1281" t="str">
        <f t="shared" si="178"/>
        <v>GALLERIA SAN GIULIANO</v>
      </c>
      <c r="Z1281" t="str">
        <f t="shared" si="179"/>
        <v>10.220.80.16</v>
      </c>
    </row>
    <row r="1282" spans="1:26" x14ac:dyDescent="0.25">
      <c r="A1282" t="s">
        <v>10</v>
      </c>
      <c r="B1282" t="s">
        <v>1063</v>
      </c>
      <c r="C1282" t="s">
        <v>1761</v>
      </c>
      <c r="D1282" t="s">
        <v>1619</v>
      </c>
      <c r="E1282" t="s">
        <v>1759</v>
      </c>
      <c r="F1282" t="s">
        <v>14</v>
      </c>
      <c r="G1282" t="s">
        <v>28</v>
      </c>
      <c r="H1282" t="s">
        <v>22</v>
      </c>
      <c r="I1282" t="s">
        <v>2036</v>
      </c>
      <c r="J1282" t="s">
        <v>1904</v>
      </c>
      <c r="K1282" t="str">
        <f t="shared" si="171"/>
        <v>1239.4</v>
      </c>
      <c r="N1282" t="str">
        <f t="shared" si="172"/>
        <v>HOLDING REGISTER</v>
      </c>
      <c r="O1282" t="str">
        <f t="shared" si="173"/>
        <v>BOOL</v>
      </c>
      <c r="P1282" t="str">
        <f t="shared" si="174"/>
        <v>TELECAMERA T13N</v>
      </c>
      <c r="R1282" t="str">
        <f t="shared" si="175"/>
        <v>CARICO DISPERSO</v>
      </c>
      <c r="U1282" t="str">
        <f t="shared" si="176"/>
        <v>Allarme</v>
      </c>
      <c r="V1282" t="str">
        <f t="shared" si="177"/>
        <v>DIREZIONE NORD</v>
      </c>
      <c r="W1282" t="str">
        <f t="shared" si="178"/>
        <v>GALLERIA SAN GIULIANO</v>
      </c>
      <c r="Z1282" t="str">
        <f t="shared" si="179"/>
        <v>10.220.80.16</v>
      </c>
    </row>
    <row r="1283" spans="1:26" x14ac:dyDescent="0.25">
      <c r="A1283" t="s">
        <v>10</v>
      </c>
      <c r="B1283" t="s">
        <v>1063</v>
      </c>
      <c r="C1283" t="s">
        <v>1761</v>
      </c>
      <c r="D1283" t="s">
        <v>1619</v>
      </c>
      <c r="E1283" t="s">
        <v>1759</v>
      </c>
      <c r="F1283" t="s">
        <v>14</v>
      </c>
      <c r="G1283" t="s">
        <v>1375</v>
      </c>
      <c r="H1283" t="s">
        <v>22</v>
      </c>
      <c r="I1283" t="s">
        <v>2037</v>
      </c>
      <c r="J1283" t="s">
        <v>1375</v>
      </c>
      <c r="K1283" t="str">
        <f t="shared" ref="K1283:K1346" si="180">IF(I1283="","",I1283)</f>
        <v>1239.5</v>
      </c>
      <c r="N1283" t="str">
        <f t="shared" ref="N1283:N1346" si="181">IF(F1283="","",F1283)</f>
        <v>HOLDING REGISTER</v>
      </c>
      <c r="O1283" t="str">
        <f t="shared" ref="O1283:O1346" si="182">IF(H1283="","",H1283)</f>
        <v>BOOL</v>
      </c>
      <c r="P1283" t="str">
        <f t="shared" ref="P1283:P1346" si="183">_xlfn.CONCAT(D1283," ",E1283)</f>
        <v>TELECAMERA T13N</v>
      </c>
      <c r="R1283" t="str">
        <f t="shared" ref="R1283:R1346" si="184">IF(J1283="","",J1283)</f>
        <v>disponibile</v>
      </c>
      <c r="U1283" t="str">
        <f t="shared" ref="U1283:U1346" si="185">IF(G1283="","",G1283)</f>
        <v>disponibile</v>
      </c>
      <c r="V1283" t="str">
        <f t="shared" ref="V1283:V1346" si="186">IF(C1283="","",C1283)</f>
        <v>DIREZIONE NORD</v>
      </c>
      <c r="W1283" t="str">
        <f t="shared" ref="W1283:W1346" si="187">IF(B1283="","",B1283)</f>
        <v>GALLERIA SAN GIULIANO</v>
      </c>
      <c r="Z1283" t="str">
        <f t="shared" ref="Z1283:Z1346" si="188">IF(A1283="","",A1283)</f>
        <v>10.220.80.16</v>
      </c>
    </row>
    <row r="1284" spans="1:26" x14ac:dyDescent="0.25">
      <c r="A1284" t="s">
        <v>10</v>
      </c>
      <c r="B1284" t="s">
        <v>1063</v>
      </c>
      <c r="C1284" t="s">
        <v>1761</v>
      </c>
      <c r="D1284" t="s">
        <v>1619</v>
      </c>
      <c r="E1284" t="s">
        <v>1759</v>
      </c>
      <c r="F1284" t="s">
        <v>14</v>
      </c>
      <c r="G1284" t="s">
        <v>28</v>
      </c>
      <c r="H1284" t="s">
        <v>22</v>
      </c>
      <c r="I1284" t="s">
        <v>2038</v>
      </c>
      <c r="J1284" t="s">
        <v>1907</v>
      </c>
      <c r="K1284" t="str">
        <f t="shared" si="180"/>
        <v>1239.6</v>
      </c>
      <c r="N1284" t="str">
        <f t="shared" si="181"/>
        <v>HOLDING REGISTER</v>
      </c>
      <c r="O1284" t="str">
        <f t="shared" si="182"/>
        <v>BOOL</v>
      </c>
      <c r="P1284" t="str">
        <f t="shared" si="183"/>
        <v>TELECAMERA T13N</v>
      </c>
      <c r="R1284" t="str">
        <f t="shared" si="184"/>
        <v>PEDONE</v>
      </c>
      <c r="U1284" t="str">
        <f t="shared" si="185"/>
        <v>Allarme</v>
      </c>
      <c r="V1284" t="str">
        <f t="shared" si="186"/>
        <v>DIREZIONE NORD</v>
      </c>
      <c r="W1284" t="str">
        <f t="shared" si="187"/>
        <v>GALLERIA SAN GIULIANO</v>
      </c>
      <c r="Z1284" t="str">
        <f t="shared" si="188"/>
        <v>10.220.80.16</v>
      </c>
    </row>
    <row r="1285" spans="1:26" x14ac:dyDescent="0.25">
      <c r="A1285" t="s">
        <v>10</v>
      </c>
      <c r="B1285" t="s">
        <v>1063</v>
      </c>
      <c r="C1285" t="s">
        <v>1761</v>
      </c>
      <c r="D1285" t="s">
        <v>1619</v>
      </c>
      <c r="E1285" t="s">
        <v>1759</v>
      </c>
      <c r="F1285" t="s">
        <v>14</v>
      </c>
      <c r="G1285" t="s">
        <v>28</v>
      </c>
      <c r="H1285" t="s">
        <v>22</v>
      </c>
      <c r="I1285" t="s">
        <v>2039</v>
      </c>
      <c r="J1285" t="s">
        <v>1909</v>
      </c>
      <c r="K1285" t="str">
        <f t="shared" si="180"/>
        <v>1239.7</v>
      </c>
      <c r="N1285" t="str">
        <f t="shared" si="181"/>
        <v>HOLDING REGISTER</v>
      </c>
      <c r="O1285" t="str">
        <f t="shared" si="182"/>
        <v>BOOL</v>
      </c>
      <c r="P1285" t="str">
        <f t="shared" si="183"/>
        <v>TELECAMERA T13N</v>
      </c>
      <c r="R1285" t="str">
        <f t="shared" si="184"/>
        <v>FUMO</v>
      </c>
      <c r="U1285" t="str">
        <f t="shared" si="185"/>
        <v>Allarme</v>
      </c>
      <c r="V1285" t="str">
        <f t="shared" si="186"/>
        <v>DIREZIONE NORD</v>
      </c>
      <c r="W1285" t="str">
        <f t="shared" si="187"/>
        <v>GALLERIA SAN GIULIANO</v>
      </c>
      <c r="Z1285" t="str">
        <f t="shared" si="188"/>
        <v>10.220.80.16</v>
      </c>
    </row>
    <row r="1286" spans="1:26" x14ac:dyDescent="0.25">
      <c r="A1286" t="s">
        <v>10</v>
      </c>
      <c r="B1286" t="s">
        <v>1063</v>
      </c>
      <c r="C1286" t="s">
        <v>1761</v>
      </c>
      <c r="D1286" t="s">
        <v>1619</v>
      </c>
      <c r="E1286" t="s">
        <v>1759</v>
      </c>
      <c r="F1286" t="s">
        <v>14</v>
      </c>
      <c r="G1286" t="s">
        <v>28</v>
      </c>
      <c r="H1286" t="s">
        <v>22</v>
      </c>
      <c r="I1286" t="s">
        <v>2040</v>
      </c>
      <c r="J1286" t="s">
        <v>1911</v>
      </c>
      <c r="K1286" t="str">
        <f t="shared" si="180"/>
        <v>1239.8</v>
      </c>
      <c r="N1286" t="str">
        <f t="shared" si="181"/>
        <v>HOLDING REGISTER</v>
      </c>
      <c r="O1286" t="str">
        <f t="shared" si="182"/>
        <v>BOOL</v>
      </c>
      <c r="P1286" t="str">
        <f t="shared" si="183"/>
        <v>TELECAMERA T13N</v>
      </c>
      <c r="R1286" t="str">
        <f t="shared" si="184"/>
        <v>RALLENTAMENTI</v>
      </c>
      <c r="U1286" t="str">
        <f t="shared" si="185"/>
        <v>Allarme</v>
      </c>
      <c r="V1286" t="str">
        <f t="shared" si="186"/>
        <v>DIREZIONE NORD</v>
      </c>
      <c r="W1286" t="str">
        <f t="shared" si="187"/>
        <v>GALLERIA SAN GIULIANO</v>
      </c>
      <c r="Z1286" t="str">
        <f t="shared" si="188"/>
        <v>10.220.80.16</v>
      </c>
    </row>
    <row r="1287" spans="1:26" x14ac:dyDescent="0.25">
      <c r="A1287" t="s">
        <v>10</v>
      </c>
      <c r="B1287" t="s">
        <v>1063</v>
      </c>
      <c r="C1287" t="s">
        <v>1761</v>
      </c>
      <c r="D1287" t="s">
        <v>1619</v>
      </c>
      <c r="E1287" t="s">
        <v>1759</v>
      </c>
      <c r="F1287" t="s">
        <v>14</v>
      </c>
      <c r="G1287" t="s">
        <v>28</v>
      </c>
      <c r="H1287" t="s">
        <v>22</v>
      </c>
      <c r="I1287" t="s">
        <v>2041</v>
      </c>
      <c r="J1287" t="s">
        <v>1913</v>
      </c>
      <c r="K1287" t="str">
        <f t="shared" si="180"/>
        <v>1239.9</v>
      </c>
      <c r="N1287" t="str">
        <f t="shared" si="181"/>
        <v>HOLDING REGISTER</v>
      </c>
      <c r="O1287" t="str">
        <f t="shared" si="182"/>
        <v>BOOL</v>
      </c>
      <c r="P1287" t="str">
        <f t="shared" si="183"/>
        <v>TELECAMERA T13N</v>
      </c>
      <c r="R1287" t="str">
        <f t="shared" si="184"/>
        <v>CODA IN GALLERIA</v>
      </c>
      <c r="U1287" t="str">
        <f t="shared" si="185"/>
        <v>Allarme</v>
      </c>
      <c r="V1287" t="str">
        <f t="shared" si="186"/>
        <v>DIREZIONE NORD</v>
      </c>
      <c r="W1287" t="str">
        <f t="shared" si="187"/>
        <v>GALLERIA SAN GIULIANO</v>
      </c>
      <c r="Z1287" t="str">
        <f t="shared" si="188"/>
        <v>10.220.80.16</v>
      </c>
    </row>
    <row r="1288" spans="1:26" x14ac:dyDescent="0.25">
      <c r="A1288" t="s">
        <v>10</v>
      </c>
      <c r="B1288" t="s">
        <v>1063</v>
      </c>
      <c r="C1288" t="s">
        <v>1761</v>
      </c>
      <c r="D1288" t="s">
        <v>1619</v>
      </c>
      <c r="E1288" t="s">
        <v>1759</v>
      </c>
      <c r="F1288" t="s">
        <v>14</v>
      </c>
      <c r="G1288" t="s">
        <v>1375</v>
      </c>
      <c r="H1288" t="s">
        <v>22</v>
      </c>
      <c r="I1288" t="s">
        <v>2042</v>
      </c>
      <c r="J1288" t="s">
        <v>1375</v>
      </c>
      <c r="K1288" t="str">
        <f t="shared" si="180"/>
        <v>1239.10</v>
      </c>
      <c r="N1288" t="str">
        <f t="shared" si="181"/>
        <v>HOLDING REGISTER</v>
      </c>
      <c r="O1288" t="str">
        <f t="shared" si="182"/>
        <v>BOOL</v>
      </c>
      <c r="P1288" t="str">
        <f t="shared" si="183"/>
        <v>TELECAMERA T13N</v>
      </c>
      <c r="R1288" t="str">
        <f t="shared" si="184"/>
        <v>disponibile</v>
      </c>
      <c r="U1288" t="str">
        <f t="shared" si="185"/>
        <v>disponibile</v>
      </c>
      <c r="V1288" t="str">
        <f t="shared" si="186"/>
        <v>DIREZIONE NORD</v>
      </c>
      <c r="W1288" t="str">
        <f t="shared" si="187"/>
        <v>GALLERIA SAN GIULIANO</v>
      </c>
      <c r="Z1288" t="str">
        <f t="shared" si="188"/>
        <v>10.220.80.16</v>
      </c>
    </row>
    <row r="1289" spans="1:26" x14ac:dyDescent="0.25">
      <c r="A1289" t="s">
        <v>10</v>
      </c>
      <c r="B1289" t="s">
        <v>1063</v>
      </c>
      <c r="C1289" t="s">
        <v>1761</v>
      </c>
      <c r="D1289" t="s">
        <v>1619</v>
      </c>
      <c r="E1289" t="s">
        <v>1759</v>
      </c>
      <c r="F1289" t="s">
        <v>14</v>
      </c>
      <c r="G1289" t="s">
        <v>1375</v>
      </c>
      <c r="H1289" t="s">
        <v>22</v>
      </c>
      <c r="I1289" t="s">
        <v>2043</v>
      </c>
      <c r="J1289" t="s">
        <v>1375</v>
      </c>
      <c r="K1289" t="str">
        <f t="shared" si="180"/>
        <v>1239.11</v>
      </c>
      <c r="N1289" t="str">
        <f t="shared" si="181"/>
        <v>HOLDING REGISTER</v>
      </c>
      <c r="O1289" t="str">
        <f t="shared" si="182"/>
        <v>BOOL</v>
      </c>
      <c r="P1289" t="str">
        <f t="shared" si="183"/>
        <v>TELECAMERA T13N</v>
      </c>
      <c r="R1289" t="str">
        <f t="shared" si="184"/>
        <v>disponibile</v>
      </c>
      <c r="U1289" t="str">
        <f t="shared" si="185"/>
        <v>disponibile</v>
      </c>
      <c r="V1289" t="str">
        <f t="shared" si="186"/>
        <v>DIREZIONE NORD</v>
      </c>
      <c r="W1289" t="str">
        <f t="shared" si="187"/>
        <v>GALLERIA SAN GIULIANO</v>
      </c>
      <c r="Z1289" t="str">
        <f t="shared" si="188"/>
        <v>10.220.80.16</v>
      </c>
    </row>
    <row r="1290" spans="1:26" x14ac:dyDescent="0.25">
      <c r="A1290" t="s">
        <v>10</v>
      </c>
      <c r="B1290" t="s">
        <v>1063</v>
      </c>
      <c r="C1290" t="s">
        <v>1761</v>
      </c>
      <c r="D1290" t="s">
        <v>1619</v>
      </c>
      <c r="E1290" t="s">
        <v>1759</v>
      </c>
      <c r="F1290" t="s">
        <v>14</v>
      </c>
      <c r="G1290" t="s">
        <v>1375</v>
      </c>
      <c r="H1290" t="s">
        <v>22</v>
      </c>
      <c r="I1290" t="s">
        <v>2044</v>
      </c>
      <c r="J1290" t="s">
        <v>1375</v>
      </c>
      <c r="K1290" t="str">
        <f t="shared" si="180"/>
        <v>1239.12</v>
      </c>
      <c r="N1290" t="str">
        <f t="shared" si="181"/>
        <v>HOLDING REGISTER</v>
      </c>
      <c r="O1290" t="str">
        <f t="shared" si="182"/>
        <v>BOOL</v>
      </c>
      <c r="P1290" t="str">
        <f t="shared" si="183"/>
        <v>TELECAMERA T13N</v>
      </c>
      <c r="R1290" t="str">
        <f t="shared" si="184"/>
        <v>disponibile</v>
      </c>
      <c r="U1290" t="str">
        <f t="shared" si="185"/>
        <v>disponibile</v>
      </c>
      <c r="V1290" t="str">
        <f t="shared" si="186"/>
        <v>DIREZIONE NORD</v>
      </c>
      <c r="W1290" t="str">
        <f t="shared" si="187"/>
        <v>GALLERIA SAN GIULIANO</v>
      </c>
      <c r="Z1290" t="str">
        <f t="shared" si="188"/>
        <v>10.220.80.16</v>
      </c>
    </row>
    <row r="1291" spans="1:26" x14ac:dyDescent="0.25">
      <c r="A1291" t="s">
        <v>10</v>
      </c>
      <c r="B1291" t="s">
        <v>1063</v>
      </c>
      <c r="C1291" t="s">
        <v>1761</v>
      </c>
      <c r="D1291" t="s">
        <v>1619</v>
      </c>
      <c r="E1291" t="s">
        <v>1759</v>
      </c>
      <c r="F1291" t="s">
        <v>14</v>
      </c>
      <c r="G1291" t="s">
        <v>1375</v>
      </c>
      <c r="H1291" t="s">
        <v>22</v>
      </c>
      <c r="I1291" t="s">
        <v>2045</v>
      </c>
      <c r="J1291" t="s">
        <v>1375</v>
      </c>
      <c r="K1291" t="str">
        <f t="shared" si="180"/>
        <v>1239.13</v>
      </c>
      <c r="N1291" t="str">
        <f t="shared" si="181"/>
        <v>HOLDING REGISTER</v>
      </c>
      <c r="O1291" t="str">
        <f t="shared" si="182"/>
        <v>BOOL</v>
      </c>
      <c r="P1291" t="str">
        <f t="shared" si="183"/>
        <v>TELECAMERA T13N</v>
      </c>
      <c r="R1291" t="str">
        <f t="shared" si="184"/>
        <v>disponibile</v>
      </c>
      <c r="U1291" t="str">
        <f t="shared" si="185"/>
        <v>disponibile</v>
      </c>
      <c r="V1291" t="str">
        <f t="shared" si="186"/>
        <v>DIREZIONE NORD</v>
      </c>
      <c r="W1291" t="str">
        <f t="shared" si="187"/>
        <v>GALLERIA SAN GIULIANO</v>
      </c>
      <c r="Z1291" t="str">
        <f t="shared" si="188"/>
        <v>10.220.80.16</v>
      </c>
    </row>
    <row r="1292" spans="1:26" x14ac:dyDescent="0.25">
      <c r="A1292" t="s">
        <v>10</v>
      </c>
      <c r="B1292" t="s">
        <v>1063</v>
      </c>
      <c r="C1292" t="s">
        <v>1761</v>
      </c>
      <c r="D1292" t="s">
        <v>1619</v>
      </c>
      <c r="E1292" t="s">
        <v>1759</v>
      </c>
      <c r="F1292" t="s">
        <v>14</v>
      </c>
      <c r="G1292" t="s">
        <v>1375</v>
      </c>
      <c r="H1292" t="s">
        <v>22</v>
      </c>
      <c r="I1292" t="s">
        <v>2046</v>
      </c>
      <c r="J1292" t="s">
        <v>1375</v>
      </c>
      <c r="K1292" t="str">
        <f t="shared" si="180"/>
        <v>1239.14</v>
      </c>
      <c r="N1292" t="str">
        <f t="shared" si="181"/>
        <v>HOLDING REGISTER</v>
      </c>
      <c r="O1292" t="str">
        <f t="shared" si="182"/>
        <v>BOOL</v>
      </c>
      <c r="P1292" t="str">
        <f t="shared" si="183"/>
        <v>TELECAMERA T13N</v>
      </c>
      <c r="R1292" t="str">
        <f t="shared" si="184"/>
        <v>disponibile</v>
      </c>
      <c r="U1292" t="str">
        <f t="shared" si="185"/>
        <v>disponibile</v>
      </c>
      <c r="V1292" t="str">
        <f t="shared" si="186"/>
        <v>DIREZIONE NORD</v>
      </c>
      <c r="W1292" t="str">
        <f t="shared" si="187"/>
        <v>GALLERIA SAN GIULIANO</v>
      </c>
      <c r="Z1292" t="str">
        <f t="shared" si="188"/>
        <v>10.220.80.16</v>
      </c>
    </row>
    <row r="1293" spans="1:26" x14ac:dyDescent="0.25">
      <c r="A1293" t="s">
        <v>10</v>
      </c>
      <c r="B1293" t="s">
        <v>1063</v>
      </c>
      <c r="C1293" t="s">
        <v>1761</v>
      </c>
      <c r="D1293" t="s">
        <v>1619</v>
      </c>
      <c r="E1293" t="s">
        <v>1759</v>
      </c>
      <c r="F1293" t="s">
        <v>14</v>
      </c>
      <c r="G1293" t="s">
        <v>1375</v>
      </c>
      <c r="H1293" t="s">
        <v>22</v>
      </c>
      <c r="I1293" t="s">
        <v>2047</v>
      </c>
      <c r="J1293" t="s">
        <v>1375</v>
      </c>
      <c r="K1293" t="str">
        <f t="shared" si="180"/>
        <v>1239.15</v>
      </c>
      <c r="N1293" t="str">
        <f t="shared" si="181"/>
        <v>HOLDING REGISTER</v>
      </c>
      <c r="O1293" t="str">
        <f t="shared" si="182"/>
        <v>BOOL</v>
      </c>
      <c r="P1293" t="str">
        <f t="shared" si="183"/>
        <v>TELECAMERA T13N</v>
      </c>
      <c r="R1293" t="str">
        <f t="shared" si="184"/>
        <v>disponibile</v>
      </c>
      <c r="U1293" t="str">
        <f t="shared" si="185"/>
        <v>disponibile</v>
      </c>
      <c r="V1293" t="str">
        <f t="shared" si="186"/>
        <v>DIREZIONE NORD</v>
      </c>
      <c r="W1293" t="str">
        <f t="shared" si="187"/>
        <v>GALLERIA SAN GIULIANO</v>
      </c>
      <c r="Z1293" t="str">
        <f t="shared" si="188"/>
        <v>10.220.80.16</v>
      </c>
    </row>
    <row r="1294" spans="1:26" x14ac:dyDescent="0.25">
      <c r="A1294" t="s">
        <v>10</v>
      </c>
      <c r="B1294" t="s">
        <v>1063</v>
      </c>
      <c r="C1294" t="s">
        <v>1761</v>
      </c>
      <c r="D1294" t="s">
        <v>1619</v>
      </c>
      <c r="E1294" t="s">
        <v>1777</v>
      </c>
      <c r="F1294" t="s">
        <v>14</v>
      </c>
      <c r="G1294" t="s">
        <v>28</v>
      </c>
      <c r="H1294" t="s">
        <v>22</v>
      </c>
      <c r="I1294" t="s">
        <v>2048</v>
      </c>
      <c r="J1294" t="s">
        <v>1897</v>
      </c>
      <c r="K1294" t="str">
        <f t="shared" si="180"/>
        <v>1240.0</v>
      </c>
      <c r="N1294" t="str">
        <f t="shared" si="181"/>
        <v>HOLDING REGISTER</v>
      </c>
      <c r="O1294" t="str">
        <f t="shared" si="182"/>
        <v>BOOL</v>
      </c>
      <c r="P1294" t="str">
        <f t="shared" si="183"/>
        <v>TELECAMERA T14N</v>
      </c>
      <c r="R1294" t="str">
        <f t="shared" si="184"/>
        <v>PERDITA SEGNALE VIDEO</v>
      </c>
      <c r="U1294" t="str">
        <f t="shared" si="185"/>
        <v>Allarme</v>
      </c>
      <c r="V1294" t="str">
        <f t="shared" si="186"/>
        <v>DIREZIONE NORD</v>
      </c>
      <c r="W1294" t="str">
        <f t="shared" si="187"/>
        <v>GALLERIA SAN GIULIANO</v>
      </c>
      <c r="Z1294" t="str">
        <f t="shared" si="188"/>
        <v>10.220.80.16</v>
      </c>
    </row>
    <row r="1295" spans="1:26" x14ac:dyDescent="0.25">
      <c r="A1295" t="s">
        <v>10</v>
      </c>
      <c r="B1295" t="s">
        <v>1063</v>
      </c>
      <c r="C1295" t="s">
        <v>1761</v>
      </c>
      <c r="D1295" t="s">
        <v>1619</v>
      </c>
      <c r="E1295" t="s">
        <v>1777</v>
      </c>
      <c r="F1295" t="s">
        <v>14</v>
      </c>
      <c r="G1295" t="s">
        <v>28</v>
      </c>
      <c r="H1295" t="s">
        <v>22</v>
      </c>
      <c r="I1295" t="s">
        <v>2049</v>
      </c>
      <c r="J1295" t="s">
        <v>1899</v>
      </c>
      <c r="K1295" t="str">
        <f t="shared" si="180"/>
        <v>1240.1</v>
      </c>
      <c r="N1295" t="str">
        <f t="shared" si="181"/>
        <v>HOLDING REGISTER</v>
      </c>
      <c r="O1295" t="str">
        <f t="shared" si="182"/>
        <v>BOOL</v>
      </c>
      <c r="P1295" t="str">
        <f t="shared" si="183"/>
        <v>TELECAMERA T14N</v>
      </c>
      <c r="R1295" t="str">
        <f t="shared" si="184"/>
        <v>MANOMISSIONE</v>
      </c>
      <c r="U1295" t="str">
        <f t="shared" si="185"/>
        <v>Allarme</v>
      </c>
      <c r="V1295" t="str">
        <f t="shared" si="186"/>
        <v>DIREZIONE NORD</v>
      </c>
      <c r="W1295" t="str">
        <f t="shared" si="187"/>
        <v>GALLERIA SAN GIULIANO</v>
      </c>
      <c r="Z1295" t="str">
        <f t="shared" si="188"/>
        <v>10.220.80.16</v>
      </c>
    </row>
    <row r="1296" spans="1:26" x14ac:dyDescent="0.25">
      <c r="A1296" t="s">
        <v>10</v>
      </c>
      <c r="B1296" t="s">
        <v>1063</v>
      </c>
      <c r="C1296" t="s">
        <v>1761</v>
      </c>
      <c r="D1296" t="s">
        <v>1619</v>
      </c>
      <c r="E1296" t="s">
        <v>1777</v>
      </c>
      <c r="F1296" t="s">
        <v>14</v>
      </c>
      <c r="G1296" t="s">
        <v>1375</v>
      </c>
      <c r="H1296" t="s">
        <v>22</v>
      </c>
      <c r="I1296" t="s">
        <v>2050</v>
      </c>
      <c r="J1296" t="s">
        <v>1375</v>
      </c>
      <c r="K1296" t="str">
        <f t="shared" si="180"/>
        <v>1240.2</v>
      </c>
      <c r="N1296" t="str">
        <f t="shared" si="181"/>
        <v>HOLDING REGISTER</v>
      </c>
      <c r="O1296" t="str">
        <f t="shared" si="182"/>
        <v>BOOL</v>
      </c>
      <c r="P1296" t="str">
        <f t="shared" si="183"/>
        <v>TELECAMERA T14N</v>
      </c>
      <c r="R1296" t="str">
        <f t="shared" si="184"/>
        <v>disponibile</v>
      </c>
      <c r="U1296" t="str">
        <f t="shared" si="185"/>
        <v>disponibile</v>
      </c>
      <c r="V1296" t="str">
        <f t="shared" si="186"/>
        <v>DIREZIONE NORD</v>
      </c>
      <c r="W1296" t="str">
        <f t="shared" si="187"/>
        <v>GALLERIA SAN GIULIANO</v>
      </c>
      <c r="Z1296" t="str">
        <f t="shared" si="188"/>
        <v>10.220.80.16</v>
      </c>
    </row>
    <row r="1297" spans="1:26" x14ac:dyDescent="0.25">
      <c r="A1297" t="s">
        <v>10</v>
      </c>
      <c r="B1297" t="s">
        <v>1063</v>
      </c>
      <c r="C1297" t="s">
        <v>1761</v>
      </c>
      <c r="D1297" t="s">
        <v>1619</v>
      </c>
      <c r="E1297" t="s">
        <v>1777</v>
      </c>
      <c r="F1297" t="s">
        <v>14</v>
      </c>
      <c r="G1297" t="s">
        <v>28</v>
      </c>
      <c r="H1297" t="s">
        <v>22</v>
      </c>
      <c r="I1297" t="s">
        <v>2051</v>
      </c>
      <c r="J1297" t="s">
        <v>1902</v>
      </c>
      <c r="K1297" t="str">
        <f t="shared" si="180"/>
        <v>1240.3</v>
      </c>
      <c r="N1297" t="str">
        <f t="shared" si="181"/>
        <v>HOLDING REGISTER</v>
      </c>
      <c r="O1297" t="str">
        <f t="shared" si="182"/>
        <v>BOOL</v>
      </c>
      <c r="P1297" t="str">
        <f t="shared" si="183"/>
        <v>TELECAMERA T14N</v>
      </c>
      <c r="R1297" t="str">
        <f t="shared" si="184"/>
        <v>VEICOLO FERMO</v>
      </c>
      <c r="U1297" t="str">
        <f t="shared" si="185"/>
        <v>Allarme</v>
      </c>
      <c r="V1297" t="str">
        <f t="shared" si="186"/>
        <v>DIREZIONE NORD</v>
      </c>
      <c r="W1297" t="str">
        <f t="shared" si="187"/>
        <v>GALLERIA SAN GIULIANO</v>
      </c>
      <c r="Z1297" t="str">
        <f t="shared" si="188"/>
        <v>10.220.80.16</v>
      </c>
    </row>
    <row r="1298" spans="1:26" x14ac:dyDescent="0.25">
      <c r="A1298" t="s">
        <v>10</v>
      </c>
      <c r="B1298" t="s">
        <v>1063</v>
      </c>
      <c r="C1298" t="s">
        <v>1761</v>
      </c>
      <c r="D1298" t="s">
        <v>1619</v>
      </c>
      <c r="E1298" t="s">
        <v>1777</v>
      </c>
      <c r="F1298" t="s">
        <v>14</v>
      </c>
      <c r="G1298" t="s">
        <v>28</v>
      </c>
      <c r="H1298" t="s">
        <v>22</v>
      </c>
      <c r="I1298" t="s">
        <v>2052</v>
      </c>
      <c r="J1298" t="s">
        <v>1904</v>
      </c>
      <c r="K1298" t="str">
        <f t="shared" si="180"/>
        <v>1240.4</v>
      </c>
      <c r="N1298" t="str">
        <f t="shared" si="181"/>
        <v>HOLDING REGISTER</v>
      </c>
      <c r="O1298" t="str">
        <f t="shared" si="182"/>
        <v>BOOL</v>
      </c>
      <c r="P1298" t="str">
        <f t="shared" si="183"/>
        <v>TELECAMERA T14N</v>
      </c>
      <c r="R1298" t="str">
        <f t="shared" si="184"/>
        <v>CARICO DISPERSO</v>
      </c>
      <c r="U1298" t="str">
        <f t="shared" si="185"/>
        <v>Allarme</v>
      </c>
      <c r="V1298" t="str">
        <f t="shared" si="186"/>
        <v>DIREZIONE NORD</v>
      </c>
      <c r="W1298" t="str">
        <f t="shared" si="187"/>
        <v>GALLERIA SAN GIULIANO</v>
      </c>
      <c r="Z1298" t="str">
        <f t="shared" si="188"/>
        <v>10.220.80.16</v>
      </c>
    </row>
    <row r="1299" spans="1:26" x14ac:dyDescent="0.25">
      <c r="A1299" t="s">
        <v>10</v>
      </c>
      <c r="B1299" t="s">
        <v>1063</v>
      </c>
      <c r="C1299" t="s">
        <v>1761</v>
      </c>
      <c r="D1299" t="s">
        <v>1619</v>
      </c>
      <c r="E1299" t="s">
        <v>1777</v>
      </c>
      <c r="F1299" t="s">
        <v>14</v>
      </c>
      <c r="G1299" t="s">
        <v>1375</v>
      </c>
      <c r="H1299" t="s">
        <v>22</v>
      </c>
      <c r="I1299" t="s">
        <v>2053</v>
      </c>
      <c r="J1299" t="s">
        <v>1375</v>
      </c>
      <c r="K1299" t="str">
        <f t="shared" si="180"/>
        <v>1240.5</v>
      </c>
      <c r="N1299" t="str">
        <f t="shared" si="181"/>
        <v>HOLDING REGISTER</v>
      </c>
      <c r="O1299" t="str">
        <f t="shared" si="182"/>
        <v>BOOL</v>
      </c>
      <c r="P1299" t="str">
        <f t="shared" si="183"/>
        <v>TELECAMERA T14N</v>
      </c>
      <c r="R1299" t="str">
        <f t="shared" si="184"/>
        <v>disponibile</v>
      </c>
      <c r="U1299" t="str">
        <f t="shared" si="185"/>
        <v>disponibile</v>
      </c>
      <c r="V1299" t="str">
        <f t="shared" si="186"/>
        <v>DIREZIONE NORD</v>
      </c>
      <c r="W1299" t="str">
        <f t="shared" si="187"/>
        <v>GALLERIA SAN GIULIANO</v>
      </c>
      <c r="Z1299" t="str">
        <f t="shared" si="188"/>
        <v>10.220.80.16</v>
      </c>
    </row>
    <row r="1300" spans="1:26" x14ac:dyDescent="0.25">
      <c r="A1300" t="s">
        <v>10</v>
      </c>
      <c r="B1300" t="s">
        <v>1063</v>
      </c>
      <c r="C1300" t="s">
        <v>1761</v>
      </c>
      <c r="D1300" t="s">
        <v>1619</v>
      </c>
      <c r="E1300" t="s">
        <v>1777</v>
      </c>
      <c r="F1300" t="s">
        <v>14</v>
      </c>
      <c r="G1300" t="s">
        <v>28</v>
      </c>
      <c r="H1300" t="s">
        <v>22</v>
      </c>
      <c r="I1300" t="s">
        <v>2054</v>
      </c>
      <c r="J1300" t="s">
        <v>1907</v>
      </c>
      <c r="K1300" t="str">
        <f t="shared" si="180"/>
        <v>1240.6</v>
      </c>
      <c r="N1300" t="str">
        <f t="shared" si="181"/>
        <v>HOLDING REGISTER</v>
      </c>
      <c r="O1300" t="str">
        <f t="shared" si="182"/>
        <v>BOOL</v>
      </c>
      <c r="P1300" t="str">
        <f t="shared" si="183"/>
        <v>TELECAMERA T14N</v>
      </c>
      <c r="R1300" t="str">
        <f t="shared" si="184"/>
        <v>PEDONE</v>
      </c>
      <c r="U1300" t="str">
        <f t="shared" si="185"/>
        <v>Allarme</v>
      </c>
      <c r="V1300" t="str">
        <f t="shared" si="186"/>
        <v>DIREZIONE NORD</v>
      </c>
      <c r="W1300" t="str">
        <f t="shared" si="187"/>
        <v>GALLERIA SAN GIULIANO</v>
      </c>
      <c r="Z1300" t="str">
        <f t="shared" si="188"/>
        <v>10.220.80.16</v>
      </c>
    </row>
    <row r="1301" spans="1:26" x14ac:dyDescent="0.25">
      <c r="A1301" t="s">
        <v>10</v>
      </c>
      <c r="B1301" t="s">
        <v>1063</v>
      </c>
      <c r="C1301" t="s">
        <v>1761</v>
      </c>
      <c r="D1301" t="s">
        <v>1619</v>
      </c>
      <c r="E1301" t="s">
        <v>1777</v>
      </c>
      <c r="F1301" t="s">
        <v>14</v>
      </c>
      <c r="G1301" t="s">
        <v>28</v>
      </c>
      <c r="H1301" t="s">
        <v>22</v>
      </c>
      <c r="I1301" t="s">
        <v>2055</v>
      </c>
      <c r="J1301" t="s">
        <v>1909</v>
      </c>
      <c r="K1301" t="str">
        <f t="shared" si="180"/>
        <v>1240.7</v>
      </c>
      <c r="N1301" t="str">
        <f t="shared" si="181"/>
        <v>HOLDING REGISTER</v>
      </c>
      <c r="O1301" t="str">
        <f t="shared" si="182"/>
        <v>BOOL</v>
      </c>
      <c r="P1301" t="str">
        <f t="shared" si="183"/>
        <v>TELECAMERA T14N</v>
      </c>
      <c r="R1301" t="str">
        <f t="shared" si="184"/>
        <v>FUMO</v>
      </c>
      <c r="U1301" t="str">
        <f t="shared" si="185"/>
        <v>Allarme</v>
      </c>
      <c r="V1301" t="str">
        <f t="shared" si="186"/>
        <v>DIREZIONE NORD</v>
      </c>
      <c r="W1301" t="str">
        <f t="shared" si="187"/>
        <v>GALLERIA SAN GIULIANO</v>
      </c>
      <c r="Z1301" t="str">
        <f t="shared" si="188"/>
        <v>10.220.80.16</v>
      </c>
    </row>
    <row r="1302" spans="1:26" x14ac:dyDescent="0.25">
      <c r="A1302" t="s">
        <v>10</v>
      </c>
      <c r="B1302" t="s">
        <v>1063</v>
      </c>
      <c r="C1302" t="s">
        <v>1761</v>
      </c>
      <c r="D1302" t="s">
        <v>1619</v>
      </c>
      <c r="E1302" t="s">
        <v>1777</v>
      </c>
      <c r="F1302" t="s">
        <v>14</v>
      </c>
      <c r="G1302" t="s">
        <v>28</v>
      </c>
      <c r="H1302" t="s">
        <v>22</v>
      </c>
      <c r="I1302" t="s">
        <v>2056</v>
      </c>
      <c r="J1302" t="s">
        <v>1911</v>
      </c>
      <c r="K1302" t="str">
        <f t="shared" si="180"/>
        <v>1240.8</v>
      </c>
      <c r="N1302" t="str">
        <f t="shared" si="181"/>
        <v>HOLDING REGISTER</v>
      </c>
      <c r="O1302" t="str">
        <f t="shared" si="182"/>
        <v>BOOL</v>
      </c>
      <c r="P1302" t="str">
        <f t="shared" si="183"/>
        <v>TELECAMERA T14N</v>
      </c>
      <c r="R1302" t="str">
        <f t="shared" si="184"/>
        <v>RALLENTAMENTI</v>
      </c>
      <c r="U1302" t="str">
        <f t="shared" si="185"/>
        <v>Allarme</v>
      </c>
      <c r="V1302" t="str">
        <f t="shared" si="186"/>
        <v>DIREZIONE NORD</v>
      </c>
      <c r="W1302" t="str">
        <f t="shared" si="187"/>
        <v>GALLERIA SAN GIULIANO</v>
      </c>
      <c r="Z1302" t="str">
        <f t="shared" si="188"/>
        <v>10.220.80.16</v>
      </c>
    </row>
    <row r="1303" spans="1:26" x14ac:dyDescent="0.25">
      <c r="A1303" t="s">
        <v>10</v>
      </c>
      <c r="B1303" t="s">
        <v>1063</v>
      </c>
      <c r="C1303" t="s">
        <v>1761</v>
      </c>
      <c r="D1303" t="s">
        <v>1619</v>
      </c>
      <c r="E1303" t="s">
        <v>1777</v>
      </c>
      <c r="F1303" t="s">
        <v>14</v>
      </c>
      <c r="G1303" t="s">
        <v>28</v>
      </c>
      <c r="H1303" t="s">
        <v>22</v>
      </c>
      <c r="I1303" t="s">
        <v>2057</v>
      </c>
      <c r="J1303" t="s">
        <v>1913</v>
      </c>
      <c r="K1303" t="str">
        <f t="shared" si="180"/>
        <v>1240.9</v>
      </c>
      <c r="N1303" t="str">
        <f t="shared" si="181"/>
        <v>HOLDING REGISTER</v>
      </c>
      <c r="O1303" t="str">
        <f t="shared" si="182"/>
        <v>BOOL</v>
      </c>
      <c r="P1303" t="str">
        <f t="shared" si="183"/>
        <v>TELECAMERA T14N</v>
      </c>
      <c r="R1303" t="str">
        <f t="shared" si="184"/>
        <v>CODA IN GALLERIA</v>
      </c>
      <c r="U1303" t="str">
        <f t="shared" si="185"/>
        <v>Allarme</v>
      </c>
      <c r="V1303" t="str">
        <f t="shared" si="186"/>
        <v>DIREZIONE NORD</v>
      </c>
      <c r="W1303" t="str">
        <f t="shared" si="187"/>
        <v>GALLERIA SAN GIULIANO</v>
      </c>
      <c r="Z1303" t="str">
        <f t="shared" si="188"/>
        <v>10.220.80.16</v>
      </c>
    </row>
    <row r="1304" spans="1:26" x14ac:dyDescent="0.25">
      <c r="A1304" t="s">
        <v>10</v>
      </c>
      <c r="B1304" t="s">
        <v>1063</v>
      </c>
      <c r="C1304" t="s">
        <v>1761</v>
      </c>
      <c r="D1304" t="s">
        <v>1619</v>
      </c>
      <c r="E1304" t="s">
        <v>1777</v>
      </c>
      <c r="F1304" t="s">
        <v>14</v>
      </c>
      <c r="G1304" t="s">
        <v>1375</v>
      </c>
      <c r="H1304" t="s">
        <v>22</v>
      </c>
      <c r="I1304" t="s">
        <v>2058</v>
      </c>
      <c r="J1304" t="s">
        <v>1375</v>
      </c>
      <c r="K1304" t="str">
        <f t="shared" si="180"/>
        <v>1240.10</v>
      </c>
      <c r="N1304" t="str">
        <f t="shared" si="181"/>
        <v>HOLDING REGISTER</v>
      </c>
      <c r="O1304" t="str">
        <f t="shared" si="182"/>
        <v>BOOL</v>
      </c>
      <c r="P1304" t="str">
        <f t="shared" si="183"/>
        <v>TELECAMERA T14N</v>
      </c>
      <c r="R1304" t="str">
        <f t="shared" si="184"/>
        <v>disponibile</v>
      </c>
      <c r="U1304" t="str">
        <f t="shared" si="185"/>
        <v>disponibile</v>
      </c>
      <c r="V1304" t="str">
        <f t="shared" si="186"/>
        <v>DIREZIONE NORD</v>
      </c>
      <c r="W1304" t="str">
        <f t="shared" si="187"/>
        <v>GALLERIA SAN GIULIANO</v>
      </c>
      <c r="Z1304" t="str">
        <f t="shared" si="188"/>
        <v>10.220.80.16</v>
      </c>
    </row>
    <row r="1305" spans="1:26" x14ac:dyDescent="0.25">
      <c r="A1305" t="s">
        <v>10</v>
      </c>
      <c r="B1305" t="s">
        <v>1063</v>
      </c>
      <c r="C1305" t="s">
        <v>1761</v>
      </c>
      <c r="D1305" t="s">
        <v>1619</v>
      </c>
      <c r="E1305" t="s">
        <v>1777</v>
      </c>
      <c r="F1305" t="s">
        <v>14</v>
      </c>
      <c r="G1305" t="s">
        <v>1375</v>
      </c>
      <c r="H1305" t="s">
        <v>22</v>
      </c>
      <c r="I1305" t="s">
        <v>2059</v>
      </c>
      <c r="J1305" t="s">
        <v>1375</v>
      </c>
      <c r="K1305" t="str">
        <f t="shared" si="180"/>
        <v>1240.11</v>
      </c>
      <c r="N1305" t="str">
        <f t="shared" si="181"/>
        <v>HOLDING REGISTER</v>
      </c>
      <c r="O1305" t="str">
        <f t="shared" si="182"/>
        <v>BOOL</v>
      </c>
      <c r="P1305" t="str">
        <f t="shared" si="183"/>
        <v>TELECAMERA T14N</v>
      </c>
      <c r="R1305" t="str">
        <f t="shared" si="184"/>
        <v>disponibile</v>
      </c>
      <c r="U1305" t="str">
        <f t="shared" si="185"/>
        <v>disponibile</v>
      </c>
      <c r="V1305" t="str">
        <f t="shared" si="186"/>
        <v>DIREZIONE NORD</v>
      </c>
      <c r="W1305" t="str">
        <f t="shared" si="187"/>
        <v>GALLERIA SAN GIULIANO</v>
      </c>
      <c r="Z1305" t="str">
        <f t="shared" si="188"/>
        <v>10.220.80.16</v>
      </c>
    </row>
    <row r="1306" spans="1:26" x14ac:dyDescent="0.25">
      <c r="A1306" t="s">
        <v>10</v>
      </c>
      <c r="B1306" t="s">
        <v>1063</v>
      </c>
      <c r="C1306" t="s">
        <v>1761</v>
      </c>
      <c r="D1306" t="s">
        <v>1619</v>
      </c>
      <c r="E1306" t="s">
        <v>1777</v>
      </c>
      <c r="F1306" t="s">
        <v>14</v>
      </c>
      <c r="G1306" t="s">
        <v>1375</v>
      </c>
      <c r="H1306" t="s">
        <v>22</v>
      </c>
      <c r="I1306" t="s">
        <v>2060</v>
      </c>
      <c r="J1306" t="s">
        <v>1375</v>
      </c>
      <c r="K1306" t="str">
        <f t="shared" si="180"/>
        <v>1240.12</v>
      </c>
      <c r="N1306" t="str">
        <f t="shared" si="181"/>
        <v>HOLDING REGISTER</v>
      </c>
      <c r="O1306" t="str">
        <f t="shared" si="182"/>
        <v>BOOL</v>
      </c>
      <c r="P1306" t="str">
        <f t="shared" si="183"/>
        <v>TELECAMERA T14N</v>
      </c>
      <c r="R1306" t="str">
        <f t="shared" si="184"/>
        <v>disponibile</v>
      </c>
      <c r="U1306" t="str">
        <f t="shared" si="185"/>
        <v>disponibile</v>
      </c>
      <c r="V1306" t="str">
        <f t="shared" si="186"/>
        <v>DIREZIONE NORD</v>
      </c>
      <c r="W1306" t="str">
        <f t="shared" si="187"/>
        <v>GALLERIA SAN GIULIANO</v>
      </c>
      <c r="Z1306" t="str">
        <f t="shared" si="188"/>
        <v>10.220.80.16</v>
      </c>
    </row>
    <row r="1307" spans="1:26" x14ac:dyDescent="0.25">
      <c r="A1307" t="s">
        <v>10</v>
      </c>
      <c r="B1307" t="s">
        <v>1063</v>
      </c>
      <c r="C1307" t="s">
        <v>1761</v>
      </c>
      <c r="D1307" t="s">
        <v>1619</v>
      </c>
      <c r="E1307" t="s">
        <v>1777</v>
      </c>
      <c r="F1307" t="s">
        <v>14</v>
      </c>
      <c r="G1307" t="s">
        <v>1375</v>
      </c>
      <c r="H1307" t="s">
        <v>22</v>
      </c>
      <c r="I1307" t="s">
        <v>2061</v>
      </c>
      <c r="J1307" t="s">
        <v>1375</v>
      </c>
      <c r="K1307" t="str">
        <f t="shared" si="180"/>
        <v>1240.13</v>
      </c>
      <c r="N1307" t="str">
        <f t="shared" si="181"/>
        <v>HOLDING REGISTER</v>
      </c>
      <c r="O1307" t="str">
        <f t="shared" si="182"/>
        <v>BOOL</v>
      </c>
      <c r="P1307" t="str">
        <f t="shared" si="183"/>
        <v>TELECAMERA T14N</v>
      </c>
      <c r="R1307" t="str">
        <f t="shared" si="184"/>
        <v>disponibile</v>
      </c>
      <c r="U1307" t="str">
        <f t="shared" si="185"/>
        <v>disponibile</v>
      </c>
      <c r="V1307" t="str">
        <f t="shared" si="186"/>
        <v>DIREZIONE NORD</v>
      </c>
      <c r="W1307" t="str">
        <f t="shared" si="187"/>
        <v>GALLERIA SAN GIULIANO</v>
      </c>
      <c r="Z1307" t="str">
        <f t="shared" si="188"/>
        <v>10.220.80.16</v>
      </c>
    </row>
    <row r="1308" spans="1:26" x14ac:dyDescent="0.25">
      <c r="A1308" t="s">
        <v>10</v>
      </c>
      <c r="B1308" t="s">
        <v>1063</v>
      </c>
      <c r="C1308" t="s">
        <v>1761</v>
      </c>
      <c r="D1308" t="s">
        <v>1619</v>
      </c>
      <c r="E1308" t="s">
        <v>1777</v>
      </c>
      <c r="F1308" t="s">
        <v>14</v>
      </c>
      <c r="G1308" t="s">
        <v>1375</v>
      </c>
      <c r="H1308" t="s">
        <v>22</v>
      </c>
      <c r="I1308" t="s">
        <v>2062</v>
      </c>
      <c r="J1308" t="s">
        <v>1375</v>
      </c>
      <c r="K1308" t="str">
        <f t="shared" si="180"/>
        <v>1240.14</v>
      </c>
      <c r="N1308" t="str">
        <f t="shared" si="181"/>
        <v>HOLDING REGISTER</v>
      </c>
      <c r="O1308" t="str">
        <f t="shared" si="182"/>
        <v>BOOL</v>
      </c>
      <c r="P1308" t="str">
        <f t="shared" si="183"/>
        <v>TELECAMERA T14N</v>
      </c>
      <c r="R1308" t="str">
        <f t="shared" si="184"/>
        <v>disponibile</v>
      </c>
      <c r="U1308" t="str">
        <f t="shared" si="185"/>
        <v>disponibile</v>
      </c>
      <c r="V1308" t="str">
        <f t="shared" si="186"/>
        <v>DIREZIONE NORD</v>
      </c>
      <c r="W1308" t="str">
        <f t="shared" si="187"/>
        <v>GALLERIA SAN GIULIANO</v>
      </c>
      <c r="Z1308" t="str">
        <f t="shared" si="188"/>
        <v>10.220.80.16</v>
      </c>
    </row>
    <row r="1309" spans="1:26" x14ac:dyDescent="0.25">
      <c r="A1309" t="s">
        <v>10</v>
      </c>
      <c r="B1309" t="s">
        <v>1063</v>
      </c>
      <c r="C1309" t="s">
        <v>1761</v>
      </c>
      <c r="D1309" t="s">
        <v>1619</v>
      </c>
      <c r="E1309" t="s">
        <v>1777</v>
      </c>
      <c r="F1309" t="s">
        <v>14</v>
      </c>
      <c r="G1309" t="s">
        <v>1375</v>
      </c>
      <c r="H1309" t="s">
        <v>22</v>
      </c>
      <c r="I1309" t="s">
        <v>2063</v>
      </c>
      <c r="J1309" t="s">
        <v>1375</v>
      </c>
      <c r="K1309" t="str">
        <f t="shared" si="180"/>
        <v>1240.15</v>
      </c>
      <c r="N1309" t="str">
        <f t="shared" si="181"/>
        <v>HOLDING REGISTER</v>
      </c>
      <c r="O1309" t="str">
        <f t="shared" si="182"/>
        <v>BOOL</v>
      </c>
      <c r="P1309" t="str">
        <f t="shared" si="183"/>
        <v>TELECAMERA T14N</v>
      </c>
      <c r="R1309" t="str">
        <f t="shared" si="184"/>
        <v>disponibile</v>
      </c>
      <c r="U1309" t="str">
        <f t="shared" si="185"/>
        <v>disponibile</v>
      </c>
      <c r="V1309" t="str">
        <f t="shared" si="186"/>
        <v>DIREZIONE NORD</v>
      </c>
      <c r="W1309" t="str">
        <f t="shared" si="187"/>
        <v>GALLERIA SAN GIULIANO</v>
      </c>
      <c r="Z1309" t="str">
        <f t="shared" si="188"/>
        <v>10.220.80.16</v>
      </c>
    </row>
    <row r="1310" spans="1:26" x14ac:dyDescent="0.25">
      <c r="A1310" t="s">
        <v>10</v>
      </c>
      <c r="B1310" t="s">
        <v>1063</v>
      </c>
      <c r="C1310" t="s">
        <v>1761</v>
      </c>
      <c r="D1310" t="s">
        <v>1619</v>
      </c>
      <c r="E1310" t="s">
        <v>1794</v>
      </c>
      <c r="F1310" t="s">
        <v>14</v>
      </c>
      <c r="G1310" t="s">
        <v>28</v>
      </c>
      <c r="H1310" t="s">
        <v>22</v>
      </c>
      <c r="I1310" t="s">
        <v>2064</v>
      </c>
      <c r="J1310" t="s">
        <v>1897</v>
      </c>
      <c r="K1310" t="str">
        <f t="shared" si="180"/>
        <v>1241.0</v>
      </c>
      <c r="N1310" t="str">
        <f t="shared" si="181"/>
        <v>HOLDING REGISTER</v>
      </c>
      <c r="O1310" t="str">
        <f t="shared" si="182"/>
        <v>BOOL</v>
      </c>
      <c r="P1310" t="str">
        <f t="shared" si="183"/>
        <v>TELECAMERA T15N</v>
      </c>
      <c r="R1310" t="str">
        <f t="shared" si="184"/>
        <v>PERDITA SEGNALE VIDEO</v>
      </c>
      <c r="U1310" t="str">
        <f t="shared" si="185"/>
        <v>Allarme</v>
      </c>
      <c r="V1310" t="str">
        <f t="shared" si="186"/>
        <v>DIREZIONE NORD</v>
      </c>
      <c r="W1310" t="str">
        <f t="shared" si="187"/>
        <v>GALLERIA SAN GIULIANO</v>
      </c>
      <c r="Z1310" t="str">
        <f t="shared" si="188"/>
        <v>10.220.80.16</v>
      </c>
    </row>
    <row r="1311" spans="1:26" x14ac:dyDescent="0.25">
      <c r="A1311" t="s">
        <v>10</v>
      </c>
      <c r="B1311" t="s">
        <v>1063</v>
      </c>
      <c r="C1311" t="s">
        <v>1761</v>
      </c>
      <c r="D1311" t="s">
        <v>1619</v>
      </c>
      <c r="E1311" t="s">
        <v>1794</v>
      </c>
      <c r="F1311" t="s">
        <v>14</v>
      </c>
      <c r="G1311" t="s">
        <v>28</v>
      </c>
      <c r="H1311" t="s">
        <v>22</v>
      </c>
      <c r="I1311" t="s">
        <v>2065</v>
      </c>
      <c r="J1311" t="s">
        <v>1899</v>
      </c>
      <c r="K1311" t="str">
        <f t="shared" si="180"/>
        <v>1241.1</v>
      </c>
      <c r="N1311" t="str">
        <f t="shared" si="181"/>
        <v>HOLDING REGISTER</v>
      </c>
      <c r="O1311" t="str">
        <f t="shared" si="182"/>
        <v>BOOL</v>
      </c>
      <c r="P1311" t="str">
        <f t="shared" si="183"/>
        <v>TELECAMERA T15N</v>
      </c>
      <c r="R1311" t="str">
        <f t="shared" si="184"/>
        <v>MANOMISSIONE</v>
      </c>
      <c r="U1311" t="str">
        <f t="shared" si="185"/>
        <v>Allarme</v>
      </c>
      <c r="V1311" t="str">
        <f t="shared" si="186"/>
        <v>DIREZIONE NORD</v>
      </c>
      <c r="W1311" t="str">
        <f t="shared" si="187"/>
        <v>GALLERIA SAN GIULIANO</v>
      </c>
      <c r="Z1311" t="str">
        <f t="shared" si="188"/>
        <v>10.220.80.16</v>
      </c>
    </row>
    <row r="1312" spans="1:26" x14ac:dyDescent="0.25">
      <c r="A1312" t="s">
        <v>10</v>
      </c>
      <c r="B1312" t="s">
        <v>1063</v>
      </c>
      <c r="C1312" t="s">
        <v>1761</v>
      </c>
      <c r="D1312" t="s">
        <v>1619</v>
      </c>
      <c r="E1312" t="s">
        <v>1794</v>
      </c>
      <c r="F1312" t="s">
        <v>14</v>
      </c>
      <c r="G1312" t="s">
        <v>1375</v>
      </c>
      <c r="H1312" t="s">
        <v>22</v>
      </c>
      <c r="I1312" t="s">
        <v>2066</v>
      </c>
      <c r="J1312" t="s">
        <v>1375</v>
      </c>
      <c r="K1312" t="str">
        <f t="shared" si="180"/>
        <v>1241.2</v>
      </c>
      <c r="N1312" t="str">
        <f t="shared" si="181"/>
        <v>HOLDING REGISTER</v>
      </c>
      <c r="O1312" t="str">
        <f t="shared" si="182"/>
        <v>BOOL</v>
      </c>
      <c r="P1312" t="str">
        <f t="shared" si="183"/>
        <v>TELECAMERA T15N</v>
      </c>
      <c r="R1312" t="str">
        <f t="shared" si="184"/>
        <v>disponibile</v>
      </c>
      <c r="U1312" t="str">
        <f t="shared" si="185"/>
        <v>disponibile</v>
      </c>
      <c r="V1312" t="str">
        <f t="shared" si="186"/>
        <v>DIREZIONE NORD</v>
      </c>
      <c r="W1312" t="str">
        <f t="shared" si="187"/>
        <v>GALLERIA SAN GIULIANO</v>
      </c>
      <c r="Z1312" t="str">
        <f t="shared" si="188"/>
        <v>10.220.80.16</v>
      </c>
    </row>
    <row r="1313" spans="1:26" x14ac:dyDescent="0.25">
      <c r="A1313" t="s">
        <v>10</v>
      </c>
      <c r="B1313" t="s">
        <v>1063</v>
      </c>
      <c r="C1313" t="s">
        <v>1761</v>
      </c>
      <c r="D1313" t="s">
        <v>1619</v>
      </c>
      <c r="E1313" t="s">
        <v>1794</v>
      </c>
      <c r="F1313" t="s">
        <v>14</v>
      </c>
      <c r="G1313" t="s">
        <v>28</v>
      </c>
      <c r="H1313" t="s">
        <v>22</v>
      </c>
      <c r="I1313" t="s">
        <v>2067</v>
      </c>
      <c r="J1313" t="s">
        <v>1902</v>
      </c>
      <c r="K1313" t="str">
        <f t="shared" si="180"/>
        <v>1241.3</v>
      </c>
      <c r="N1313" t="str">
        <f t="shared" si="181"/>
        <v>HOLDING REGISTER</v>
      </c>
      <c r="O1313" t="str">
        <f t="shared" si="182"/>
        <v>BOOL</v>
      </c>
      <c r="P1313" t="str">
        <f t="shared" si="183"/>
        <v>TELECAMERA T15N</v>
      </c>
      <c r="R1313" t="str">
        <f t="shared" si="184"/>
        <v>VEICOLO FERMO</v>
      </c>
      <c r="U1313" t="str">
        <f t="shared" si="185"/>
        <v>Allarme</v>
      </c>
      <c r="V1313" t="str">
        <f t="shared" si="186"/>
        <v>DIREZIONE NORD</v>
      </c>
      <c r="W1313" t="str">
        <f t="shared" si="187"/>
        <v>GALLERIA SAN GIULIANO</v>
      </c>
      <c r="Z1313" t="str">
        <f t="shared" si="188"/>
        <v>10.220.80.16</v>
      </c>
    </row>
    <row r="1314" spans="1:26" x14ac:dyDescent="0.25">
      <c r="A1314" t="s">
        <v>10</v>
      </c>
      <c r="B1314" t="s">
        <v>1063</v>
      </c>
      <c r="C1314" t="s">
        <v>1761</v>
      </c>
      <c r="D1314" t="s">
        <v>1619</v>
      </c>
      <c r="E1314" t="s">
        <v>1794</v>
      </c>
      <c r="F1314" t="s">
        <v>14</v>
      </c>
      <c r="G1314" t="s">
        <v>28</v>
      </c>
      <c r="H1314" t="s">
        <v>22</v>
      </c>
      <c r="I1314" t="s">
        <v>2068</v>
      </c>
      <c r="J1314" t="s">
        <v>1904</v>
      </c>
      <c r="K1314" t="str">
        <f t="shared" si="180"/>
        <v>1241.4</v>
      </c>
      <c r="N1314" t="str">
        <f t="shared" si="181"/>
        <v>HOLDING REGISTER</v>
      </c>
      <c r="O1314" t="str">
        <f t="shared" si="182"/>
        <v>BOOL</v>
      </c>
      <c r="P1314" t="str">
        <f t="shared" si="183"/>
        <v>TELECAMERA T15N</v>
      </c>
      <c r="R1314" t="str">
        <f t="shared" si="184"/>
        <v>CARICO DISPERSO</v>
      </c>
      <c r="U1314" t="str">
        <f t="shared" si="185"/>
        <v>Allarme</v>
      </c>
      <c r="V1314" t="str">
        <f t="shared" si="186"/>
        <v>DIREZIONE NORD</v>
      </c>
      <c r="W1314" t="str">
        <f t="shared" si="187"/>
        <v>GALLERIA SAN GIULIANO</v>
      </c>
      <c r="Z1314" t="str">
        <f t="shared" si="188"/>
        <v>10.220.80.16</v>
      </c>
    </row>
    <row r="1315" spans="1:26" x14ac:dyDescent="0.25">
      <c r="A1315" t="s">
        <v>10</v>
      </c>
      <c r="B1315" t="s">
        <v>1063</v>
      </c>
      <c r="C1315" t="s">
        <v>1761</v>
      </c>
      <c r="D1315" t="s">
        <v>1619</v>
      </c>
      <c r="E1315" t="s">
        <v>1794</v>
      </c>
      <c r="F1315" t="s">
        <v>14</v>
      </c>
      <c r="G1315" t="s">
        <v>1375</v>
      </c>
      <c r="H1315" t="s">
        <v>22</v>
      </c>
      <c r="I1315" t="s">
        <v>2069</v>
      </c>
      <c r="J1315" t="s">
        <v>1375</v>
      </c>
      <c r="K1315" t="str">
        <f t="shared" si="180"/>
        <v>1241.5</v>
      </c>
      <c r="N1315" t="str">
        <f t="shared" si="181"/>
        <v>HOLDING REGISTER</v>
      </c>
      <c r="O1315" t="str">
        <f t="shared" si="182"/>
        <v>BOOL</v>
      </c>
      <c r="P1315" t="str">
        <f t="shared" si="183"/>
        <v>TELECAMERA T15N</v>
      </c>
      <c r="R1315" t="str">
        <f t="shared" si="184"/>
        <v>disponibile</v>
      </c>
      <c r="U1315" t="str">
        <f t="shared" si="185"/>
        <v>disponibile</v>
      </c>
      <c r="V1315" t="str">
        <f t="shared" si="186"/>
        <v>DIREZIONE NORD</v>
      </c>
      <c r="W1315" t="str">
        <f t="shared" si="187"/>
        <v>GALLERIA SAN GIULIANO</v>
      </c>
      <c r="Z1315" t="str">
        <f t="shared" si="188"/>
        <v>10.220.80.16</v>
      </c>
    </row>
    <row r="1316" spans="1:26" x14ac:dyDescent="0.25">
      <c r="A1316" t="s">
        <v>10</v>
      </c>
      <c r="B1316" t="s">
        <v>1063</v>
      </c>
      <c r="C1316" t="s">
        <v>1761</v>
      </c>
      <c r="D1316" t="s">
        <v>1619</v>
      </c>
      <c r="E1316" t="s">
        <v>1794</v>
      </c>
      <c r="F1316" t="s">
        <v>14</v>
      </c>
      <c r="G1316" t="s">
        <v>28</v>
      </c>
      <c r="H1316" t="s">
        <v>22</v>
      </c>
      <c r="I1316" t="s">
        <v>2070</v>
      </c>
      <c r="J1316" t="s">
        <v>1907</v>
      </c>
      <c r="K1316" t="str">
        <f t="shared" si="180"/>
        <v>1241.6</v>
      </c>
      <c r="N1316" t="str">
        <f t="shared" si="181"/>
        <v>HOLDING REGISTER</v>
      </c>
      <c r="O1316" t="str">
        <f t="shared" si="182"/>
        <v>BOOL</v>
      </c>
      <c r="P1316" t="str">
        <f t="shared" si="183"/>
        <v>TELECAMERA T15N</v>
      </c>
      <c r="R1316" t="str">
        <f t="shared" si="184"/>
        <v>PEDONE</v>
      </c>
      <c r="U1316" t="str">
        <f t="shared" si="185"/>
        <v>Allarme</v>
      </c>
      <c r="V1316" t="str">
        <f t="shared" si="186"/>
        <v>DIREZIONE NORD</v>
      </c>
      <c r="W1316" t="str">
        <f t="shared" si="187"/>
        <v>GALLERIA SAN GIULIANO</v>
      </c>
      <c r="Z1316" t="str">
        <f t="shared" si="188"/>
        <v>10.220.80.16</v>
      </c>
    </row>
    <row r="1317" spans="1:26" x14ac:dyDescent="0.25">
      <c r="A1317" t="s">
        <v>10</v>
      </c>
      <c r="B1317" t="s">
        <v>1063</v>
      </c>
      <c r="C1317" t="s">
        <v>1761</v>
      </c>
      <c r="D1317" t="s">
        <v>1619</v>
      </c>
      <c r="E1317" t="s">
        <v>1794</v>
      </c>
      <c r="F1317" t="s">
        <v>14</v>
      </c>
      <c r="G1317" t="s">
        <v>28</v>
      </c>
      <c r="H1317" t="s">
        <v>22</v>
      </c>
      <c r="I1317" t="s">
        <v>2071</v>
      </c>
      <c r="J1317" t="s">
        <v>1909</v>
      </c>
      <c r="K1317" t="str">
        <f t="shared" si="180"/>
        <v>1241.7</v>
      </c>
      <c r="N1317" t="str">
        <f t="shared" si="181"/>
        <v>HOLDING REGISTER</v>
      </c>
      <c r="O1317" t="str">
        <f t="shared" si="182"/>
        <v>BOOL</v>
      </c>
      <c r="P1317" t="str">
        <f t="shared" si="183"/>
        <v>TELECAMERA T15N</v>
      </c>
      <c r="R1317" t="str">
        <f t="shared" si="184"/>
        <v>FUMO</v>
      </c>
      <c r="U1317" t="str">
        <f t="shared" si="185"/>
        <v>Allarme</v>
      </c>
      <c r="V1317" t="str">
        <f t="shared" si="186"/>
        <v>DIREZIONE NORD</v>
      </c>
      <c r="W1317" t="str">
        <f t="shared" si="187"/>
        <v>GALLERIA SAN GIULIANO</v>
      </c>
      <c r="Z1317" t="str">
        <f t="shared" si="188"/>
        <v>10.220.80.16</v>
      </c>
    </row>
    <row r="1318" spans="1:26" x14ac:dyDescent="0.25">
      <c r="A1318" t="s">
        <v>10</v>
      </c>
      <c r="B1318" t="s">
        <v>1063</v>
      </c>
      <c r="C1318" t="s">
        <v>1761</v>
      </c>
      <c r="D1318" t="s">
        <v>1619</v>
      </c>
      <c r="E1318" t="s">
        <v>1794</v>
      </c>
      <c r="F1318" t="s">
        <v>14</v>
      </c>
      <c r="G1318" t="s">
        <v>28</v>
      </c>
      <c r="H1318" t="s">
        <v>22</v>
      </c>
      <c r="I1318" t="s">
        <v>2072</v>
      </c>
      <c r="J1318" t="s">
        <v>1911</v>
      </c>
      <c r="K1318" t="str">
        <f t="shared" si="180"/>
        <v>1241.8</v>
      </c>
      <c r="N1318" t="str">
        <f t="shared" si="181"/>
        <v>HOLDING REGISTER</v>
      </c>
      <c r="O1318" t="str">
        <f t="shared" si="182"/>
        <v>BOOL</v>
      </c>
      <c r="P1318" t="str">
        <f t="shared" si="183"/>
        <v>TELECAMERA T15N</v>
      </c>
      <c r="R1318" t="str">
        <f t="shared" si="184"/>
        <v>RALLENTAMENTI</v>
      </c>
      <c r="U1318" t="str">
        <f t="shared" si="185"/>
        <v>Allarme</v>
      </c>
      <c r="V1318" t="str">
        <f t="shared" si="186"/>
        <v>DIREZIONE NORD</v>
      </c>
      <c r="W1318" t="str">
        <f t="shared" si="187"/>
        <v>GALLERIA SAN GIULIANO</v>
      </c>
      <c r="Z1318" t="str">
        <f t="shared" si="188"/>
        <v>10.220.80.16</v>
      </c>
    </row>
    <row r="1319" spans="1:26" x14ac:dyDescent="0.25">
      <c r="A1319" t="s">
        <v>10</v>
      </c>
      <c r="B1319" t="s">
        <v>1063</v>
      </c>
      <c r="C1319" t="s">
        <v>1761</v>
      </c>
      <c r="D1319" t="s">
        <v>1619</v>
      </c>
      <c r="E1319" t="s">
        <v>1794</v>
      </c>
      <c r="F1319" t="s">
        <v>14</v>
      </c>
      <c r="G1319" t="s">
        <v>28</v>
      </c>
      <c r="H1319" t="s">
        <v>22</v>
      </c>
      <c r="I1319" t="s">
        <v>2073</v>
      </c>
      <c r="J1319" t="s">
        <v>1913</v>
      </c>
      <c r="K1319" t="str">
        <f t="shared" si="180"/>
        <v>1241.9</v>
      </c>
      <c r="N1319" t="str">
        <f t="shared" si="181"/>
        <v>HOLDING REGISTER</v>
      </c>
      <c r="O1319" t="str">
        <f t="shared" si="182"/>
        <v>BOOL</v>
      </c>
      <c r="P1319" t="str">
        <f t="shared" si="183"/>
        <v>TELECAMERA T15N</v>
      </c>
      <c r="R1319" t="str">
        <f t="shared" si="184"/>
        <v>CODA IN GALLERIA</v>
      </c>
      <c r="U1319" t="str">
        <f t="shared" si="185"/>
        <v>Allarme</v>
      </c>
      <c r="V1319" t="str">
        <f t="shared" si="186"/>
        <v>DIREZIONE NORD</v>
      </c>
      <c r="W1319" t="str">
        <f t="shared" si="187"/>
        <v>GALLERIA SAN GIULIANO</v>
      </c>
      <c r="Z1319" t="str">
        <f t="shared" si="188"/>
        <v>10.220.80.16</v>
      </c>
    </row>
    <row r="1320" spans="1:26" x14ac:dyDescent="0.25">
      <c r="A1320" t="s">
        <v>10</v>
      </c>
      <c r="B1320" t="s">
        <v>1063</v>
      </c>
      <c r="C1320" t="s">
        <v>1761</v>
      </c>
      <c r="D1320" t="s">
        <v>1619</v>
      </c>
      <c r="E1320" t="s">
        <v>1794</v>
      </c>
      <c r="F1320" t="s">
        <v>14</v>
      </c>
      <c r="G1320" t="s">
        <v>1375</v>
      </c>
      <c r="H1320" t="s">
        <v>22</v>
      </c>
      <c r="I1320" t="s">
        <v>2074</v>
      </c>
      <c r="J1320" t="s">
        <v>1375</v>
      </c>
      <c r="K1320" t="str">
        <f t="shared" si="180"/>
        <v>1241.10</v>
      </c>
      <c r="N1320" t="str">
        <f t="shared" si="181"/>
        <v>HOLDING REGISTER</v>
      </c>
      <c r="O1320" t="str">
        <f t="shared" si="182"/>
        <v>BOOL</v>
      </c>
      <c r="P1320" t="str">
        <f t="shared" si="183"/>
        <v>TELECAMERA T15N</v>
      </c>
      <c r="R1320" t="str">
        <f t="shared" si="184"/>
        <v>disponibile</v>
      </c>
      <c r="U1320" t="str">
        <f t="shared" si="185"/>
        <v>disponibile</v>
      </c>
      <c r="V1320" t="str">
        <f t="shared" si="186"/>
        <v>DIREZIONE NORD</v>
      </c>
      <c r="W1320" t="str">
        <f t="shared" si="187"/>
        <v>GALLERIA SAN GIULIANO</v>
      </c>
      <c r="Z1320" t="str">
        <f t="shared" si="188"/>
        <v>10.220.80.16</v>
      </c>
    </row>
    <row r="1321" spans="1:26" x14ac:dyDescent="0.25">
      <c r="A1321" t="s">
        <v>10</v>
      </c>
      <c r="B1321" t="s">
        <v>1063</v>
      </c>
      <c r="C1321" t="s">
        <v>1761</v>
      </c>
      <c r="D1321" t="s">
        <v>1619</v>
      </c>
      <c r="E1321" t="s">
        <v>1794</v>
      </c>
      <c r="F1321" t="s">
        <v>14</v>
      </c>
      <c r="G1321" t="s">
        <v>1375</v>
      </c>
      <c r="H1321" t="s">
        <v>22</v>
      </c>
      <c r="I1321" t="s">
        <v>2075</v>
      </c>
      <c r="J1321" t="s">
        <v>1375</v>
      </c>
      <c r="K1321" t="str">
        <f t="shared" si="180"/>
        <v>1241.11</v>
      </c>
      <c r="N1321" t="str">
        <f t="shared" si="181"/>
        <v>HOLDING REGISTER</v>
      </c>
      <c r="O1321" t="str">
        <f t="shared" si="182"/>
        <v>BOOL</v>
      </c>
      <c r="P1321" t="str">
        <f t="shared" si="183"/>
        <v>TELECAMERA T15N</v>
      </c>
      <c r="R1321" t="str">
        <f t="shared" si="184"/>
        <v>disponibile</v>
      </c>
      <c r="U1321" t="str">
        <f t="shared" si="185"/>
        <v>disponibile</v>
      </c>
      <c r="V1321" t="str">
        <f t="shared" si="186"/>
        <v>DIREZIONE NORD</v>
      </c>
      <c r="W1321" t="str">
        <f t="shared" si="187"/>
        <v>GALLERIA SAN GIULIANO</v>
      </c>
      <c r="Z1321" t="str">
        <f t="shared" si="188"/>
        <v>10.220.80.16</v>
      </c>
    </row>
    <row r="1322" spans="1:26" x14ac:dyDescent="0.25">
      <c r="A1322" t="s">
        <v>10</v>
      </c>
      <c r="B1322" t="s">
        <v>1063</v>
      </c>
      <c r="C1322" t="s">
        <v>1761</v>
      </c>
      <c r="D1322" t="s">
        <v>1619</v>
      </c>
      <c r="E1322" t="s">
        <v>1794</v>
      </c>
      <c r="F1322" t="s">
        <v>14</v>
      </c>
      <c r="G1322" t="s">
        <v>1375</v>
      </c>
      <c r="H1322" t="s">
        <v>22</v>
      </c>
      <c r="I1322" t="s">
        <v>2076</v>
      </c>
      <c r="J1322" t="s">
        <v>1375</v>
      </c>
      <c r="K1322" t="str">
        <f t="shared" si="180"/>
        <v>1241.12</v>
      </c>
      <c r="N1322" t="str">
        <f t="shared" si="181"/>
        <v>HOLDING REGISTER</v>
      </c>
      <c r="O1322" t="str">
        <f t="shared" si="182"/>
        <v>BOOL</v>
      </c>
      <c r="P1322" t="str">
        <f t="shared" si="183"/>
        <v>TELECAMERA T15N</v>
      </c>
      <c r="R1322" t="str">
        <f t="shared" si="184"/>
        <v>disponibile</v>
      </c>
      <c r="U1322" t="str">
        <f t="shared" si="185"/>
        <v>disponibile</v>
      </c>
      <c r="V1322" t="str">
        <f t="shared" si="186"/>
        <v>DIREZIONE NORD</v>
      </c>
      <c r="W1322" t="str">
        <f t="shared" si="187"/>
        <v>GALLERIA SAN GIULIANO</v>
      </c>
      <c r="Z1322" t="str">
        <f t="shared" si="188"/>
        <v>10.220.80.16</v>
      </c>
    </row>
    <row r="1323" spans="1:26" x14ac:dyDescent="0.25">
      <c r="A1323" t="s">
        <v>10</v>
      </c>
      <c r="B1323" t="s">
        <v>1063</v>
      </c>
      <c r="C1323" t="s">
        <v>1761</v>
      </c>
      <c r="D1323" t="s">
        <v>1619</v>
      </c>
      <c r="E1323" t="s">
        <v>1794</v>
      </c>
      <c r="F1323" t="s">
        <v>14</v>
      </c>
      <c r="G1323" t="s">
        <v>1375</v>
      </c>
      <c r="H1323" t="s">
        <v>22</v>
      </c>
      <c r="I1323" t="s">
        <v>2077</v>
      </c>
      <c r="J1323" t="s">
        <v>1375</v>
      </c>
      <c r="K1323" t="str">
        <f t="shared" si="180"/>
        <v>1241.13</v>
      </c>
      <c r="N1323" t="str">
        <f t="shared" si="181"/>
        <v>HOLDING REGISTER</v>
      </c>
      <c r="O1323" t="str">
        <f t="shared" si="182"/>
        <v>BOOL</v>
      </c>
      <c r="P1323" t="str">
        <f t="shared" si="183"/>
        <v>TELECAMERA T15N</v>
      </c>
      <c r="R1323" t="str">
        <f t="shared" si="184"/>
        <v>disponibile</v>
      </c>
      <c r="U1323" t="str">
        <f t="shared" si="185"/>
        <v>disponibile</v>
      </c>
      <c r="V1323" t="str">
        <f t="shared" si="186"/>
        <v>DIREZIONE NORD</v>
      </c>
      <c r="W1323" t="str">
        <f t="shared" si="187"/>
        <v>GALLERIA SAN GIULIANO</v>
      </c>
      <c r="Z1323" t="str">
        <f t="shared" si="188"/>
        <v>10.220.80.16</v>
      </c>
    </row>
    <row r="1324" spans="1:26" x14ac:dyDescent="0.25">
      <c r="A1324" t="s">
        <v>10</v>
      </c>
      <c r="B1324" t="s">
        <v>1063</v>
      </c>
      <c r="C1324" t="s">
        <v>1761</v>
      </c>
      <c r="D1324" t="s">
        <v>1619</v>
      </c>
      <c r="E1324" t="s">
        <v>1794</v>
      </c>
      <c r="F1324" t="s">
        <v>14</v>
      </c>
      <c r="G1324" t="s">
        <v>1375</v>
      </c>
      <c r="H1324" t="s">
        <v>22</v>
      </c>
      <c r="I1324" t="s">
        <v>2078</v>
      </c>
      <c r="J1324" t="s">
        <v>1375</v>
      </c>
      <c r="K1324" t="str">
        <f t="shared" si="180"/>
        <v>1241.14</v>
      </c>
      <c r="N1324" t="str">
        <f t="shared" si="181"/>
        <v>HOLDING REGISTER</v>
      </c>
      <c r="O1324" t="str">
        <f t="shared" si="182"/>
        <v>BOOL</v>
      </c>
      <c r="P1324" t="str">
        <f t="shared" si="183"/>
        <v>TELECAMERA T15N</v>
      </c>
      <c r="R1324" t="str">
        <f t="shared" si="184"/>
        <v>disponibile</v>
      </c>
      <c r="U1324" t="str">
        <f t="shared" si="185"/>
        <v>disponibile</v>
      </c>
      <c r="V1324" t="str">
        <f t="shared" si="186"/>
        <v>DIREZIONE NORD</v>
      </c>
      <c r="W1324" t="str">
        <f t="shared" si="187"/>
        <v>GALLERIA SAN GIULIANO</v>
      </c>
      <c r="Z1324" t="str">
        <f t="shared" si="188"/>
        <v>10.220.80.16</v>
      </c>
    </row>
    <row r="1325" spans="1:26" x14ac:dyDescent="0.25">
      <c r="A1325" t="s">
        <v>10</v>
      </c>
      <c r="B1325" t="s">
        <v>1063</v>
      </c>
      <c r="C1325" t="s">
        <v>1761</v>
      </c>
      <c r="D1325" t="s">
        <v>1619</v>
      </c>
      <c r="E1325" t="s">
        <v>1794</v>
      </c>
      <c r="F1325" t="s">
        <v>14</v>
      </c>
      <c r="G1325" t="s">
        <v>1375</v>
      </c>
      <c r="H1325" t="s">
        <v>22</v>
      </c>
      <c r="I1325" t="s">
        <v>2079</v>
      </c>
      <c r="J1325" t="s">
        <v>1375</v>
      </c>
      <c r="K1325" t="str">
        <f t="shared" si="180"/>
        <v>1241.15</v>
      </c>
      <c r="N1325" t="str">
        <f t="shared" si="181"/>
        <v>HOLDING REGISTER</v>
      </c>
      <c r="O1325" t="str">
        <f t="shared" si="182"/>
        <v>BOOL</v>
      </c>
      <c r="P1325" t="str">
        <f t="shared" si="183"/>
        <v>TELECAMERA T15N</v>
      </c>
      <c r="R1325" t="str">
        <f t="shared" si="184"/>
        <v>disponibile</v>
      </c>
      <c r="U1325" t="str">
        <f t="shared" si="185"/>
        <v>disponibile</v>
      </c>
      <c r="V1325" t="str">
        <f t="shared" si="186"/>
        <v>DIREZIONE NORD</v>
      </c>
      <c r="W1325" t="str">
        <f t="shared" si="187"/>
        <v>GALLERIA SAN GIULIANO</v>
      </c>
      <c r="Z1325" t="str">
        <f t="shared" si="188"/>
        <v>10.220.80.16</v>
      </c>
    </row>
    <row r="1326" spans="1:26" x14ac:dyDescent="0.25">
      <c r="A1326" t="s">
        <v>10</v>
      </c>
      <c r="B1326" t="s">
        <v>1063</v>
      </c>
      <c r="C1326" t="s">
        <v>1761</v>
      </c>
      <c r="D1326" t="s">
        <v>1619</v>
      </c>
      <c r="E1326" t="s">
        <v>1811</v>
      </c>
      <c r="F1326" t="s">
        <v>14</v>
      </c>
      <c r="G1326" t="s">
        <v>28</v>
      </c>
      <c r="H1326" t="s">
        <v>22</v>
      </c>
      <c r="I1326" t="s">
        <v>2080</v>
      </c>
      <c r="J1326" t="s">
        <v>1897</v>
      </c>
      <c r="K1326" t="str">
        <f t="shared" si="180"/>
        <v>1242.0</v>
      </c>
      <c r="N1326" t="str">
        <f t="shared" si="181"/>
        <v>HOLDING REGISTER</v>
      </c>
      <c r="O1326" t="str">
        <f t="shared" si="182"/>
        <v>BOOL</v>
      </c>
      <c r="P1326" t="str">
        <f t="shared" si="183"/>
        <v>TELECAMERA T16N</v>
      </c>
      <c r="R1326" t="str">
        <f t="shared" si="184"/>
        <v>PERDITA SEGNALE VIDEO</v>
      </c>
      <c r="U1326" t="str">
        <f t="shared" si="185"/>
        <v>Allarme</v>
      </c>
      <c r="V1326" t="str">
        <f t="shared" si="186"/>
        <v>DIREZIONE NORD</v>
      </c>
      <c r="W1326" t="str">
        <f t="shared" si="187"/>
        <v>GALLERIA SAN GIULIANO</v>
      </c>
      <c r="Z1326" t="str">
        <f t="shared" si="188"/>
        <v>10.220.80.16</v>
      </c>
    </row>
    <row r="1327" spans="1:26" x14ac:dyDescent="0.25">
      <c r="A1327" t="s">
        <v>10</v>
      </c>
      <c r="B1327" t="s">
        <v>1063</v>
      </c>
      <c r="C1327" t="s">
        <v>1761</v>
      </c>
      <c r="D1327" t="s">
        <v>1619</v>
      </c>
      <c r="E1327" t="s">
        <v>1811</v>
      </c>
      <c r="F1327" t="s">
        <v>14</v>
      </c>
      <c r="G1327" t="s">
        <v>28</v>
      </c>
      <c r="H1327" t="s">
        <v>22</v>
      </c>
      <c r="I1327" t="s">
        <v>2081</v>
      </c>
      <c r="J1327" t="s">
        <v>1899</v>
      </c>
      <c r="K1327" t="str">
        <f t="shared" si="180"/>
        <v>1242.1</v>
      </c>
      <c r="N1327" t="str">
        <f t="shared" si="181"/>
        <v>HOLDING REGISTER</v>
      </c>
      <c r="O1327" t="str">
        <f t="shared" si="182"/>
        <v>BOOL</v>
      </c>
      <c r="P1327" t="str">
        <f t="shared" si="183"/>
        <v>TELECAMERA T16N</v>
      </c>
      <c r="R1327" t="str">
        <f t="shared" si="184"/>
        <v>MANOMISSIONE</v>
      </c>
      <c r="U1327" t="str">
        <f t="shared" si="185"/>
        <v>Allarme</v>
      </c>
      <c r="V1327" t="str">
        <f t="shared" si="186"/>
        <v>DIREZIONE NORD</v>
      </c>
      <c r="W1327" t="str">
        <f t="shared" si="187"/>
        <v>GALLERIA SAN GIULIANO</v>
      </c>
      <c r="Z1327" t="str">
        <f t="shared" si="188"/>
        <v>10.220.80.16</v>
      </c>
    </row>
    <row r="1328" spans="1:26" x14ac:dyDescent="0.25">
      <c r="A1328" t="s">
        <v>10</v>
      </c>
      <c r="B1328" t="s">
        <v>1063</v>
      </c>
      <c r="C1328" t="s">
        <v>1761</v>
      </c>
      <c r="D1328" t="s">
        <v>1619</v>
      </c>
      <c r="E1328" t="s">
        <v>1811</v>
      </c>
      <c r="F1328" t="s">
        <v>14</v>
      </c>
      <c r="G1328" t="s">
        <v>1375</v>
      </c>
      <c r="H1328" t="s">
        <v>22</v>
      </c>
      <c r="I1328" t="s">
        <v>2082</v>
      </c>
      <c r="J1328" t="s">
        <v>1375</v>
      </c>
      <c r="K1328" t="str">
        <f t="shared" si="180"/>
        <v>1242.2</v>
      </c>
      <c r="N1328" t="str">
        <f t="shared" si="181"/>
        <v>HOLDING REGISTER</v>
      </c>
      <c r="O1328" t="str">
        <f t="shared" si="182"/>
        <v>BOOL</v>
      </c>
      <c r="P1328" t="str">
        <f t="shared" si="183"/>
        <v>TELECAMERA T16N</v>
      </c>
      <c r="R1328" t="str">
        <f t="shared" si="184"/>
        <v>disponibile</v>
      </c>
      <c r="U1328" t="str">
        <f t="shared" si="185"/>
        <v>disponibile</v>
      </c>
      <c r="V1328" t="str">
        <f t="shared" si="186"/>
        <v>DIREZIONE NORD</v>
      </c>
      <c r="W1328" t="str">
        <f t="shared" si="187"/>
        <v>GALLERIA SAN GIULIANO</v>
      </c>
      <c r="Z1328" t="str">
        <f t="shared" si="188"/>
        <v>10.220.80.16</v>
      </c>
    </row>
    <row r="1329" spans="1:26" x14ac:dyDescent="0.25">
      <c r="A1329" t="s">
        <v>10</v>
      </c>
      <c r="B1329" t="s">
        <v>1063</v>
      </c>
      <c r="C1329" t="s">
        <v>1761</v>
      </c>
      <c r="D1329" t="s">
        <v>1619</v>
      </c>
      <c r="E1329" t="s">
        <v>1811</v>
      </c>
      <c r="F1329" t="s">
        <v>14</v>
      </c>
      <c r="G1329" t="s">
        <v>28</v>
      </c>
      <c r="H1329" t="s">
        <v>22</v>
      </c>
      <c r="I1329" t="s">
        <v>2083</v>
      </c>
      <c r="J1329" t="s">
        <v>1902</v>
      </c>
      <c r="K1329" t="str">
        <f t="shared" si="180"/>
        <v>1242.3</v>
      </c>
      <c r="N1329" t="str">
        <f t="shared" si="181"/>
        <v>HOLDING REGISTER</v>
      </c>
      <c r="O1329" t="str">
        <f t="shared" si="182"/>
        <v>BOOL</v>
      </c>
      <c r="P1329" t="str">
        <f t="shared" si="183"/>
        <v>TELECAMERA T16N</v>
      </c>
      <c r="R1329" t="str">
        <f t="shared" si="184"/>
        <v>VEICOLO FERMO</v>
      </c>
      <c r="U1329" t="str">
        <f t="shared" si="185"/>
        <v>Allarme</v>
      </c>
      <c r="V1329" t="str">
        <f t="shared" si="186"/>
        <v>DIREZIONE NORD</v>
      </c>
      <c r="W1329" t="str">
        <f t="shared" si="187"/>
        <v>GALLERIA SAN GIULIANO</v>
      </c>
      <c r="Z1329" t="str">
        <f t="shared" si="188"/>
        <v>10.220.80.16</v>
      </c>
    </row>
    <row r="1330" spans="1:26" x14ac:dyDescent="0.25">
      <c r="A1330" t="s">
        <v>10</v>
      </c>
      <c r="B1330" t="s">
        <v>1063</v>
      </c>
      <c r="C1330" t="s">
        <v>1761</v>
      </c>
      <c r="D1330" t="s">
        <v>1619</v>
      </c>
      <c r="E1330" t="s">
        <v>1811</v>
      </c>
      <c r="F1330" t="s">
        <v>14</v>
      </c>
      <c r="G1330" t="s">
        <v>28</v>
      </c>
      <c r="H1330" t="s">
        <v>22</v>
      </c>
      <c r="I1330" t="s">
        <v>2084</v>
      </c>
      <c r="J1330" t="s">
        <v>1904</v>
      </c>
      <c r="K1330" t="str">
        <f t="shared" si="180"/>
        <v>1242.4</v>
      </c>
      <c r="N1330" t="str">
        <f t="shared" si="181"/>
        <v>HOLDING REGISTER</v>
      </c>
      <c r="O1330" t="str">
        <f t="shared" si="182"/>
        <v>BOOL</v>
      </c>
      <c r="P1330" t="str">
        <f t="shared" si="183"/>
        <v>TELECAMERA T16N</v>
      </c>
      <c r="R1330" t="str">
        <f t="shared" si="184"/>
        <v>CARICO DISPERSO</v>
      </c>
      <c r="U1330" t="str">
        <f t="shared" si="185"/>
        <v>Allarme</v>
      </c>
      <c r="V1330" t="str">
        <f t="shared" si="186"/>
        <v>DIREZIONE NORD</v>
      </c>
      <c r="W1330" t="str">
        <f t="shared" si="187"/>
        <v>GALLERIA SAN GIULIANO</v>
      </c>
      <c r="Z1330" t="str">
        <f t="shared" si="188"/>
        <v>10.220.80.16</v>
      </c>
    </row>
    <row r="1331" spans="1:26" x14ac:dyDescent="0.25">
      <c r="A1331" t="s">
        <v>10</v>
      </c>
      <c r="B1331" t="s">
        <v>1063</v>
      </c>
      <c r="C1331" t="s">
        <v>1761</v>
      </c>
      <c r="D1331" t="s">
        <v>1619</v>
      </c>
      <c r="E1331" t="s">
        <v>1811</v>
      </c>
      <c r="F1331" t="s">
        <v>14</v>
      </c>
      <c r="G1331" t="s">
        <v>1375</v>
      </c>
      <c r="H1331" t="s">
        <v>22</v>
      </c>
      <c r="I1331" t="s">
        <v>2085</v>
      </c>
      <c r="J1331" t="s">
        <v>1375</v>
      </c>
      <c r="K1331" t="str">
        <f t="shared" si="180"/>
        <v>1242.5</v>
      </c>
      <c r="N1331" t="str">
        <f t="shared" si="181"/>
        <v>HOLDING REGISTER</v>
      </c>
      <c r="O1331" t="str">
        <f t="shared" si="182"/>
        <v>BOOL</v>
      </c>
      <c r="P1331" t="str">
        <f t="shared" si="183"/>
        <v>TELECAMERA T16N</v>
      </c>
      <c r="R1331" t="str">
        <f t="shared" si="184"/>
        <v>disponibile</v>
      </c>
      <c r="U1331" t="str">
        <f t="shared" si="185"/>
        <v>disponibile</v>
      </c>
      <c r="V1331" t="str">
        <f t="shared" si="186"/>
        <v>DIREZIONE NORD</v>
      </c>
      <c r="W1331" t="str">
        <f t="shared" si="187"/>
        <v>GALLERIA SAN GIULIANO</v>
      </c>
      <c r="Z1331" t="str">
        <f t="shared" si="188"/>
        <v>10.220.80.16</v>
      </c>
    </row>
    <row r="1332" spans="1:26" x14ac:dyDescent="0.25">
      <c r="A1332" t="s">
        <v>10</v>
      </c>
      <c r="B1332" t="s">
        <v>1063</v>
      </c>
      <c r="C1332" t="s">
        <v>1761</v>
      </c>
      <c r="D1332" t="s">
        <v>1619</v>
      </c>
      <c r="E1332" t="s">
        <v>1811</v>
      </c>
      <c r="F1332" t="s">
        <v>14</v>
      </c>
      <c r="G1332" t="s">
        <v>28</v>
      </c>
      <c r="H1332" t="s">
        <v>22</v>
      </c>
      <c r="I1332" t="s">
        <v>2086</v>
      </c>
      <c r="J1332" t="s">
        <v>1907</v>
      </c>
      <c r="K1332" t="str">
        <f t="shared" si="180"/>
        <v>1242.6</v>
      </c>
      <c r="N1332" t="str">
        <f t="shared" si="181"/>
        <v>HOLDING REGISTER</v>
      </c>
      <c r="O1332" t="str">
        <f t="shared" si="182"/>
        <v>BOOL</v>
      </c>
      <c r="P1332" t="str">
        <f t="shared" si="183"/>
        <v>TELECAMERA T16N</v>
      </c>
      <c r="R1332" t="str">
        <f t="shared" si="184"/>
        <v>PEDONE</v>
      </c>
      <c r="U1332" t="str">
        <f t="shared" si="185"/>
        <v>Allarme</v>
      </c>
      <c r="V1332" t="str">
        <f t="shared" si="186"/>
        <v>DIREZIONE NORD</v>
      </c>
      <c r="W1332" t="str">
        <f t="shared" si="187"/>
        <v>GALLERIA SAN GIULIANO</v>
      </c>
      <c r="Z1332" t="str">
        <f t="shared" si="188"/>
        <v>10.220.80.16</v>
      </c>
    </row>
    <row r="1333" spans="1:26" x14ac:dyDescent="0.25">
      <c r="A1333" t="s">
        <v>10</v>
      </c>
      <c r="B1333" t="s">
        <v>1063</v>
      </c>
      <c r="C1333" t="s">
        <v>1761</v>
      </c>
      <c r="D1333" t="s">
        <v>1619</v>
      </c>
      <c r="E1333" t="s">
        <v>1811</v>
      </c>
      <c r="F1333" t="s">
        <v>14</v>
      </c>
      <c r="G1333" t="s">
        <v>28</v>
      </c>
      <c r="H1333" t="s">
        <v>22</v>
      </c>
      <c r="I1333" t="s">
        <v>2087</v>
      </c>
      <c r="J1333" t="s">
        <v>1909</v>
      </c>
      <c r="K1333" t="str">
        <f t="shared" si="180"/>
        <v>1242.7</v>
      </c>
      <c r="N1333" t="str">
        <f t="shared" si="181"/>
        <v>HOLDING REGISTER</v>
      </c>
      <c r="O1333" t="str">
        <f t="shared" si="182"/>
        <v>BOOL</v>
      </c>
      <c r="P1333" t="str">
        <f t="shared" si="183"/>
        <v>TELECAMERA T16N</v>
      </c>
      <c r="R1333" t="str">
        <f t="shared" si="184"/>
        <v>FUMO</v>
      </c>
      <c r="U1333" t="str">
        <f t="shared" si="185"/>
        <v>Allarme</v>
      </c>
      <c r="V1333" t="str">
        <f t="shared" si="186"/>
        <v>DIREZIONE NORD</v>
      </c>
      <c r="W1333" t="str">
        <f t="shared" si="187"/>
        <v>GALLERIA SAN GIULIANO</v>
      </c>
      <c r="Z1333" t="str">
        <f t="shared" si="188"/>
        <v>10.220.80.16</v>
      </c>
    </row>
    <row r="1334" spans="1:26" x14ac:dyDescent="0.25">
      <c r="A1334" t="s">
        <v>10</v>
      </c>
      <c r="B1334" t="s">
        <v>1063</v>
      </c>
      <c r="C1334" t="s">
        <v>1761</v>
      </c>
      <c r="D1334" t="s">
        <v>1619</v>
      </c>
      <c r="E1334" t="s">
        <v>1811</v>
      </c>
      <c r="F1334" t="s">
        <v>14</v>
      </c>
      <c r="G1334" t="s">
        <v>28</v>
      </c>
      <c r="H1334" t="s">
        <v>22</v>
      </c>
      <c r="I1334" t="s">
        <v>2088</v>
      </c>
      <c r="J1334" t="s">
        <v>1911</v>
      </c>
      <c r="K1334" t="str">
        <f t="shared" si="180"/>
        <v>1242.8</v>
      </c>
      <c r="N1334" t="str">
        <f t="shared" si="181"/>
        <v>HOLDING REGISTER</v>
      </c>
      <c r="O1334" t="str">
        <f t="shared" si="182"/>
        <v>BOOL</v>
      </c>
      <c r="P1334" t="str">
        <f t="shared" si="183"/>
        <v>TELECAMERA T16N</v>
      </c>
      <c r="R1334" t="str">
        <f t="shared" si="184"/>
        <v>RALLENTAMENTI</v>
      </c>
      <c r="U1334" t="str">
        <f t="shared" si="185"/>
        <v>Allarme</v>
      </c>
      <c r="V1334" t="str">
        <f t="shared" si="186"/>
        <v>DIREZIONE NORD</v>
      </c>
      <c r="W1334" t="str">
        <f t="shared" si="187"/>
        <v>GALLERIA SAN GIULIANO</v>
      </c>
      <c r="Z1334" t="str">
        <f t="shared" si="188"/>
        <v>10.220.80.16</v>
      </c>
    </row>
    <row r="1335" spans="1:26" x14ac:dyDescent="0.25">
      <c r="A1335" t="s">
        <v>10</v>
      </c>
      <c r="B1335" t="s">
        <v>1063</v>
      </c>
      <c r="C1335" t="s">
        <v>1761</v>
      </c>
      <c r="D1335" t="s">
        <v>1619</v>
      </c>
      <c r="E1335" t="s">
        <v>1811</v>
      </c>
      <c r="F1335" t="s">
        <v>14</v>
      </c>
      <c r="G1335" t="s">
        <v>28</v>
      </c>
      <c r="H1335" t="s">
        <v>22</v>
      </c>
      <c r="I1335" t="s">
        <v>2089</v>
      </c>
      <c r="J1335" t="s">
        <v>1913</v>
      </c>
      <c r="K1335" t="str">
        <f t="shared" si="180"/>
        <v>1242.9</v>
      </c>
      <c r="N1335" t="str">
        <f t="shared" si="181"/>
        <v>HOLDING REGISTER</v>
      </c>
      <c r="O1335" t="str">
        <f t="shared" si="182"/>
        <v>BOOL</v>
      </c>
      <c r="P1335" t="str">
        <f t="shared" si="183"/>
        <v>TELECAMERA T16N</v>
      </c>
      <c r="R1335" t="str">
        <f t="shared" si="184"/>
        <v>CODA IN GALLERIA</v>
      </c>
      <c r="U1335" t="str">
        <f t="shared" si="185"/>
        <v>Allarme</v>
      </c>
      <c r="V1335" t="str">
        <f t="shared" si="186"/>
        <v>DIREZIONE NORD</v>
      </c>
      <c r="W1335" t="str">
        <f t="shared" si="187"/>
        <v>GALLERIA SAN GIULIANO</v>
      </c>
      <c r="Z1335" t="str">
        <f t="shared" si="188"/>
        <v>10.220.80.16</v>
      </c>
    </row>
    <row r="1336" spans="1:26" x14ac:dyDescent="0.25">
      <c r="A1336" t="s">
        <v>10</v>
      </c>
      <c r="B1336" t="s">
        <v>1063</v>
      </c>
      <c r="C1336" t="s">
        <v>1761</v>
      </c>
      <c r="D1336" t="s">
        <v>1619</v>
      </c>
      <c r="E1336" t="s">
        <v>1811</v>
      </c>
      <c r="F1336" t="s">
        <v>14</v>
      </c>
      <c r="G1336" t="s">
        <v>1375</v>
      </c>
      <c r="H1336" t="s">
        <v>22</v>
      </c>
      <c r="I1336" t="s">
        <v>2090</v>
      </c>
      <c r="J1336" t="s">
        <v>1375</v>
      </c>
      <c r="K1336" t="str">
        <f t="shared" si="180"/>
        <v>1242.10</v>
      </c>
      <c r="N1336" t="str">
        <f t="shared" si="181"/>
        <v>HOLDING REGISTER</v>
      </c>
      <c r="O1336" t="str">
        <f t="shared" si="182"/>
        <v>BOOL</v>
      </c>
      <c r="P1336" t="str">
        <f t="shared" si="183"/>
        <v>TELECAMERA T16N</v>
      </c>
      <c r="R1336" t="str">
        <f t="shared" si="184"/>
        <v>disponibile</v>
      </c>
      <c r="U1336" t="str">
        <f t="shared" si="185"/>
        <v>disponibile</v>
      </c>
      <c r="V1336" t="str">
        <f t="shared" si="186"/>
        <v>DIREZIONE NORD</v>
      </c>
      <c r="W1336" t="str">
        <f t="shared" si="187"/>
        <v>GALLERIA SAN GIULIANO</v>
      </c>
      <c r="Z1336" t="str">
        <f t="shared" si="188"/>
        <v>10.220.80.16</v>
      </c>
    </row>
    <row r="1337" spans="1:26" x14ac:dyDescent="0.25">
      <c r="A1337" t="s">
        <v>10</v>
      </c>
      <c r="B1337" t="s">
        <v>1063</v>
      </c>
      <c r="C1337" t="s">
        <v>1761</v>
      </c>
      <c r="D1337" t="s">
        <v>1619</v>
      </c>
      <c r="E1337" t="s">
        <v>1811</v>
      </c>
      <c r="F1337" t="s">
        <v>14</v>
      </c>
      <c r="G1337" t="s">
        <v>1375</v>
      </c>
      <c r="H1337" t="s">
        <v>22</v>
      </c>
      <c r="I1337" t="s">
        <v>2091</v>
      </c>
      <c r="J1337" t="s">
        <v>1375</v>
      </c>
      <c r="K1337" t="str">
        <f t="shared" si="180"/>
        <v>1242.11</v>
      </c>
      <c r="N1337" t="str">
        <f t="shared" si="181"/>
        <v>HOLDING REGISTER</v>
      </c>
      <c r="O1337" t="str">
        <f t="shared" si="182"/>
        <v>BOOL</v>
      </c>
      <c r="P1337" t="str">
        <f t="shared" si="183"/>
        <v>TELECAMERA T16N</v>
      </c>
      <c r="R1337" t="str">
        <f t="shared" si="184"/>
        <v>disponibile</v>
      </c>
      <c r="U1337" t="str">
        <f t="shared" si="185"/>
        <v>disponibile</v>
      </c>
      <c r="V1337" t="str">
        <f t="shared" si="186"/>
        <v>DIREZIONE NORD</v>
      </c>
      <c r="W1337" t="str">
        <f t="shared" si="187"/>
        <v>GALLERIA SAN GIULIANO</v>
      </c>
      <c r="Z1337" t="str">
        <f t="shared" si="188"/>
        <v>10.220.80.16</v>
      </c>
    </row>
    <row r="1338" spans="1:26" x14ac:dyDescent="0.25">
      <c r="A1338" t="s">
        <v>10</v>
      </c>
      <c r="B1338" t="s">
        <v>1063</v>
      </c>
      <c r="C1338" t="s">
        <v>1761</v>
      </c>
      <c r="D1338" t="s">
        <v>1619</v>
      </c>
      <c r="E1338" t="s">
        <v>1811</v>
      </c>
      <c r="F1338" t="s">
        <v>14</v>
      </c>
      <c r="G1338" t="s">
        <v>1375</v>
      </c>
      <c r="H1338" t="s">
        <v>22</v>
      </c>
      <c r="I1338" t="s">
        <v>2092</v>
      </c>
      <c r="J1338" t="s">
        <v>1375</v>
      </c>
      <c r="K1338" t="str">
        <f t="shared" si="180"/>
        <v>1242.12</v>
      </c>
      <c r="N1338" t="str">
        <f t="shared" si="181"/>
        <v>HOLDING REGISTER</v>
      </c>
      <c r="O1338" t="str">
        <f t="shared" si="182"/>
        <v>BOOL</v>
      </c>
      <c r="P1338" t="str">
        <f t="shared" si="183"/>
        <v>TELECAMERA T16N</v>
      </c>
      <c r="R1338" t="str">
        <f t="shared" si="184"/>
        <v>disponibile</v>
      </c>
      <c r="U1338" t="str">
        <f t="shared" si="185"/>
        <v>disponibile</v>
      </c>
      <c r="V1338" t="str">
        <f t="shared" si="186"/>
        <v>DIREZIONE NORD</v>
      </c>
      <c r="W1338" t="str">
        <f t="shared" si="187"/>
        <v>GALLERIA SAN GIULIANO</v>
      </c>
      <c r="Z1338" t="str">
        <f t="shared" si="188"/>
        <v>10.220.80.16</v>
      </c>
    </row>
    <row r="1339" spans="1:26" x14ac:dyDescent="0.25">
      <c r="A1339" t="s">
        <v>10</v>
      </c>
      <c r="B1339" t="s">
        <v>1063</v>
      </c>
      <c r="C1339" t="s">
        <v>1761</v>
      </c>
      <c r="D1339" t="s">
        <v>1619</v>
      </c>
      <c r="E1339" t="s">
        <v>1811</v>
      </c>
      <c r="F1339" t="s">
        <v>14</v>
      </c>
      <c r="G1339" t="s">
        <v>1375</v>
      </c>
      <c r="H1339" t="s">
        <v>22</v>
      </c>
      <c r="I1339" t="s">
        <v>2093</v>
      </c>
      <c r="J1339" t="s">
        <v>1375</v>
      </c>
      <c r="K1339" t="str">
        <f t="shared" si="180"/>
        <v>1242.13</v>
      </c>
      <c r="N1339" t="str">
        <f t="shared" si="181"/>
        <v>HOLDING REGISTER</v>
      </c>
      <c r="O1339" t="str">
        <f t="shared" si="182"/>
        <v>BOOL</v>
      </c>
      <c r="P1339" t="str">
        <f t="shared" si="183"/>
        <v>TELECAMERA T16N</v>
      </c>
      <c r="R1339" t="str">
        <f t="shared" si="184"/>
        <v>disponibile</v>
      </c>
      <c r="U1339" t="str">
        <f t="shared" si="185"/>
        <v>disponibile</v>
      </c>
      <c r="V1339" t="str">
        <f t="shared" si="186"/>
        <v>DIREZIONE NORD</v>
      </c>
      <c r="W1339" t="str">
        <f t="shared" si="187"/>
        <v>GALLERIA SAN GIULIANO</v>
      </c>
      <c r="Z1339" t="str">
        <f t="shared" si="188"/>
        <v>10.220.80.16</v>
      </c>
    </row>
    <row r="1340" spans="1:26" x14ac:dyDescent="0.25">
      <c r="A1340" t="s">
        <v>10</v>
      </c>
      <c r="B1340" t="s">
        <v>1063</v>
      </c>
      <c r="C1340" t="s">
        <v>1761</v>
      </c>
      <c r="D1340" t="s">
        <v>1619</v>
      </c>
      <c r="E1340" t="s">
        <v>1811</v>
      </c>
      <c r="F1340" t="s">
        <v>14</v>
      </c>
      <c r="G1340" t="s">
        <v>1375</v>
      </c>
      <c r="H1340" t="s">
        <v>22</v>
      </c>
      <c r="I1340" t="s">
        <v>2094</v>
      </c>
      <c r="J1340" t="s">
        <v>1375</v>
      </c>
      <c r="K1340" t="str">
        <f t="shared" si="180"/>
        <v>1242.14</v>
      </c>
      <c r="N1340" t="str">
        <f t="shared" si="181"/>
        <v>HOLDING REGISTER</v>
      </c>
      <c r="O1340" t="str">
        <f t="shared" si="182"/>
        <v>BOOL</v>
      </c>
      <c r="P1340" t="str">
        <f t="shared" si="183"/>
        <v>TELECAMERA T16N</v>
      </c>
      <c r="R1340" t="str">
        <f t="shared" si="184"/>
        <v>disponibile</v>
      </c>
      <c r="U1340" t="str">
        <f t="shared" si="185"/>
        <v>disponibile</v>
      </c>
      <c r="V1340" t="str">
        <f t="shared" si="186"/>
        <v>DIREZIONE NORD</v>
      </c>
      <c r="W1340" t="str">
        <f t="shared" si="187"/>
        <v>GALLERIA SAN GIULIANO</v>
      </c>
      <c r="Z1340" t="str">
        <f t="shared" si="188"/>
        <v>10.220.80.16</v>
      </c>
    </row>
    <row r="1341" spans="1:26" x14ac:dyDescent="0.25">
      <c r="A1341" t="s">
        <v>10</v>
      </c>
      <c r="B1341" t="s">
        <v>1063</v>
      </c>
      <c r="C1341" t="s">
        <v>1761</v>
      </c>
      <c r="D1341" t="s">
        <v>1619</v>
      </c>
      <c r="E1341" t="s">
        <v>1811</v>
      </c>
      <c r="F1341" t="s">
        <v>14</v>
      </c>
      <c r="G1341" t="s">
        <v>1375</v>
      </c>
      <c r="H1341" t="s">
        <v>22</v>
      </c>
      <c r="I1341" t="s">
        <v>2095</v>
      </c>
      <c r="J1341" t="s">
        <v>1375</v>
      </c>
      <c r="K1341" t="str">
        <f t="shared" si="180"/>
        <v>1242.15</v>
      </c>
      <c r="N1341" t="str">
        <f t="shared" si="181"/>
        <v>HOLDING REGISTER</v>
      </c>
      <c r="O1341" t="str">
        <f t="shared" si="182"/>
        <v>BOOL</v>
      </c>
      <c r="P1341" t="str">
        <f t="shared" si="183"/>
        <v>TELECAMERA T16N</v>
      </c>
      <c r="R1341" t="str">
        <f t="shared" si="184"/>
        <v>disponibile</v>
      </c>
      <c r="U1341" t="str">
        <f t="shared" si="185"/>
        <v>disponibile</v>
      </c>
      <c r="V1341" t="str">
        <f t="shared" si="186"/>
        <v>DIREZIONE NORD</v>
      </c>
      <c r="W1341" t="str">
        <f t="shared" si="187"/>
        <v>GALLERIA SAN GIULIANO</v>
      </c>
      <c r="Z1341" t="str">
        <f t="shared" si="188"/>
        <v>10.220.80.16</v>
      </c>
    </row>
    <row r="1342" spans="1:26" x14ac:dyDescent="0.25">
      <c r="A1342" t="s">
        <v>10</v>
      </c>
      <c r="B1342" t="s">
        <v>1063</v>
      </c>
      <c r="C1342" t="s">
        <v>1761</v>
      </c>
      <c r="D1342" t="s">
        <v>1619</v>
      </c>
      <c r="E1342" t="s">
        <v>1828</v>
      </c>
      <c r="F1342" t="s">
        <v>14</v>
      </c>
      <c r="G1342" t="s">
        <v>28</v>
      </c>
      <c r="H1342" t="s">
        <v>22</v>
      </c>
      <c r="I1342" t="s">
        <v>2096</v>
      </c>
      <c r="J1342" t="s">
        <v>1897</v>
      </c>
      <c r="K1342" t="str">
        <f t="shared" si="180"/>
        <v>1243.0</v>
      </c>
      <c r="N1342" t="str">
        <f t="shared" si="181"/>
        <v>HOLDING REGISTER</v>
      </c>
      <c r="O1342" t="str">
        <f t="shared" si="182"/>
        <v>BOOL</v>
      </c>
      <c r="P1342" t="str">
        <f t="shared" si="183"/>
        <v>TELECAMERA T19N</v>
      </c>
      <c r="R1342" t="str">
        <f t="shared" si="184"/>
        <v>PERDITA SEGNALE VIDEO</v>
      </c>
      <c r="U1342" t="str">
        <f t="shared" si="185"/>
        <v>Allarme</v>
      </c>
      <c r="V1342" t="str">
        <f t="shared" si="186"/>
        <v>DIREZIONE NORD</v>
      </c>
      <c r="W1342" t="str">
        <f t="shared" si="187"/>
        <v>GALLERIA SAN GIULIANO</v>
      </c>
      <c r="Z1342" t="str">
        <f t="shared" si="188"/>
        <v>10.220.80.16</v>
      </c>
    </row>
    <row r="1343" spans="1:26" x14ac:dyDescent="0.25">
      <c r="A1343" t="s">
        <v>10</v>
      </c>
      <c r="B1343" t="s">
        <v>1063</v>
      </c>
      <c r="C1343" t="s">
        <v>1761</v>
      </c>
      <c r="D1343" t="s">
        <v>1619</v>
      </c>
      <c r="E1343" t="s">
        <v>1828</v>
      </c>
      <c r="F1343" t="s">
        <v>14</v>
      </c>
      <c r="G1343" t="s">
        <v>28</v>
      </c>
      <c r="H1343" t="s">
        <v>22</v>
      </c>
      <c r="I1343" t="s">
        <v>2097</v>
      </c>
      <c r="J1343" t="s">
        <v>1899</v>
      </c>
      <c r="K1343" t="str">
        <f t="shared" si="180"/>
        <v>1243.1</v>
      </c>
      <c r="N1343" t="str">
        <f t="shared" si="181"/>
        <v>HOLDING REGISTER</v>
      </c>
      <c r="O1343" t="str">
        <f t="shared" si="182"/>
        <v>BOOL</v>
      </c>
      <c r="P1343" t="str">
        <f t="shared" si="183"/>
        <v>TELECAMERA T19N</v>
      </c>
      <c r="R1343" t="str">
        <f t="shared" si="184"/>
        <v>MANOMISSIONE</v>
      </c>
      <c r="U1343" t="str">
        <f t="shared" si="185"/>
        <v>Allarme</v>
      </c>
      <c r="V1343" t="str">
        <f t="shared" si="186"/>
        <v>DIREZIONE NORD</v>
      </c>
      <c r="W1343" t="str">
        <f t="shared" si="187"/>
        <v>GALLERIA SAN GIULIANO</v>
      </c>
      <c r="Z1343" t="str">
        <f t="shared" si="188"/>
        <v>10.220.80.16</v>
      </c>
    </row>
    <row r="1344" spans="1:26" x14ac:dyDescent="0.25">
      <c r="A1344" t="s">
        <v>10</v>
      </c>
      <c r="B1344" t="s">
        <v>1063</v>
      </c>
      <c r="C1344" t="s">
        <v>1761</v>
      </c>
      <c r="D1344" t="s">
        <v>1619</v>
      </c>
      <c r="E1344" t="s">
        <v>1828</v>
      </c>
      <c r="F1344" t="s">
        <v>14</v>
      </c>
      <c r="G1344" t="s">
        <v>1375</v>
      </c>
      <c r="H1344" t="s">
        <v>22</v>
      </c>
      <c r="I1344" t="s">
        <v>2098</v>
      </c>
      <c r="J1344" t="s">
        <v>1375</v>
      </c>
      <c r="K1344" t="str">
        <f t="shared" si="180"/>
        <v>1243.2</v>
      </c>
      <c r="N1344" t="str">
        <f t="shared" si="181"/>
        <v>HOLDING REGISTER</v>
      </c>
      <c r="O1344" t="str">
        <f t="shared" si="182"/>
        <v>BOOL</v>
      </c>
      <c r="P1344" t="str">
        <f t="shared" si="183"/>
        <v>TELECAMERA T19N</v>
      </c>
      <c r="R1344" t="str">
        <f t="shared" si="184"/>
        <v>disponibile</v>
      </c>
      <c r="U1344" t="str">
        <f t="shared" si="185"/>
        <v>disponibile</v>
      </c>
      <c r="V1344" t="str">
        <f t="shared" si="186"/>
        <v>DIREZIONE NORD</v>
      </c>
      <c r="W1344" t="str">
        <f t="shared" si="187"/>
        <v>GALLERIA SAN GIULIANO</v>
      </c>
      <c r="Z1344" t="str">
        <f t="shared" si="188"/>
        <v>10.220.80.16</v>
      </c>
    </row>
    <row r="1345" spans="1:26" x14ac:dyDescent="0.25">
      <c r="A1345" t="s">
        <v>10</v>
      </c>
      <c r="B1345" t="s">
        <v>1063</v>
      </c>
      <c r="C1345" t="s">
        <v>1761</v>
      </c>
      <c r="D1345" t="s">
        <v>1619</v>
      </c>
      <c r="E1345" t="s">
        <v>1828</v>
      </c>
      <c r="F1345" t="s">
        <v>14</v>
      </c>
      <c r="G1345" t="s">
        <v>28</v>
      </c>
      <c r="H1345" t="s">
        <v>22</v>
      </c>
      <c r="I1345" t="s">
        <v>2099</v>
      </c>
      <c r="J1345" t="s">
        <v>1902</v>
      </c>
      <c r="K1345" t="str">
        <f t="shared" si="180"/>
        <v>1243.3</v>
      </c>
      <c r="N1345" t="str">
        <f t="shared" si="181"/>
        <v>HOLDING REGISTER</v>
      </c>
      <c r="O1345" t="str">
        <f t="shared" si="182"/>
        <v>BOOL</v>
      </c>
      <c r="P1345" t="str">
        <f t="shared" si="183"/>
        <v>TELECAMERA T19N</v>
      </c>
      <c r="R1345" t="str">
        <f t="shared" si="184"/>
        <v>VEICOLO FERMO</v>
      </c>
      <c r="U1345" t="str">
        <f t="shared" si="185"/>
        <v>Allarme</v>
      </c>
      <c r="V1345" t="str">
        <f t="shared" si="186"/>
        <v>DIREZIONE NORD</v>
      </c>
      <c r="W1345" t="str">
        <f t="shared" si="187"/>
        <v>GALLERIA SAN GIULIANO</v>
      </c>
      <c r="Z1345" t="str">
        <f t="shared" si="188"/>
        <v>10.220.80.16</v>
      </c>
    </row>
    <row r="1346" spans="1:26" x14ac:dyDescent="0.25">
      <c r="A1346" t="s">
        <v>10</v>
      </c>
      <c r="B1346" t="s">
        <v>1063</v>
      </c>
      <c r="C1346" t="s">
        <v>1761</v>
      </c>
      <c r="D1346" t="s">
        <v>1619</v>
      </c>
      <c r="E1346" t="s">
        <v>1828</v>
      </c>
      <c r="F1346" t="s">
        <v>14</v>
      </c>
      <c r="G1346" t="s">
        <v>28</v>
      </c>
      <c r="H1346" t="s">
        <v>22</v>
      </c>
      <c r="I1346" t="s">
        <v>2100</v>
      </c>
      <c r="J1346" t="s">
        <v>1904</v>
      </c>
      <c r="K1346" t="str">
        <f t="shared" si="180"/>
        <v>1243.4</v>
      </c>
      <c r="N1346" t="str">
        <f t="shared" si="181"/>
        <v>HOLDING REGISTER</v>
      </c>
      <c r="O1346" t="str">
        <f t="shared" si="182"/>
        <v>BOOL</v>
      </c>
      <c r="P1346" t="str">
        <f t="shared" si="183"/>
        <v>TELECAMERA T19N</v>
      </c>
      <c r="R1346" t="str">
        <f t="shared" si="184"/>
        <v>CARICO DISPERSO</v>
      </c>
      <c r="U1346" t="str">
        <f t="shared" si="185"/>
        <v>Allarme</v>
      </c>
      <c r="V1346" t="str">
        <f t="shared" si="186"/>
        <v>DIREZIONE NORD</v>
      </c>
      <c r="W1346" t="str">
        <f t="shared" si="187"/>
        <v>GALLERIA SAN GIULIANO</v>
      </c>
      <c r="Z1346" t="str">
        <f t="shared" si="188"/>
        <v>10.220.80.16</v>
      </c>
    </row>
    <row r="1347" spans="1:26" x14ac:dyDescent="0.25">
      <c r="A1347" t="s">
        <v>10</v>
      </c>
      <c r="B1347" t="s">
        <v>1063</v>
      </c>
      <c r="C1347" t="s">
        <v>1761</v>
      </c>
      <c r="D1347" t="s">
        <v>1619</v>
      </c>
      <c r="E1347" t="s">
        <v>1828</v>
      </c>
      <c r="F1347" t="s">
        <v>14</v>
      </c>
      <c r="G1347" t="s">
        <v>1375</v>
      </c>
      <c r="H1347" t="s">
        <v>22</v>
      </c>
      <c r="I1347" t="s">
        <v>2101</v>
      </c>
      <c r="J1347" t="s">
        <v>1375</v>
      </c>
      <c r="K1347" t="str">
        <f t="shared" ref="K1347:K1410" si="189">IF(I1347="","",I1347)</f>
        <v>1243.5</v>
      </c>
      <c r="N1347" t="str">
        <f t="shared" ref="N1347:N1410" si="190">IF(F1347="","",F1347)</f>
        <v>HOLDING REGISTER</v>
      </c>
      <c r="O1347" t="str">
        <f t="shared" ref="O1347:O1410" si="191">IF(H1347="","",H1347)</f>
        <v>BOOL</v>
      </c>
      <c r="P1347" t="str">
        <f t="shared" ref="P1347:P1410" si="192">_xlfn.CONCAT(D1347," ",E1347)</f>
        <v>TELECAMERA T19N</v>
      </c>
      <c r="R1347" t="str">
        <f t="shared" ref="R1347:R1410" si="193">IF(J1347="","",J1347)</f>
        <v>disponibile</v>
      </c>
      <c r="U1347" t="str">
        <f t="shared" ref="U1347:U1410" si="194">IF(G1347="","",G1347)</f>
        <v>disponibile</v>
      </c>
      <c r="V1347" t="str">
        <f t="shared" ref="V1347:V1410" si="195">IF(C1347="","",C1347)</f>
        <v>DIREZIONE NORD</v>
      </c>
      <c r="W1347" t="str">
        <f t="shared" ref="W1347:W1410" si="196">IF(B1347="","",B1347)</f>
        <v>GALLERIA SAN GIULIANO</v>
      </c>
      <c r="Z1347" t="str">
        <f t="shared" ref="Z1347:Z1410" si="197">IF(A1347="","",A1347)</f>
        <v>10.220.80.16</v>
      </c>
    </row>
    <row r="1348" spans="1:26" x14ac:dyDescent="0.25">
      <c r="A1348" t="s">
        <v>10</v>
      </c>
      <c r="B1348" t="s">
        <v>1063</v>
      </c>
      <c r="C1348" t="s">
        <v>1761</v>
      </c>
      <c r="D1348" t="s">
        <v>1619</v>
      </c>
      <c r="E1348" t="s">
        <v>1828</v>
      </c>
      <c r="F1348" t="s">
        <v>14</v>
      </c>
      <c r="G1348" t="s">
        <v>28</v>
      </c>
      <c r="H1348" t="s">
        <v>22</v>
      </c>
      <c r="I1348" t="s">
        <v>2102</v>
      </c>
      <c r="J1348" t="s">
        <v>1907</v>
      </c>
      <c r="K1348" t="str">
        <f t="shared" si="189"/>
        <v>1243.6</v>
      </c>
      <c r="N1348" t="str">
        <f t="shared" si="190"/>
        <v>HOLDING REGISTER</v>
      </c>
      <c r="O1348" t="str">
        <f t="shared" si="191"/>
        <v>BOOL</v>
      </c>
      <c r="P1348" t="str">
        <f t="shared" si="192"/>
        <v>TELECAMERA T19N</v>
      </c>
      <c r="R1348" t="str">
        <f t="shared" si="193"/>
        <v>PEDONE</v>
      </c>
      <c r="U1348" t="str">
        <f t="shared" si="194"/>
        <v>Allarme</v>
      </c>
      <c r="V1348" t="str">
        <f t="shared" si="195"/>
        <v>DIREZIONE NORD</v>
      </c>
      <c r="W1348" t="str">
        <f t="shared" si="196"/>
        <v>GALLERIA SAN GIULIANO</v>
      </c>
      <c r="Z1348" t="str">
        <f t="shared" si="197"/>
        <v>10.220.80.16</v>
      </c>
    </row>
    <row r="1349" spans="1:26" x14ac:dyDescent="0.25">
      <c r="A1349" t="s">
        <v>10</v>
      </c>
      <c r="B1349" t="s">
        <v>1063</v>
      </c>
      <c r="C1349" t="s">
        <v>1761</v>
      </c>
      <c r="D1349" t="s">
        <v>1619</v>
      </c>
      <c r="E1349" t="s">
        <v>1828</v>
      </c>
      <c r="F1349" t="s">
        <v>14</v>
      </c>
      <c r="G1349" t="s">
        <v>28</v>
      </c>
      <c r="H1349" t="s">
        <v>22</v>
      </c>
      <c r="I1349" t="s">
        <v>2103</v>
      </c>
      <c r="J1349" t="s">
        <v>1909</v>
      </c>
      <c r="K1349" t="str">
        <f t="shared" si="189"/>
        <v>1243.7</v>
      </c>
      <c r="N1349" t="str">
        <f t="shared" si="190"/>
        <v>HOLDING REGISTER</v>
      </c>
      <c r="O1349" t="str">
        <f t="shared" si="191"/>
        <v>BOOL</v>
      </c>
      <c r="P1349" t="str">
        <f t="shared" si="192"/>
        <v>TELECAMERA T19N</v>
      </c>
      <c r="R1349" t="str">
        <f t="shared" si="193"/>
        <v>FUMO</v>
      </c>
      <c r="U1349" t="str">
        <f t="shared" si="194"/>
        <v>Allarme</v>
      </c>
      <c r="V1349" t="str">
        <f t="shared" si="195"/>
        <v>DIREZIONE NORD</v>
      </c>
      <c r="W1349" t="str">
        <f t="shared" si="196"/>
        <v>GALLERIA SAN GIULIANO</v>
      </c>
      <c r="Z1349" t="str">
        <f t="shared" si="197"/>
        <v>10.220.80.16</v>
      </c>
    </row>
    <row r="1350" spans="1:26" x14ac:dyDescent="0.25">
      <c r="A1350" t="s">
        <v>10</v>
      </c>
      <c r="B1350" t="s">
        <v>1063</v>
      </c>
      <c r="C1350" t="s">
        <v>1761</v>
      </c>
      <c r="D1350" t="s">
        <v>1619</v>
      </c>
      <c r="E1350" t="s">
        <v>1828</v>
      </c>
      <c r="F1350" t="s">
        <v>14</v>
      </c>
      <c r="G1350" t="s">
        <v>28</v>
      </c>
      <c r="H1350" t="s">
        <v>22</v>
      </c>
      <c r="I1350" t="s">
        <v>2104</v>
      </c>
      <c r="J1350" t="s">
        <v>1911</v>
      </c>
      <c r="K1350" t="str">
        <f t="shared" si="189"/>
        <v>1243.8</v>
      </c>
      <c r="N1350" t="str">
        <f t="shared" si="190"/>
        <v>HOLDING REGISTER</v>
      </c>
      <c r="O1350" t="str">
        <f t="shared" si="191"/>
        <v>BOOL</v>
      </c>
      <c r="P1350" t="str">
        <f t="shared" si="192"/>
        <v>TELECAMERA T19N</v>
      </c>
      <c r="R1350" t="str">
        <f t="shared" si="193"/>
        <v>RALLENTAMENTI</v>
      </c>
      <c r="U1350" t="str">
        <f t="shared" si="194"/>
        <v>Allarme</v>
      </c>
      <c r="V1350" t="str">
        <f t="shared" si="195"/>
        <v>DIREZIONE NORD</v>
      </c>
      <c r="W1350" t="str">
        <f t="shared" si="196"/>
        <v>GALLERIA SAN GIULIANO</v>
      </c>
      <c r="Z1350" t="str">
        <f t="shared" si="197"/>
        <v>10.220.80.16</v>
      </c>
    </row>
    <row r="1351" spans="1:26" x14ac:dyDescent="0.25">
      <c r="A1351" t="s">
        <v>10</v>
      </c>
      <c r="B1351" t="s">
        <v>1063</v>
      </c>
      <c r="C1351" t="s">
        <v>1761</v>
      </c>
      <c r="D1351" t="s">
        <v>1619</v>
      </c>
      <c r="E1351" t="s">
        <v>1828</v>
      </c>
      <c r="F1351" t="s">
        <v>14</v>
      </c>
      <c r="G1351" t="s">
        <v>28</v>
      </c>
      <c r="H1351" t="s">
        <v>22</v>
      </c>
      <c r="I1351" t="s">
        <v>2105</v>
      </c>
      <c r="J1351" t="s">
        <v>1913</v>
      </c>
      <c r="K1351" t="str">
        <f t="shared" si="189"/>
        <v>1243.9</v>
      </c>
      <c r="N1351" t="str">
        <f t="shared" si="190"/>
        <v>HOLDING REGISTER</v>
      </c>
      <c r="O1351" t="str">
        <f t="shared" si="191"/>
        <v>BOOL</v>
      </c>
      <c r="P1351" t="str">
        <f t="shared" si="192"/>
        <v>TELECAMERA T19N</v>
      </c>
      <c r="R1351" t="str">
        <f t="shared" si="193"/>
        <v>CODA IN GALLERIA</v>
      </c>
      <c r="U1351" t="str">
        <f t="shared" si="194"/>
        <v>Allarme</v>
      </c>
      <c r="V1351" t="str">
        <f t="shared" si="195"/>
        <v>DIREZIONE NORD</v>
      </c>
      <c r="W1351" t="str">
        <f t="shared" si="196"/>
        <v>GALLERIA SAN GIULIANO</v>
      </c>
      <c r="Z1351" t="str">
        <f t="shared" si="197"/>
        <v>10.220.80.16</v>
      </c>
    </row>
    <row r="1352" spans="1:26" x14ac:dyDescent="0.25">
      <c r="A1352" t="s">
        <v>10</v>
      </c>
      <c r="B1352" t="s">
        <v>1063</v>
      </c>
      <c r="C1352" t="s">
        <v>1761</v>
      </c>
      <c r="D1352" t="s">
        <v>1619</v>
      </c>
      <c r="E1352" t="s">
        <v>1828</v>
      </c>
      <c r="F1352" t="s">
        <v>14</v>
      </c>
      <c r="G1352" t="s">
        <v>1375</v>
      </c>
      <c r="H1352" t="s">
        <v>22</v>
      </c>
      <c r="I1352" t="s">
        <v>2106</v>
      </c>
      <c r="J1352" t="s">
        <v>1375</v>
      </c>
      <c r="K1352" t="str">
        <f t="shared" si="189"/>
        <v>1243.10</v>
      </c>
      <c r="N1352" t="str">
        <f t="shared" si="190"/>
        <v>HOLDING REGISTER</v>
      </c>
      <c r="O1352" t="str">
        <f t="shared" si="191"/>
        <v>BOOL</v>
      </c>
      <c r="P1352" t="str">
        <f t="shared" si="192"/>
        <v>TELECAMERA T19N</v>
      </c>
      <c r="R1352" t="str">
        <f t="shared" si="193"/>
        <v>disponibile</v>
      </c>
      <c r="U1352" t="str">
        <f t="shared" si="194"/>
        <v>disponibile</v>
      </c>
      <c r="V1352" t="str">
        <f t="shared" si="195"/>
        <v>DIREZIONE NORD</v>
      </c>
      <c r="W1352" t="str">
        <f t="shared" si="196"/>
        <v>GALLERIA SAN GIULIANO</v>
      </c>
      <c r="Z1352" t="str">
        <f t="shared" si="197"/>
        <v>10.220.80.16</v>
      </c>
    </row>
    <row r="1353" spans="1:26" x14ac:dyDescent="0.25">
      <c r="A1353" t="s">
        <v>10</v>
      </c>
      <c r="B1353" t="s">
        <v>1063</v>
      </c>
      <c r="C1353" t="s">
        <v>1761</v>
      </c>
      <c r="D1353" t="s">
        <v>1619</v>
      </c>
      <c r="E1353" t="s">
        <v>1828</v>
      </c>
      <c r="F1353" t="s">
        <v>14</v>
      </c>
      <c r="G1353" t="s">
        <v>1375</v>
      </c>
      <c r="H1353" t="s">
        <v>22</v>
      </c>
      <c r="I1353" t="s">
        <v>2107</v>
      </c>
      <c r="J1353" t="s">
        <v>1375</v>
      </c>
      <c r="K1353" t="str">
        <f t="shared" si="189"/>
        <v>1243.11</v>
      </c>
      <c r="N1353" t="str">
        <f t="shared" si="190"/>
        <v>HOLDING REGISTER</v>
      </c>
      <c r="O1353" t="str">
        <f t="shared" si="191"/>
        <v>BOOL</v>
      </c>
      <c r="P1353" t="str">
        <f t="shared" si="192"/>
        <v>TELECAMERA T19N</v>
      </c>
      <c r="R1353" t="str">
        <f t="shared" si="193"/>
        <v>disponibile</v>
      </c>
      <c r="U1353" t="str">
        <f t="shared" si="194"/>
        <v>disponibile</v>
      </c>
      <c r="V1353" t="str">
        <f t="shared" si="195"/>
        <v>DIREZIONE NORD</v>
      </c>
      <c r="W1353" t="str">
        <f t="shared" si="196"/>
        <v>GALLERIA SAN GIULIANO</v>
      </c>
      <c r="Z1353" t="str">
        <f t="shared" si="197"/>
        <v>10.220.80.16</v>
      </c>
    </row>
    <row r="1354" spans="1:26" x14ac:dyDescent="0.25">
      <c r="A1354" t="s">
        <v>10</v>
      </c>
      <c r="B1354" t="s">
        <v>1063</v>
      </c>
      <c r="C1354" t="s">
        <v>1761</v>
      </c>
      <c r="D1354" t="s">
        <v>1619</v>
      </c>
      <c r="E1354" t="s">
        <v>1828</v>
      </c>
      <c r="F1354" t="s">
        <v>14</v>
      </c>
      <c r="G1354" t="s">
        <v>1375</v>
      </c>
      <c r="H1354" t="s">
        <v>22</v>
      </c>
      <c r="I1354" t="s">
        <v>2108</v>
      </c>
      <c r="J1354" t="s">
        <v>1375</v>
      </c>
      <c r="K1354" t="str">
        <f t="shared" si="189"/>
        <v>1243.12</v>
      </c>
      <c r="N1354" t="str">
        <f t="shared" si="190"/>
        <v>HOLDING REGISTER</v>
      </c>
      <c r="O1354" t="str">
        <f t="shared" si="191"/>
        <v>BOOL</v>
      </c>
      <c r="P1354" t="str">
        <f t="shared" si="192"/>
        <v>TELECAMERA T19N</v>
      </c>
      <c r="R1354" t="str">
        <f t="shared" si="193"/>
        <v>disponibile</v>
      </c>
      <c r="U1354" t="str">
        <f t="shared" si="194"/>
        <v>disponibile</v>
      </c>
      <c r="V1354" t="str">
        <f t="shared" si="195"/>
        <v>DIREZIONE NORD</v>
      </c>
      <c r="W1354" t="str">
        <f t="shared" si="196"/>
        <v>GALLERIA SAN GIULIANO</v>
      </c>
      <c r="Z1354" t="str">
        <f t="shared" si="197"/>
        <v>10.220.80.16</v>
      </c>
    </row>
    <row r="1355" spans="1:26" x14ac:dyDescent="0.25">
      <c r="A1355" t="s">
        <v>10</v>
      </c>
      <c r="B1355" t="s">
        <v>1063</v>
      </c>
      <c r="C1355" t="s">
        <v>1761</v>
      </c>
      <c r="D1355" t="s">
        <v>1619</v>
      </c>
      <c r="E1355" t="s">
        <v>1828</v>
      </c>
      <c r="F1355" t="s">
        <v>14</v>
      </c>
      <c r="G1355" t="s">
        <v>1375</v>
      </c>
      <c r="H1355" t="s">
        <v>22</v>
      </c>
      <c r="I1355" t="s">
        <v>2109</v>
      </c>
      <c r="J1355" t="s">
        <v>1375</v>
      </c>
      <c r="K1355" t="str">
        <f t="shared" si="189"/>
        <v>1243.13</v>
      </c>
      <c r="N1355" t="str">
        <f t="shared" si="190"/>
        <v>HOLDING REGISTER</v>
      </c>
      <c r="O1355" t="str">
        <f t="shared" si="191"/>
        <v>BOOL</v>
      </c>
      <c r="P1355" t="str">
        <f t="shared" si="192"/>
        <v>TELECAMERA T19N</v>
      </c>
      <c r="R1355" t="str">
        <f t="shared" si="193"/>
        <v>disponibile</v>
      </c>
      <c r="U1355" t="str">
        <f t="shared" si="194"/>
        <v>disponibile</v>
      </c>
      <c r="V1355" t="str">
        <f t="shared" si="195"/>
        <v>DIREZIONE NORD</v>
      </c>
      <c r="W1355" t="str">
        <f t="shared" si="196"/>
        <v>GALLERIA SAN GIULIANO</v>
      </c>
      <c r="Z1355" t="str">
        <f t="shared" si="197"/>
        <v>10.220.80.16</v>
      </c>
    </row>
    <row r="1356" spans="1:26" x14ac:dyDescent="0.25">
      <c r="A1356" t="s">
        <v>10</v>
      </c>
      <c r="B1356" t="s">
        <v>1063</v>
      </c>
      <c r="C1356" t="s">
        <v>1761</v>
      </c>
      <c r="D1356" t="s">
        <v>1619</v>
      </c>
      <c r="E1356" t="s">
        <v>1828</v>
      </c>
      <c r="F1356" t="s">
        <v>14</v>
      </c>
      <c r="G1356" t="s">
        <v>1375</v>
      </c>
      <c r="H1356" t="s">
        <v>22</v>
      </c>
      <c r="I1356" t="s">
        <v>2110</v>
      </c>
      <c r="J1356" t="s">
        <v>1375</v>
      </c>
      <c r="K1356" t="str">
        <f t="shared" si="189"/>
        <v>1243.14</v>
      </c>
      <c r="N1356" t="str">
        <f t="shared" si="190"/>
        <v>HOLDING REGISTER</v>
      </c>
      <c r="O1356" t="str">
        <f t="shared" si="191"/>
        <v>BOOL</v>
      </c>
      <c r="P1356" t="str">
        <f t="shared" si="192"/>
        <v>TELECAMERA T19N</v>
      </c>
      <c r="R1356" t="str">
        <f t="shared" si="193"/>
        <v>disponibile</v>
      </c>
      <c r="U1356" t="str">
        <f t="shared" si="194"/>
        <v>disponibile</v>
      </c>
      <c r="V1356" t="str">
        <f t="shared" si="195"/>
        <v>DIREZIONE NORD</v>
      </c>
      <c r="W1356" t="str">
        <f t="shared" si="196"/>
        <v>GALLERIA SAN GIULIANO</v>
      </c>
      <c r="Z1356" t="str">
        <f t="shared" si="197"/>
        <v>10.220.80.16</v>
      </c>
    </row>
    <row r="1357" spans="1:26" x14ac:dyDescent="0.25">
      <c r="A1357" t="s">
        <v>10</v>
      </c>
      <c r="B1357" t="s">
        <v>1063</v>
      </c>
      <c r="C1357" t="s">
        <v>1761</v>
      </c>
      <c r="D1357" t="s">
        <v>1619</v>
      </c>
      <c r="E1357" t="s">
        <v>1828</v>
      </c>
      <c r="F1357" t="s">
        <v>14</v>
      </c>
      <c r="G1357" t="s">
        <v>1375</v>
      </c>
      <c r="H1357" t="s">
        <v>22</v>
      </c>
      <c r="I1357" t="s">
        <v>2111</v>
      </c>
      <c r="J1357" t="s">
        <v>1375</v>
      </c>
      <c r="K1357" t="str">
        <f t="shared" si="189"/>
        <v>1243.15</v>
      </c>
      <c r="N1357" t="str">
        <f t="shared" si="190"/>
        <v>HOLDING REGISTER</v>
      </c>
      <c r="O1357" t="str">
        <f t="shared" si="191"/>
        <v>BOOL</v>
      </c>
      <c r="P1357" t="str">
        <f t="shared" si="192"/>
        <v>TELECAMERA T19N</v>
      </c>
      <c r="R1357" t="str">
        <f t="shared" si="193"/>
        <v>disponibile</v>
      </c>
      <c r="U1357" t="str">
        <f t="shared" si="194"/>
        <v>disponibile</v>
      </c>
      <c r="V1357" t="str">
        <f t="shared" si="195"/>
        <v>DIREZIONE NORD</v>
      </c>
      <c r="W1357" t="str">
        <f t="shared" si="196"/>
        <v>GALLERIA SAN GIULIANO</v>
      </c>
      <c r="Z1357" t="str">
        <f t="shared" si="197"/>
        <v>10.220.80.16</v>
      </c>
    </row>
    <row r="1358" spans="1:26" x14ac:dyDescent="0.25">
      <c r="A1358" t="s">
        <v>10</v>
      </c>
      <c r="B1358" t="s">
        <v>1063</v>
      </c>
      <c r="C1358" t="s">
        <v>1761</v>
      </c>
      <c r="D1358" t="s">
        <v>1619</v>
      </c>
      <c r="E1358" t="s">
        <v>1845</v>
      </c>
      <c r="F1358" t="s">
        <v>14</v>
      </c>
      <c r="G1358" t="s">
        <v>28</v>
      </c>
      <c r="H1358" t="s">
        <v>22</v>
      </c>
      <c r="I1358" t="s">
        <v>2112</v>
      </c>
      <c r="J1358" t="s">
        <v>1897</v>
      </c>
      <c r="K1358" t="str">
        <f t="shared" si="189"/>
        <v>1244.0</v>
      </c>
      <c r="N1358" t="str">
        <f t="shared" si="190"/>
        <v>HOLDING REGISTER</v>
      </c>
      <c r="O1358" t="str">
        <f t="shared" si="191"/>
        <v>BOOL</v>
      </c>
      <c r="P1358" t="str">
        <f t="shared" si="192"/>
        <v>TELECAMERA T20N</v>
      </c>
      <c r="R1358" t="str">
        <f t="shared" si="193"/>
        <v>PERDITA SEGNALE VIDEO</v>
      </c>
      <c r="U1358" t="str">
        <f t="shared" si="194"/>
        <v>Allarme</v>
      </c>
      <c r="V1358" t="str">
        <f t="shared" si="195"/>
        <v>DIREZIONE NORD</v>
      </c>
      <c r="W1358" t="str">
        <f t="shared" si="196"/>
        <v>GALLERIA SAN GIULIANO</v>
      </c>
      <c r="Z1358" t="str">
        <f t="shared" si="197"/>
        <v>10.220.80.16</v>
      </c>
    </row>
    <row r="1359" spans="1:26" x14ac:dyDescent="0.25">
      <c r="A1359" t="s">
        <v>10</v>
      </c>
      <c r="B1359" t="s">
        <v>1063</v>
      </c>
      <c r="C1359" t="s">
        <v>1761</v>
      </c>
      <c r="D1359" t="s">
        <v>1619</v>
      </c>
      <c r="E1359" t="s">
        <v>1845</v>
      </c>
      <c r="F1359" t="s">
        <v>14</v>
      </c>
      <c r="G1359" t="s">
        <v>28</v>
      </c>
      <c r="H1359" t="s">
        <v>22</v>
      </c>
      <c r="I1359" t="s">
        <v>2113</v>
      </c>
      <c r="J1359" t="s">
        <v>1899</v>
      </c>
      <c r="K1359" t="str">
        <f t="shared" si="189"/>
        <v>1244.1</v>
      </c>
      <c r="N1359" t="str">
        <f t="shared" si="190"/>
        <v>HOLDING REGISTER</v>
      </c>
      <c r="O1359" t="str">
        <f t="shared" si="191"/>
        <v>BOOL</v>
      </c>
      <c r="P1359" t="str">
        <f t="shared" si="192"/>
        <v>TELECAMERA T20N</v>
      </c>
      <c r="R1359" t="str">
        <f t="shared" si="193"/>
        <v>MANOMISSIONE</v>
      </c>
      <c r="U1359" t="str">
        <f t="shared" si="194"/>
        <v>Allarme</v>
      </c>
      <c r="V1359" t="str">
        <f t="shared" si="195"/>
        <v>DIREZIONE NORD</v>
      </c>
      <c r="W1359" t="str">
        <f t="shared" si="196"/>
        <v>GALLERIA SAN GIULIANO</v>
      </c>
      <c r="Z1359" t="str">
        <f t="shared" si="197"/>
        <v>10.220.80.16</v>
      </c>
    </row>
    <row r="1360" spans="1:26" x14ac:dyDescent="0.25">
      <c r="A1360" t="s">
        <v>10</v>
      </c>
      <c r="B1360" t="s">
        <v>1063</v>
      </c>
      <c r="C1360" t="s">
        <v>1761</v>
      </c>
      <c r="D1360" t="s">
        <v>1619</v>
      </c>
      <c r="E1360" t="s">
        <v>1845</v>
      </c>
      <c r="F1360" t="s">
        <v>14</v>
      </c>
      <c r="G1360" t="s">
        <v>1375</v>
      </c>
      <c r="H1360" t="s">
        <v>22</v>
      </c>
      <c r="I1360" t="s">
        <v>2114</v>
      </c>
      <c r="J1360" t="s">
        <v>1375</v>
      </c>
      <c r="K1360" t="str">
        <f t="shared" si="189"/>
        <v>1244.2</v>
      </c>
      <c r="N1360" t="str">
        <f t="shared" si="190"/>
        <v>HOLDING REGISTER</v>
      </c>
      <c r="O1360" t="str">
        <f t="shared" si="191"/>
        <v>BOOL</v>
      </c>
      <c r="P1360" t="str">
        <f t="shared" si="192"/>
        <v>TELECAMERA T20N</v>
      </c>
      <c r="R1360" t="str">
        <f t="shared" si="193"/>
        <v>disponibile</v>
      </c>
      <c r="U1360" t="str">
        <f t="shared" si="194"/>
        <v>disponibile</v>
      </c>
      <c r="V1360" t="str">
        <f t="shared" si="195"/>
        <v>DIREZIONE NORD</v>
      </c>
      <c r="W1360" t="str">
        <f t="shared" si="196"/>
        <v>GALLERIA SAN GIULIANO</v>
      </c>
      <c r="Z1360" t="str">
        <f t="shared" si="197"/>
        <v>10.220.80.16</v>
      </c>
    </row>
    <row r="1361" spans="1:26" x14ac:dyDescent="0.25">
      <c r="A1361" t="s">
        <v>10</v>
      </c>
      <c r="B1361" t="s">
        <v>1063</v>
      </c>
      <c r="C1361" t="s">
        <v>1761</v>
      </c>
      <c r="D1361" t="s">
        <v>1619</v>
      </c>
      <c r="E1361" t="s">
        <v>1845</v>
      </c>
      <c r="F1361" t="s">
        <v>14</v>
      </c>
      <c r="G1361" t="s">
        <v>28</v>
      </c>
      <c r="H1361" t="s">
        <v>22</v>
      </c>
      <c r="I1361" t="s">
        <v>2115</v>
      </c>
      <c r="J1361" t="s">
        <v>1902</v>
      </c>
      <c r="K1361" t="str">
        <f t="shared" si="189"/>
        <v>1244.3</v>
      </c>
      <c r="N1361" t="str">
        <f t="shared" si="190"/>
        <v>HOLDING REGISTER</v>
      </c>
      <c r="O1361" t="str">
        <f t="shared" si="191"/>
        <v>BOOL</v>
      </c>
      <c r="P1361" t="str">
        <f t="shared" si="192"/>
        <v>TELECAMERA T20N</v>
      </c>
      <c r="R1361" t="str">
        <f t="shared" si="193"/>
        <v>VEICOLO FERMO</v>
      </c>
      <c r="U1361" t="str">
        <f t="shared" si="194"/>
        <v>Allarme</v>
      </c>
      <c r="V1361" t="str">
        <f t="shared" si="195"/>
        <v>DIREZIONE NORD</v>
      </c>
      <c r="W1361" t="str">
        <f t="shared" si="196"/>
        <v>GALLERIA SAN GIULIANO</v>
      </c>
      <c r="Z1361" t="str">
        <f t="shared" si="197"/>
        <v>10.220.80.16</v>
      </c>
    </row>
    <row r="1362" spans="1:26" x14ac:dyDescent="0.25">
      <c r="A1362" t="s">
        <v>10</v>
      </c>
      <c r="B1362" t="s">
        <v>1063</v>
      </c>
      <c r="C1362" t="s">
        <v>1761</v>
      </c>
      <c r="D1362" t="s">
        <v>1619</v>
      </c>
      <c r="E1362" t="s">
        <v>1845</v>
      </c>
      <c r="F1362" t="s">
        <v>14</v>
      </c>
      <c r="G1362" t="s">
        <v>28</v>
      </c>
      <c r="H1362" t="s">
        <v>22</v>
      </c>
      <c r="I1362" t="s">
        <v>2116</v>
      </c>
      <c r="J1362" t="s">
        <v>1904</v>
      </c>
      <c r="K1362" t="str">
        <f t="shared" si="189"/>
        <v>1244.4</v>
      </c>
      <c r="N1362" t="str">
        <f t="shared" si="190"/>
        <v>HOLDING REGISTER</v>
      </c>
      <c r="O1362" t="str">
        <f t="shared" si="191"/>
        <v>BOOL</v>
      </c>
      <c r="P1362" t="str">
        <f t="shared" si="192"/>
        <v>TELECAMERA T20N</v>
      </c>
      <c r="R1362" t="str">
        <f t="shared" si="193"/>
        <v>CARICO DISPERSO</v>
      </c>
      <c r="U1362" t="str">
        <f t="shared" si="194"/>
        <v>Allarme</v>
      </c>
      <c r="V1362" t="str">
        <f t="shared" si="195"/>
        <v>DIREZIONE NORD</v>
      </c>
      <c r="W1362" t="str">
        <f t="shared" si="196"/>
        <v>GALLERIA SAN GIULIANO</v>
      </c>
      <c r="Z1362" t="str">
        <f t="shared" si="197"/>
        <v>10.220.80.16</v>
      </c>
    </row>
    <row r="1363" spans="1:26" x14ac:dyDescent="0.25">
      <c r="A1363" t="s">
        <v>10</v>
      </c>
      <c r="B1363" t="s">
        <v>1063</v>
      </c>
      <c r="C1363" t="s">
        <v>1761</v>
      </c>
      <c r="D1363" t="s">
        <v>1619</v>
      </c>
      <c r="E1363" t="s">
        <v>1845</v>
      </c>
      <c r="F1363" t="s">
        <v>14</v>
      </c>
      <c r="G1363" t="s">
        <v>1375</v>
      </c>
      <c r="H1363" t="s">
        <v>22</v>
      </c>
      <c r="I1363" t="s">
        <v>2117</v>
      </c>
      <c r="J1363" t="s">
        <v>1375</v>
      </c>
      <c r="K1363" t="str">
        <f t="shared" si="189"/>
        <v>1244.5</v>
      </c>
      <c r="N1363" t="str">
        <f t="shared" si="190"/>
        <v>HOLDING REGISTER</v>
      </c>
      <c r="O1363" t="str">
        <f t="shared" si="191"/>
        <v>BOOL</v>
      </c>
      <c r="P1363" t="str">
        <f t="shared" si="192"/>
        <v>TELECAMERA T20N</v>
      </c>
      <c r="R1363" t="str">
        <f t="shared" si="193"/>
        <v>disponibile</v>
      </c>
      <c r="U1363" t="str">
        <f t="shared" si="194"/>
        <v>disponibile</v>
      </c>
      <c r="V1363" t="str">
        <f t="shared" si="195"/>
        <v>DIREZIONE NORD</v>
      </c>
      <c r="W1363" t="str">
        <f t="shared" si="196"/>
        <v>GALLERIA SAN GIULIANO</v>
      </c>
      <c r="Z1363" t="str">
        <f t="shared" si="197"/>
        <v>10.220.80.16</v>
      </c>
    </row>
    <row r="1364" spans="1:26" x14ac:dyDescent="0.25">
      <c r="A1364" t="s">
        <v>10</v>
      </c>
      <c r="B1364" t="s">
        <v>1063</v>
      </c>
      <c r="C1364" t="s">
        <v>1761</v>
      </c>
      <c r="D1364" t="s">
        <v>1619</v>
      </c>
      <c r="E1364" t="s">
        <v>1845</v>
      </c>
      <c r="F1364" t="s">
        <v>14</v>
      </c>
      <c r="G1364" t="s">
        <v>28</v>
      </c>
      <c r="H1364" t="s">
        <v>22</v>
      </c>
      <c r="I1364" t="s">
        <v>2118</v>
      </c>
      <c r="J1364" t="s">
        <v>1907</v>
      </c>
      <c r="K1364" t="str">
        <f t="shared" si="189"/>
        <v>1244.6</v>
      </c>
      <c r="N1364" t="str">
        <f t="shared" si="190"/>
        <v>HOLDING REGISTER</v>
      </c>
      <c r="O1364" t="str">
        <f t="shared" si="191"/>
        <v>BOOL</v>
      </c>
      <c r="P1364" t="str">
        <f t="shared" si="192"/>
        <v>TELECAMERA T20N</v>
      </c>
      <c r="R1364" t="str">
        <f t="shared" si="193"/>
        <v>PEDONE</v>
      </c>
      <c r="U1364" t="str">
        <f t="shared" si="194"/>
        <v>Allarme</v>
      </c>
      <c r="V1364" t="str">
        <f t="shared" si="195"/>
        <v>DIREZIONE NORD</v>
      </c>
      <c r="W1364" t="str">
        <f t="shared" si="196"/>
        <v>GALLERIA SAN GIULIANO</v>
      </c>
      <c r="Z1364" t="str">
        <f t="shared" si="197"/>
        <v>10.220.80.16</v>
      </c>
    </row>
    <row r="1365" spans="1:26" x14ac:dyDescent="0.25">
      <c r="A1365" t="s">
        <v>10</v>
      </c>
      <c r="B1365" t="s">
        <v>1063</v>
      </c>
      <c r="C1365" t="s">
        <v>1761</v>
      </c>
      <c r="D1365" t="s">
        <v>1619</v>
      </c>
      <c r="E1365" t="s">
        <v>1845</v>
      </c>
      <c r="F1365" t="s">
        <v>14</v>
      </c>
      <c r="G1365" t="s">
        <v>28</v>
      </c>
      <c r="H1365" t="s">
        <v>22</v>
      </c>
      <c r="I1365" t="s">
        <v>2119</v>
      </c>
      <c r="J1365" t="s">
        <v>1909</v>
      </c>
      <c r="K1365" t="str">
        <f t="shared" si="189"/>
        <v>1244.7</v>
      </c>
      <c r="N1365" t="str">
        <f t="shared" si="190"/>
        <v>HOLDING REGISTER</v>
      </c>
      <c r="O1365" t="str">
        <f t="shared" si="191"/>
        <v>BOOL</v>
      </c>
      <c r="P1365" t="str">
        <f t="shared" si="192"/>
        <v>TELECAMERA T20N</v>
      </c>
      <c r="R1365" t="str">
        <f t="shared" si="193"/>
        <v>FUMO</v>
      </c>
      <c r="U1365" t="str">
        <f t="shared" si="194"/>
        <v>Allarme</v>
      </c>
      <c r="V1365" t="str">
        <f t="shared" si="195"/>
        <v>DIREZIONE NORD</v>
      </c>
      <c r="W1365" t="str">
        <f t="shared" si="196"/>
        <v>GALLERIA SAN GIULIANO</v>
      </c>
      <c r="Z1365" t="str">
        <f t="shared" si="197"/>
        <v>10.220.80.16</v>
      </c>
    </row>
    <row r="1366" spans="1:26" x14ac:dyDescent="0.25">
      <c r="A1366" t="s">
        <v>10</v>
      </c>
      <c r="B1366" t="s">
        <v>1063</v>
      </c>
      <c r="C1366" t="s">
        <v>1761</v>
      </c>
      <c r="D1366" t="s">
        <v>1619</v>
      </c>
      <c r="E1366" t="s">
        <v>1845</v>
      </c>
      <c r="F1366" t="s">
        <v>14</v>
      </c>
      <c r="G1366" t="s">
        <v>28</v>
      </c>
      <c r="H1366" t="s">
        <v>22</v>
      </c>
      <c r="I1366" t="s">
        <v>2120</v>
      </c>
      <c r="J1366" t="s">
        <v>1911</v>
      </c>
      <c r="K1366" t="str">
        <f t="shared" si="189"/>
        <v>1244.8</v>
      </c>
      <c r="N1366" t="str">
        <f t="shared" si="190"/>
        <v>HOLDING REGISTER</v>
      </c>
      <c r="O1366" t="str">
        <f t="shared" si="191"/>
        <v>BOOL</v>
      </c>
      <c r="P1366" t="str">
        <f t="shared" si="192"/>
        <v>TELECAMERA T20N</v>
      </c>
      <c r="R1366" t="str">
        <f t="shared" si="193"/>
        <v>RALLENTAMENTI</v>
      </c>
      <c r="U1366" t="str">
        <f t="shared" si="194"/>
        <v>Allarme</v>
      </c>
      <c r="V1366" t="str">
        <f t="shared" si="195"/>
        <v>DIREZIONE NORD</v>
      </c>
      <c r="W1366" t="str">
        <f t="shared" si="196"/>
        <v>GALLERIA SAN GIULIANO</v>
      </c>
      <c r="Z1366" t="str">
        <f t="shared" si="197"/>
        <v>10.220.80.16</v>
      </c>
    </row>
    <row r="1367" spans="1:26" x14ac:dyDescent="0.25">
      <c r="A1367" t="s">
        <v>10</v>
      </c>
      <c r="B1367" t="s">
        <v>1063</v>
      </c>
      <c r="C1367" t="s">
        <v>1761</v>
      </c>
      <c r="D1367" t="s">
        <v>1619</v>
      </c>
      <c r="E1367" t="s">
        <v>1845</v>
      </c>
      <c r="F1367" t="s">
        <v>14</v>
      </c>
      <c r="G1367" t="s">
        <v>28</v>
      </c>
      <c r="H1367" t="s">
        <v>22</v>
      </c>
      <c r="I1367" t="s">
        <v>2121</v>
      </c>
      <c r="J1367" t="s">
        <v>1913</v>
      </c>
      <c r="K1367" t="str">
        <f t="shared" si="189"/>
        <v>1244.9</v>
      </c>
      <c r="N1367" t="str">
        <f t="shared" si="190"/>
        <v>HOLDING REGISTER</v>
      </c>
      <c r="O1367" t="str">
        <f t="shared" si="191"/>
        <v>BOOL</v>
      </c>
      <c r="P1367" t="str">
        <f t="shared" si="192"/>
        <v>TELECAMERA T20N</v>
      </c>
      <c r="R1367" t="str">
        <f t="shared" si="193"/>
        <v>CODA IN GALLERIA</v>
      </c>
      <c r="U1367" t="str">
        <f t="shared" si="194"/>
        <v>Allarme</v>
      </c>
      <c r="V1367" t="str">
        <f t="shared" si="195"/>
        <v>DIREZIONE NORD</v>
      </c>
      <c r="W1367" t="str">
        <f t="shared" si="196"/>
        <v>GALLERIA SAN GIULIANO</v>
      </c>
      <c r="Z1367" t="str">
        <f t="shared" si="197"/>
        <v>10.220.80.16</v>
      </c>
    </row>
    <row r="1368" spans="1:26" x14ac:dyDescent="0.25">
      <c r="A1368" t="s">
        <v>10</v>
      </c>
      <c r="B1368" t="s">
        <v>1063</v>
      </c>
      <c r="C1368" t="s">
        <v>1761</v>
      </c>
      <c r="D1368" t="s">
        <v>1619</v>
      </c>
      <c r="E1368" t="s">
        <v>1845</v>
      </c>
      <c r="F1368" t="s">
        <v>14</v>
      </c>
      <c r="G1368" t="s">
        <v>1375</v>
      </c>
      <c r="H1368" t="s">
        <v>22</v>
      </c>
      <c r="I1368" t="s">
        <v>2122</v>
      </c>
      <c r="J1368" t="s">
        <v>1375</v>
      </c>
      <c r="K1368" t="str">
        <f t="shared" si="189"/>
        <v>1244.10</v>
      </c>
      <c r="N1368" t="str">
        <f t="shared" si="190"/>
        <v>HOLDING REGISTER</v>
      </c>
      <c r="O1368" t="str">
        <f t="shared" si="191"/>
        <v>BOOL</v>
      </c>
      <c r="P1368" t="str">
        <f t="shared" si="192"/>
        <v>TELECAMERA T20N</v>
      </c>
      <c r="R1368" t="str">
        <f t="shared" si="193"/>
        <v>disponibile</v>
      </c>
      <c r="U1368" t="str">
        <f t="shared" si="194"/>
        <v>disponibile</v>
      </c>
      <c r="V1368" t="str">
        <f t="shared" si="195"/>
        <v>DIREZIONE NORD</v>
      </c>
      <c r="W1368" t="str">
        <f t="shared" si="196"/>
        <v>GALLERIA SAN GIULIANO</v>
      </c>
      <c r="Z1368" t="str">
        <f t="shared" si="197"/>
        <v>10.220.80.16</v>
      </c>
    </row>
    <row r="1369" spans="1:26" x14ac:dyDescent="0.25">
      <c r="A1369" t="s">
        <v>10</v>
      </c>
      <c r="B1369" t="s">
        <v>1063</v>
      </c>
      <c r="C1369" t="s">
        <v>1761</v>
      </c>
      <c r="D1369" t="s">
        <v>1619</v>
      </c>
      <c r="E1369" t="s">
        <v>1845</v>
      </c>
      <c r="F1369" t="s">
        <v>14</v>
      </c>
      <c r="G1369" t="s">
        <v>1375</v>
      </c>
      <c r="H1369" t="s">
        <v>22</v>
      </c>
      <c r="I1369" t="s">
        <v>2123</v>
      </c>
      <c r="J1369" t="s">
        <v>1375</v>
      </c>
      <c r="K1369" t="str">
        <f t="shared" si="189"/>
        <v>1244.11</v>
      </c>
      <c r="N1369" t="str">
        <f t="shared" si="190"/>
        <v>HOLDING REGISTER</v>
      </c>
      <c r="O1369" t="str">
        <f t="shared" si="191"/>
        <v>BOOL</v>
      </c>
      <c r="P1369" t="str">
        <f t="shared" si="192"/>
        <v>TELECAMERA T20N</v>
      </c>
      <c r="R1369" t="str">
        <f t="shared" si="193"/>
        <v>disponibile</v>
      </c>
      <c r="U1369" t="str">
        <f t="shared" si="194"/>
        <v>disponibile</v>
      </c>
      <c r="V1369" t="str">
        <f t="shared" si="195"/>
        <v>DIREZIONE NORD</v>
      </c>
      <c r="W1369" t="str">
        <f t="shared" si="196"/>
        <v>GALLERIA SAN GIULIANO</v>
      </c>
      <c r="Z1369" t="str">
        <f t="shared" si="197"/>
        <v>10.220.80.16</v>
      </c>
    </row>
    <row r="1370" spans="1:26" x14ac:dyDescent="0.25">
      <c r="A1370" t="s">
        <v>10</v>
      </c>
      <c r="B1370" t="s">
        <v>1063</v>
      </c>
      <c r="C1370" t="s">
        <v>1761</v>
      </c>
      <c r="D1370" t="s">
        <v>1619</v>
      </c>
      <c r="E1370" t="s">
        <v>1845</v>
      </c>
      <c r="F1370" t="s">
        <v>14</v>
      </c>
      <c r="G1370" t="s">
        <v>1375</v>
      </c>
      <c r="H1370" t="s">
        <v>22</v>
      </c>
      <c r="I1370" t="s">
        <v>2124</v>
      </c>
      <c r="J1370" t="s">
        <v>1375</v>
      </c>
      <c r="K1370" t="str">
        <f t="shared" si="189"/>
        <v>1244.12</v>
      </c>
      <c r="N1370" t="str">
        <f t="shared" si="190"/>
        <v>HOLDING REGISTER</v>
      </c>
      <c r="O1370" t="str">
        <f t="shared" si="191"/>
        <v>BOOL</v>
      </c>
      <c r="P1370" t="str">
        <f t="shared" si="192"/>
        <v>TELECAMERA T20N</v>
      </c>
      <c r="R1370" t="str">
        <f t="shared" si="193"/>
        <v>disponibile</v>
      </c>
      <c r="U1370" t="str">
        <f t="shared" si="194"/>
        <v>disponibile</v>
      </c>
      <c r="V1370" t="str">
        <f t="shared" si="195"/>
        <v>DIREZIONE NORD</v>
      </c>
      <c r="W1370" t="str">
        <f t="shared" si="196"/>
        <v>GALLERIA SAN GIULIANO</v>
      </c>
      <c r="Z1370" t="str">
        <f t="shared" si="197"/>
        <v>10.220.80.16</v>
      </c>
    </row>
    <row r="1371" spans="1:26" x14ac:dyDescent="0.25">
      <c r="A1371" t="s">
        <v>10</v>
      </c>
      <c r="B1371" t="s">
        <v>1063</v>
      </c>
      <c r="C1371" t="s">
        <v>1761</v>
      </c>
      <c r="D1371" t="s">
        <v>1619</v>
      </c>
      <c r="E1371" t="s">
        <v>1845</v>
      </c>
      <c r="F1371" t="s">
        <v>14</v>
      </c>
      <c r="G1371" t="s">
        <v>1375</v>
      </c>
      <c r="H1371" t="s">
        <v>22</v>
      </c>
      <c r="I1371" t="s">
        <v>2125</v>
      </c>
      <c r="J1371" t="s">
        <v>1375</v>
      </c>
      <c r="K1371" t="str">
        <f t="shared" si="189"/>
        <v>1244.13</v>
      </c>
      <c r="N1371" t="str">
        <f t="shared" si="190"/>
        <v>HOLDING REGISTER</v>
      </c>
      <c r="O1371" t="str">
        <f t="shared" si="191"/>
        <v>BOOL</v>
      </c>
      <c r="P1371" t="str">
        <f t="shared" si="192"/>
        <v>TELECAMERA T20N</v>
      </c>
      <c r="R1371" t="str">
        <f t="shared" si="193"/>
        <v>disponibile</v>
      </c>
      <c r="U1371" t="str">
        <f t="shared" si="194"/>
        <v>disponibile</v>
      </c>
      <c r="V1371" t="str">
        <f t="shared" si="195"/>
        <v>DIREZIONE NORD</v>
      </c>
      <c r="W1371" t="str">
        <f t="shared" si="196"/>
        <v>GALLERIA SAN GIULIANO</v>
      </c>
      <c r="Z1371" t="str">
        <f t="shared" si="197"/>
        <v>10.220.80.16</v>
      </c>
    </row>
    <row r="1372" spans="1:26" x14ac:dyDescent="0.25">
      <c r="A1372" t="s">
        <v>10</v>
      </c>
      <c r="B1372" t="s">
        <v>1063</v>
      </c>
      <c r="C1372" t="s">
        <v>1761</v>
      </c>
      <c r="D1372" t="s">
        <v>1619</v>
      </c>
      <c r="E1372" t="s">
        <v>1845</v>
      </c>
      <c r="F1372" t="s">
        <v>14</v>
      </c>
      <c r="G1372" t="s">
        <v>1375</v>
      </c>
      <c r="H1372" t="s">
        <v>22</v>
      </c>
      <c r="I1372" t="s">
        <v>2126</v>
      </c>
      <c r="J1372" t="s">
        <v>1375</v>
      </c>
      <c r="K1372" t="str">
        <f t="shared" si="189"/>
        <v>1244.14</v>
      </c>
      <c r="N1372" t="str">
        <f t="shared" si="190"/>
        <v>HOLDING REGISTER</v>
      </c>
      <c r="O1372" t="str">
        <f t="shared" si="191"/>
        <v>BOOL</v>
      </c>
      <c r="P1372" t="str">
        <f t="shared" si="192"/>
        <v>TELECAMERA T20N</v>
      </c>
      <c r="R1372" t="str">
        <f t="shared" si="193"/>
        <v>disponibile</v>
      </c>
      <c r="U1372" t="str">
        <f t="shared" si="194"/>
        <v>disponibile</v>
      </c>
      <c r="V1372" t="str">
        <f t="shared" si="195"/>
        <v>DIREZIONE NORD</v>
      </c>
      <c r="W1372" t="str">
        <f t="shared" si="196"/>
        <v>GALLERIA SAN GIULIANO</v>
      </c>
      <c r="Z1372" t="str">
        <f t="shared" si="197"/>
        <v>10.220.80.16</v>
      </c>
    </row>
    <row r="1373" spans="1:26" x14ac:dyDescent="0.25">
      <c r="A1373" t="s">
        <v>10</v>
      </c>
      <c r="B1373" t="s">
        <v>1063</v>
      </c>
      <c r="C1373" t="s">
        <v>1761</v>
      </c>
      <c r="D1373" t="s">
        <v>1619</v>
      </c>
      <c r="E1373" t="s">
        <v>1845</v>
      </c>
      <c r="F1373" t="s">
        <v>14</v>
      </c>
      <c r="G1373" t="s">
        <v>1375</v>
      </c>
      <c r="H1373" t="s">
        <v>22</v>
      </c>
      <c r="I1373" t="s">
        <v>2127</v>
      </c>
      <c r="J1373" t="s">
        <v>1375</v>
      </c>
      <c r="K1373" t="str">
        <f t="shared" si="189"/>
        <v>1244.15</v>
      </c>
      <c r="N1373" t="str">
        <f t="shared" si="190"/>
        <v>HOLDING REGISTER</v>
      </c>
      <c r="O1373" t="str">
        <f t="shared" si="191"/>
        <v>BOOL</v>
      </c>
      <c r="P1373" t="str">
        <f t="shared" si="192"/>
        <v>TELECAMERA T20N</v>
      </c>
      <c r="R1373" t="str">
        <f t="shared" si="193"/>
        <v>disponibile</v>
      </c>
      <c r="U1373" t="str">
        <f t="shared" si="194"/>
        <v>disponibile</v>
      </c>
      <c r="V1373" t="str">
        <f t="shared" si="195"/>
        <v>DIREZIONE NORD</v>
      </c>
      <c r="W1373" t="str">
        <f t="shared" si="196"/>
        <v>GALLERIA SAN GIULIANO</v>
      </c>
      <c r="Z1373" t="str">
        <f t="shared" si="197"/>
        <v>10.220.80.16</v>
      </c>
    </row>
    <row r="1374" spans="1:26" x14ac:dyDescent="0.25">
      <c r="A1374" t="s">
        <v>10</v>
      </c>
      <c r="B1374" t="s">
        <v>1063</v>
      </c>
      <c r="C1374" t="s">
        <v>1761</v>
      </c>
      <c r="D1374" t="s">
        <v>1619</v>
      </c>
      <c r="E1374" t="s">
        <v>1862</v>
      </c>
      <c r="F1374" t="s">
        <v>14</v>
      </c>
      <c r="G1374" t="s">
        <v>28</v>
      </c>
      <c r="H1374" t="s">
        <v>22</v>
      </c>
      <c r="I1374" t="s">
        <v>2128</v>
      </c>
      <c r="J1374" t="s">
        <v>1897</v>
      </c>
      <c r="K1374" t="str">
        <f t="shared" si="189"/>
        <v>1245.0</v>
      </c>
      <c r="N1374" t="str">
        <f t="shared" si="190"/>
        <v>HOLDING REGISTER</v>
      </c>
      <c r="O1374" t="str">
        <f t="shared" si="191"/>
        <v>BOOL</v>
      </c>
      <c r="P1374" t="str">
        <f t="shared" si="192"/>
        <v>TELECAMERA T21N</v>
      </c>
      <c r="R1374" t="str">
        <f t="shared" si="193"/>
        <v>PERDITA SEGNALE VIDEO</v>
      </c>
      <c r="U1374" t="str">
        <f t="shared" si="194"/>
        <v>Allarme</v>
      </c>
      <c r="V1374" t="str">
        <f t="shared" si="195"/>
        <v>DIREZIONE NORD</v>
      </c>
      <c r="W1374" t="str">
        <f t="shared" si="196"/>
        <v>GALLERIA SAN GIULIANO</v>
      </c>
      <c r="Z1374" t="str">
        <f t="shared" si="197"/>
        <v>10.220.80.16</v>
      </c>
    </row>
    <row r="1375" spans="1:26" x14ac:dyDescent="0.25">
      <c r="A1375" t="s">
        <v>10</v>
      </c>
      <c r="B1375" t="s">
        <v>1063</v>
      </c>
      <c r="C1375" t="s">
        <v>1761</v>
      </c>
      <c r="D1375" t="s">
        <v>1619</v>
      </c>
      <c r="E1375" t="s">
        <v>1862</v>
      </c>
      <c r="F1375" t="s">
        <v>14</v>
      </c>
      <c r="G1375" t="s">
        <v>28</v>
      </c>
      <c r="H1375" t="s">
        <v>22</v>
      </c>
      <c r="I1375" t="s">
        <v>2129</v>
      </c>
      <c r="J1375" t="s">
        <v>1899</v>
      </c>
      <c r="K1375" t="str">
        <f t="shared" si="189"/>
        <v>1245.1</v>
      </c>
      <c r="N1375" t="str">
        <f t="shared" si="190"/>
        <v>HOLDING REGISTER</v>
      </c>
      <c r="O1375" t="str">
        <f t="shared" si="191"/>
        <v>BOOL</v>
      </c>
      <c r="P1375" t="str">
        <f t="shared" si="192"/>
        <v>TELECAMERA T21N</v>
      </c>
      <c r="R1375" t="str">
        <f t="shared" si="193"/>
        <v>MANOMISSIONE</v>
      </c>
      <c r="U1375" t="str">
        <f t="shared" si="194"/>
        <v>Allarme</v>
      </c>
      <c r="V1375" t="str">
        <f t="shared" si="195"/>
        <v>DIREZIONE NORD</v>
      </c>
      <c r="W1375" t="str">
        <f t="shared" si="196"/>
        <v>GALLERIA SAN GIULIANO</v>
      </c>
      <c r="Z1375" t="str">
        <f t="shared" si="197"/>
        <v>10.220.80.16</v>
      </c>
    </row>
    <row r="1376" spans="1:26" x14ac:dyDescent="0.25">
      <c r="A1376" t="s">
        <v>10</v>
      </c>
      <c r="B1376" t="s">
        <v>1063</v>
      </c>
      <c r="C1376" t="s">
        <v>1761</v>
      </c>
      <c r="D1376" t="s">
        <v>1619</v>
      </c>
      <c r="E1376" t="s">
        <v>1862</v>
      </c>
      <c r="F1376" t="s">
        <v>14</v>
      </c>
      <c r="G1376" t="s">
        <v>1375</v>
      </c>
      <c r="H1376" t="s">
        <v>22</v>
      </c>
      <c r="I1376" t="s">
        <v>2130</v>
      </c>
      <c r="J1376" t="s">
        <v>1375</v>
      </c>
      <c r="K1376" t="str">
        <f t="shared" si="189"/>
        <v>1245.2</v>
      </c>
      <c r="N1376" t="str">
        <f t="shared" si="190"/>
        <v>HOLDING REGISTER</v>
      </c>
      <c r="O1376" t="str">
        <f t="shared" si="191"/>
        <v>BOOL</v>
      </c>
      <c r="P1376" t="str">
        <f t="shared" si="192"/>
        <v>TELECAMERA T21N</v>
      </c>
      <c r="R1376" t="str">
        <f t="shared" si="193"/>
        <v>disponibile</v>
      </c>
      <c r="U1376" t="str">
        <f t="shared" si="194"/>
        <v>disponibile</v>
      </c>
      <c r="V1376" t="str">
        <f t="shared" si="195"/>
        <v>DIREZIONE NORD</v>
      </c>
      <c r="W1376" t="str">
        <f t="shared" si="196"/>
        <v>GALLERIA SAN GIULIANO</v>
      </c>
      <c r="Z1376" t="str">
        <f t="shared" si="197"/>
        <v>10.220.80.16</v>
      </c>
    </row>
    <row r="1377" spans="1:26" x14ac:dyDescent="0.25">
      <c r="A1377" t="s">
        <v>10</v>
      </c>
      <c r="B1377" t="s">
        <v>1063</v>
      </c>
      <c r="C1377" t="s">
        <v>1761</v>
      </c>
      <c r="D1377" t="s">
        <v>1619</v>
      </c>
      <c r="E1377" t="s">
        <v>1862</v>
      </c>
      <c r="F1377" t="s">
        <v>14</v>
      </c>
      <c r="G1377" t="s">
        <v>28</v>
      </c>
      <c r="H1377" t="s">
        <v>22</v>
      </c>
      <c r="I1377" t="s">
        <v>2131</v>
      </c>
      <c r="J1377" t="s">
        <v>1902</v>
      </c>
      <c r="K1377" t="str">
        <f t="shared" si="189"/>
        <v>1245.3</v>
      </c>
      <c r="N1377" t="str">
        <f t="shared" si="190"/>
        <v>HOLDING REGISTER</v>
      </c>
      <c r="O1377" t="str">
        <f t="shared" si="191"/>
        <v>BOOL</v>
      </c>
      <c r="P1377" t="str">
        <f t="shared" si="192"/>
        <v>TELECAMERA T21N</v>
      </c>
      <c r="R1377" t="str">
        <f t="shared" si="193"/>
        <v>VEICOLO FERMO</v>
      </c>
      <c r="U1377" t="str">
        <f t="shared" si="194"/>
        <v>Allarme</v>
      </c>
      <c r="V1377" t="str">
        <f t="shared" si="195"/>
        <v>DIREZIONE NORD</v>
      </c>
      <c r="W1377" t="str">
        <f t="shared" si="196"/>
        <v>GALLERIA SAN GIULIANO</v>
      </c>
      <c r="Z1377" t="str">
        <f t="shared" si="197"/>
        <v>10.220.80.16</v>
      </c>
    </row>
    <row r="1378" spans="1:26" x14ac:dyDescent="0.25">
      <c r="A1378" t="s">
        <v>10</v>
      </c>
      <c r="B1378" t="s">
        <v>1063</v>
      </c>
      <c r="C1378" t="s">
        <v>1761</v>
      </c>
      <c r="D1378" t="s">
        <v>1619</v>
      </c>
      <c r="E1378" t="s">
        <v>1862</v>
      </c>
      <c r="F1378" t="s">
        <v>14</v>
      </c>
      <c r="G1378" t="s">
        <v>28</v>
      </c>
      <c r="H1378" t="s">
        <v>22</v>
      </c>
      <c r="I1378" t="s">
        <v>2132</v>
      </c>
      <c r="J1378" t="s">
        <v>1904</v>
      </c>
      <c r="K1378" t="str">
        <f t="shared" si="189"/>
        <v>1245.4</v>
      </c>
      <c r="N1378" t="str">
        <f t="shared" si="190"/>
        <v>HOLDING REGISTER</v>
      </c>
      <c r="O1378" t="str">
        <f t="shared" si="191"/>
        <v>BOOL</v>
      </c>
      <c r="P1378" t="str">
        <f t="shared" si="192"/>
        <v>TELECAMERA T21N</v>
      </c>
      <c r="R1378" t="str">
        <f t="shared" si="193"/>
        <v>CARICO DISPERSO</v>
      </c>
      <c r="U1378" t="str">
        <f t="shared" si="194"/>
        <v>Allarme</v>
      </c>
      <c r="V1378" t="str">
        <f t="shared" si="195"/>
        <v>DIREZIONE NORD</v>
      </c>
      <c r="W1378" t="str">
        <f t="shared" si="196"/>
        <v>GALLERIA SAN GIULIANO</v>
      </c>
      <c r="Z1378" t="str">
        <f t="shared" si="197"/>
        <v>10.220.80.16</v>
      </c>
    </row>
    <row r="1379" spans="1:26" x14ac:dyDescent="0.25">
      <c r="A1379" t="s">
        <v>10</v>
      </c>
      <c r="B1379" t="s">
        <v>1063</v>
      </c>
      <c r="C1379" t="s">
        <v>1761</v>
      </c>
      <c r="D1379" t="s">
        <v>1619</v>
      </c>
      <c r="E1379" t="s">
        <v>1862</v>
      </c>
      <c r="F1379" t="s">
        <v>14</v>
      </c>
      <c r="G1379" t="s">
        <v>1375</v>
      </c>
      <c r="H1379" t="s">
        <v>22</v>
      </c>
      <c r="I1379" t="s">
        <v>2133</v>
      </c>
      <c r="J1379" t="s">
        <v>1375</v>
      </c>
      <c r="K1379" t="str">
        <f t="shared" si="189"/>
        <v>1245.5</v>
      </c>
      <c r="N1379" t="str">
        <f t="shared" si="190"/>
        <v>HOLDING REGISTER</v>
      </c>
      <c r="O1379" t="str">
        <f t="shared" si="191"/>
        <v>BOOL</v>
      </c>
      <c r="P1379" t="str">
        <f t="shared" si="192"/>
        <v>TELECAMERA T21N</v>
      </c>
      <c r="R1379" t="str">
        <f t="shared" si="193"/>
        <v>disponibile</v>
      </c>
      <c r="U1379" t="str">
        <f t="shared" si="194"/>
        <v>disponibile</v>
      </c>
      <c r="V1379" t="str">
        <f t="shared" si="195"/>
        <v>DIREZIONE NORD</v>
      </c>
      <c r="W1379" t="str">
        <f t="shared" si="196"/>
        <v>GALLERIA SAN GIULIANO</v>
      </c>
      <c r="Z1379" t="str">
        <f t="shared" si="197"/>
        <v>10.220.80.16</v>
      </c>
    </row>
    <row r="1380" spans="1:26" x14ac:dyDescent="0.25">
      <c r="A1380" t="s">
        <v>10</v>
      </c>
      <c r="B1380" t="s">
        <v>1063</v>
      </c>
      <c r="C1380" t="s">
        <v>1761</v>
      </c>
      <c r="D1380" t="s">
        <v>1619</v>
      </c>
      <c r="E1380" t="s">
        <v>1862</v>
      </c>
      <c r="F1380" t="s">
        <v>14</v>
      </c>
      <c r="G1380" t="s">
        <v>28</v>
      </c>
      <c r="H1380" t="s">
        <v>22</v>
      </c>
      <c r="I1380" t="s">
        <v>2134</v>
      </c>
      <c r="J1380" t="s">
        <v>1907</v>
      </c>
      <c r="K1380" t="str">
        <f t="shared" si="189"/>
        <v>1245.6</v>
      </c>
      <c r="N1380" t="str">
        <f t="shared" si="190"/>
        <v>HOLDING REGISTER</v>
      </c>
      <c r="O1380" t="str">
        <f t="shared" si="191"/>
        <v>BOOL</v>
      </c>
      <c r="P1380" t="str">
        <f t="shared" si="192"/>
        <v>TELECAMERA T21N</v>
      </c>
      <c r="R1380" t="str">
        <f t="shared" si="193"/>
        <v>PEDONE</v>
      </c>
      <c r="U1380" t="str">
        <f t="shared" si="194"/>
        <v>Allarme</v>
      </c>
      <c r="V1380" t="str">
        <f t="shared" si="195"/>
        <v>DIREZIONE NORD</v>
      </c>
      <c r="W1380" t="str">
        <f t="shared" si="196"/>
        <v>GALLERIA SAN GIULIANO</v>
      </c>
      <c r="Z1380" t="str">
        <f t="shared" si="197"/>
        <v>10.220.80.16</v>
      </c>
    </row>
    <row r="1381" spans="1:26" x14ac:dyDescent="0.25">
      <c r="A1381" t="s">
        <v>10</v>
      </c>
      <c r="B1381" t="s">
        <v>1063</v>
      </c>
      <c r="C1381" t="s">
        <v>1761</v>
      </c>
      <c r="D1381" t="s">
        <v>1619</v>
      </c>
      <c r="E1381" t="s">
        <v>1862</v>
      </c>
      <c r="F1381" t="s">
        <v>14</v>
      </c>
      <c r="G1381" t="s">
        <v>28</v>
      </c>
      <c r="H1381" t="s">
        <v>22</v>
      </c>
      <c r="I1381" t="s">
        <v>2135</v>
      </c>
      <c r="J1381" t="s">
        <v>1909</v>
      </c>
      <c r="K1381" t="str">
        <f t="shared" si="189"/>
        <v>1245.7</v>
      </c>
      <c r="N1381" t="str">
        <f t="shared" si="190"/>
        <v>HOLDING REGISTER</v>
      </c>
      <c r="O1381" t="str">
        <f t="shared" si="191"/>
        <v>BOOL</v>
      </c>
      <c r="P1381" t="str">
        <f t="shared" si="192"/>
        <v>TELECAMERA T21N</v>
      </c>
      <c r="R1381" t="str">
        <f t="shared" si="193"/>
        <v>FUMO</v>
      </c>
      <c r="U1381" t="str">
        <f t="shared" si="194"/>
        <v>Allarme</v>
      </c>
      <c r="V1381" t="str">
        <f t="shared" si="195"/>
        <v>DIREZIONE NORD</v>
      </c>
      <c r="W1381" t="str">
        <f t="shared" si="196"/>
        <v>GALLERIA SAN GIULIANO</v>
      </c>
      <c r="Z1381" t="str">
        <f t="shared" si="197"/>
        <v>10.220.80.16</v>
      </c>
    </row>
    <row r="1382" spans="1:26" x14ac:dyDescent="0.25">
      <c r="A1382" t="s">
        <v>10</v>
      </c>
      <c r="B1382" t="s">
        <v>1063</v>
      </c>
      <c r="C1382" t="s">
        <v>1761</v>
      </c>
      <c r="D1382" t="s">
        <v>1619</v>
      </c>
      <c r="E1382" t="s">
        <v>1862</v>
      </c>
      <c r="F1382" t="s">
        <v>14</v>
      </c>
      <c r="G1382" t="s">
        <v>28</v>
      </c>
      <c r="H1382" t="s">
        <v>22</v>
      </c>
      <c r="I1382" t="s">
        <v>2136</v>
      </c>
      <c r="J1382" t="s">
        <v>1911</v>
      </c>
      <c r="K1382" t="str">
        <f t="shared" si="189"/>
        <v>1245.8</v>
      </c>
      <c r="N1382" t="str">
        <f t="shared" si="190"/>
        <v>HOLDING REGISTER</v>
      </c>
      <c r="O1382" t="str">
        <f t="shared" si="191"/>
        <v>BOOL</v>
      </c>
      <c r="P1382" t="str">
        <f t="shared" si="192"/>
        <v>TELECAMERA T21N</v>
      </c>
      <c r="R1382" t="str">
        <f t="shared" si="193"/>
        <v>RALLENTAMENTI</v>
      </c>
      <c r="U1382" t="str">
        <f t="shared" si="194"/>
        <v>Allarme</v>
      </c>
      <c r="V1382" t="str">
        <f t="shared" si="195"/>
        <v>DIREZIONE NORD</v>
      </c>
      <c r="W1382" t="str">
        <f t="shared" si="196"/>
        <v>GALLERIA SAN GIULIANO</v>
      </c>
      <c r="Z1382" t="str">
        <f t="shared" si="197"/>
        <v>10.220.80.16</v>
      </c>
    </row>
    <row r="1383" spans="1:26" x14ac:dyDescent="0.25">
      <c r="A1383" t="s">
        <v>10</v>
      </c>
      <c r="B1383" t="s">
        <v>1063</v>
      </c>
      <c r="C1383" t="s">
        <v>1761</v>
      </c>
      <c r="D1383" t="s">
        <v>1619</v>
      </c>
      <c r="E1383" t="s">
        <v>1862</v>
      </c>
      <c r="F1383" t="s">
        <v>14</v>
      </c>
      <c r="G1383" t="s">
        <v>28</v>
      </c>
      <c r="H1383" t="s">
        <v>22</v>
      </c>
      <c r="I1383" t="s">
        <v>2137</v>
      </c>
      <c r="J1383" t="s">
        <v>1913</v>
      </c>
      <c r="K1383" t="str">
        <f t="shared" si="189"/>
        <v>1245.9</v>
      </c>
      <c r="N1383" t="str">
        <f t="shared" si="190"/>
        <v>HOLDING REGISTER</v>
      </c>
      <c r="O1383" t="str">
        <f t="shared" si="191"/>
        <v>BOOL</v>
      </c>
      <c r="P1383" t="str">
        <f t="shared" si="192"/>
        <v>TELECAMERA T21N</v>
      </c>
      <c r="R1383" t="str">
        <f t="shared" si="193"/>
        <v>CODA IN GALLERIA</v>
      </c>
      <c r="U1383" t="str">
        <f t="shared" si="194"/>
        <v>Allarme</v>
      </c>
      <c r="V1383" t="str">
        <f t="shared" si="195"/>
        <v>DIREZIONE NORD</v>
      </c>
      <c r="W1383" t="str">
        <f t="shared" si="196"/>
        <v>GALLERIA SAN GIULIANO</v>
      </c>
      <c r="Z1383" t="str">
        <f t="shared" si="197"/>
        <v>10.220.80.16</v>
      </c>
    </row>
    <row r="1384" spans="1:26" x14ac:dyDescent="0.25">
      <c r="A1384" t="s">
        <v>10</v>
      </c>
      <c r="B1384" t="s">
        <v>1063</v>
      </c>
      <c r="C1384" t="s">
        <v>1761</v>
      </c>
      <c r="D1384" t="s">
        <v>1619</v>
      </c>
      <c r="E1384" t="s">
        <v>1862</v>
      </c>
      <c r="F1384" t="s">
        <v>14</v>
      </c>
      <c r="G1384" t="s">
        <v>1375</v>
      </c>
      <c r="H1384" t="s">
        <v>22</v>
      </c>
      <c r="I1384" t="s">
        <v>2138</v>
      </c>
      <c r="J1384" t="s">
        <v>1375</v>
      </c>
      <c r="K1384" t="str">
        <f t="shared" si="189"/>
        <v>1245.10</v>
      </c>
      <c r="N1384" t="str">
        <f t="shared" si="190"/>
        <v>HOLDING REGISTER</v>
      </c>
      <c r="O1384" t="str">
        <f t="shared" si="191"/>
        <v>BOOL</v>
      </c>
      <c r="P1384" t="str">
        <f t="shared" si="192"/>
        <v>TELECAMERA T21N</v>
      </c>
      <c r="R1384" t="str">
        <f t="shared" si="193"/>
        <v>disponibile</v>
      </c>
      <c r="U1384" t="str">
        <f t="shared" si="194"/>
        <v>disponibile</v>
      </c>
      <c r="V1384" t="str">
        <f t="shared" si="195"/>
        <v>DIREZIONE NORD</v>
      </c>
      <c r="W1384" t="str">
        <f t="shared" si="196"/>
        <v>GALLERIA SAN GIULIANO</v>
      </c>
      <c r="Z1384" t="str">
        <f t="shared" si="197"/>
        <v>10.220.80.16</v>
      </c>
    </row>
    <row r="1385" spans="1:26" x14ac:dyDescent="0.25">
      <c r="A1385" t="s">
        <v>10</v>
      </c>
      <c r="B1385" t="s">
        <v>1063</v>
      </c>
      <c r="C1385" t="s">
        <v>1761</v>
      </c>
      <c r="D1385" t="s">
        <v>1619</v>
      </c>
      <c r="E1385" t="s">
        <v>1862</v>
      </c>
      <c r="F1385" t="s">
        <v>14</v>
      </c>
      <c r="G1385" t="s">
        <v>1375</v>
      </c>
      <c r="H1385" t="s">
        <v>22</v>
      </c>
      <c r="I1385" t="s">
        <v>2139</v>
      </c>
      <c r="J1385" t="s">
        <v>1375</v>
      </c>
      <c r="K1385" t="str">
        <f t="shared" si="189"/>
        <v>1245.11</v>
      </c>
      <c r="N1385" t="str">
        <f t="shared" si="190"/>
        <v>HOLDING REGISTER</v>
      </c>
      <c r="O1385" t="str">
        <f t="shared" si="191"/>
        <v>BOOL</v>
      </c>
      <c r="P1385" t="str">
        <f t="shared" si="192"/>
        <v>TELECAMERA T21N</v>
      </c>
      <c r="R1385" t="str">
        <f t="shared" si="193"/>
        <v>disponibile</v>
      </c>
      <c r="U1385" t="str">
        <f t="shared" si="194"/>
        <v>disponibile</v>
      </c>
      <c r="V1385" t="str">
        <f t="shared" si="195"/>
        <v>DIREZIONE NORD</v>
      </c>
      <c r="W1385" t="str">
        <f t="shared" si="196"/>
        <v>GALLERIA SAN GIULIANO</v>
      </c>
      <c r="Z1385" t="str">
        <f t="shared" si="197"/>
        <v>10.220.80.16</v>
      </c>
    </row>
    <row r="1386" spans="1:26" x14ac:dyDescent="0.25">
      <c r="A1386" t="s">
        <v>10</v>
      </c>
      <c r="B1386" t="s">
        <v>1063</v>
      </c>
      <c r="C1386" t="s">
        <v>1761</v>
      </c>
      <c r="D1386" t="s">
        <v>1619</v>
      </c>
      <c r="E1386" t="s">
        <v>1862</v>
      </c>
      <c r="F1386" t="s">
        <v>14</v>
      </c>
      <c r="G1386" t="s">
        <v>1375</v>
      </c>
      <c r="H1386" t="s">
        <v>22</v>
      </c>
      <c r="I1386" t="s">
        <v>2140</v>
      </c>
      <c r="J1386" t="s">
        <v>1375</v>
      </c>
      <c r="K1386" t="str">
        <f t="shared" si="189"/>
        <v>1245.12</v>
      </c>
      <c r="N1386" t="str">
        <f t="shared" si="190"/>
        <v>HOLDING REGISTER</v>
      </c>
      <c r="O1386" t="str">
        <f t="shared" si="191"/>
        <v>BOOL</v>
      </c>
      <c r="P1386" t="str">
        <f t="shared" si="192"/>
        <v>TELECAMERA T21N</v>
      </c>
      <c r="R1386" t="str">
        <f t="shared" si="193"/>
        <v>disponibile</v>
      </c>
      <c r="U1386" t="str">
        <f t="shared" si="194"/>
        <v>disponibile</v>
      </c>
      <c r="V1386" t="str">
        <f t="shared" si="195"/>
        <v>DIREZIONE NORD</v>
      </c>
      <c r="W1386" t="str">
        <f t="shared" si="196"/>
        <v>GALLERIA SAN GIULIANO</v>
      </c>
      <c r="Z1386" t="str">
        <f t="shared" si="197"/>
        <v>10.220.80.16</v>
      </c>
    </row>
    <row r="1387" spans="1:26" x14ac:dyDescent="0.25">
      <c r="A1387" t="s">
        <v>10</v>
      </c>
      <c r="B1387" t="s">
        <v>1063</v>
      </c>
      <c r="C1387" t="s">
        <v>1761</v>
      </c>
      <c r="D1387" t="s">
        <v>1619</v>
      </c>
      <c r="E1387" t="s">
        <v>1862</v>
      </c>
      <c r="F1387" t="s">
        <v>14</v>
      </c>
      <c r="G1387" t="s">
        <v>1375</v>
      </c>
      <c r="H1387" t="s">
        <v>22</v>
      </c>
      <c r="I1387" t="s">
        <v>2141</v>
      </c>
      <c r="J1387" t="s">
        <v>1375</v>
      </c>
      <c r="K1387" t="str">
        <f t="shared" si="189"/>
        <v>1245.13</v>
      </c>
      <c r="N1387" t="str">
        <f t="shared" si="190"/>
        <v>HOLDING REGISTER</v>
      </c>
      <c r="O1387" t="str">
        <f t="shared" si="191"/>
        <v>BOOL</v>
      </c>
      <c r="P1387" t="str">
        <f t="shared" si="192"/>
        <v>TELECAMERA T21N</v>
      </c>
      <c r="R1387" t="str">
        <f t="shared" si="193"/>
        <v>disponibile</v>
      </c>
      <c r="U1387" t="str">
        <f t="shared" si="194"/>
        <v>disponibile</v>
      </c>
      <c r="V1387" t="str">
        <f t="shared" si="195"/>
        <v>DIREZIONE NORD</v>
      </c>
      <c r="W1387" t="str">
        <f t="shared" si="196"/>
        <v>GALLERIA SAN GIULIANO</v>
      </c>
      <c r="Z1387" t="str">
        <f t="shared" si="197"/>
        <v>10.220.80.16</v>
      </c>
    </row>
    <row r="1388" spans="1:26" x14ac:dyDescent="0.25">
      <c r="A1388" t="s">
        <v>10</v>
      </c>
      <c r="B1388" t="s">
        <v>1063</v>
      </c>
      <c r="C1388" t="s">
        <v>1761</v>
      </c>
      <c r="D1388" t="s">
        <v>1619</v>
      </c>
      <c r="E1388" t="s">
        <v>1862</v>
      </c>
      <c r="F1388" t="s">
        <v>14</v>
      </c>
      <c r="G1388" t="s">
        <v>1375</v>
      </c>
      <c r="H1388" t="s">
        <v>22</v>
      </c>
      <c r="I1388" t="s">
        <v>2142</v>
      </c>
      <c r="J1388" t="s">
        <v>1375</v>
      </c>
      <c r="K1388" t="str">
        <f t="shared" si="189"/>
        <v>1245.14</v>
      </c>
      <c r="N1388" t="str">
        <f t="shared" si="190"/>
        <v>HOLDING REGISTER</v>
      </c>
      <c r="O1388" t="str">
        <f t="shared" si="191"/>
        <v>BOOL</v>
      </c>
      <c r="P1388" t="str">
        <f t="shared" si="192"/>
        <v>TELECAMERA T21N</v>
      </c>
      <c r="R1388" t="str">
        <f t="shared" si="193"/>
        <v>disponibile</v>
      </c>
      <c r="U1388" t="str">
        <f t="shared" si="194"/>
        <v>disponibile</v>
      </c>
      <c r="V1388" t="str">
        <f t="shared" si="195"/>
        <v>DIREZIONE NORD</v>
      </c>
      <c r="W1388" t="str">
        <f t="shared" si="196"/>
        <v>GALLERIA SAN GIULIANO</v>
      </c>
      <c r="Z1388" t="str">
        <f t="shared" si="197"/>
        <v>10.220.80.16</v>
      </c>
    </row>
    <row r="1389" spans="1:26" x14ac:dyDescent="0.25">
      <c r="A1389" t="s">
        <v>10</v>
      </c>
      <c r="B1389" t="s">
        <v>1063</v>
      </c>
      <c r="C1389" t="s">
        <v>1761</v>
      </c>
      <c r="D1389" t="s">
        <v>1619</v>
      </c>
      <c r="E1389" t="s">
        <v>1862</v>
      </c>
      <c r="F1389" t="s">
        <v>14</v>
      </c>
      <c r="G1389" t="s">
        <v>1375</v>
      </c>
      <c r="H1389" t="s">
        <v>22</v>
      </c>
      <c r="I1389" t="s">
        <v>2143</v>
      </c>
      <c r="J1389" t="s">
        <v>1375</v>
      </c>
      <c r="K1389" t="str">
        <f t="shared" si="189"/>
        <v>1245.15</v>
      </c>
      <c r="N1389" t="str">
        <f t="shared" si="190"/>
        <v>HOLDING REGISTER</v>
      </c>
      <c r="O1389" t="str">
        <f t="shared" si="191"/>
        <v>BOOL</v>
      </c>
      <c r="P1389" t="str">
        <f t="shared" si="192"/>
        <v>TELECAMERA T21N</v>
      </c>
      <c r="R1389" t="str">
        <f t="shared" si="193"/>
        <v>disponibile</v>
      </c>
      <c r="U1389" t="str">
        <f t="shared" si="194"/>
        <v>disponibile</v>
      </c>
      <c r="V1389" t="str">
        <f t="shared" si="195"/>
        <v>DIREZIONE NORD</v>
      </c>
      <c r="W1389" t="str">
        <f t="shared" si="196"/>
        <v>GALLERIA SAN GIULIANO</v>
      </c>
      <c r="Z1389" t="str">
        <f t="shared" si="197"/>
        <v>10.220.80.16</v>
      </c>
    </row>
    <row r="1390" spans="1:26" x14ac:dyDescent="0.25">
      <c r="A1390" t="s">
        <v>10</v>
      </c>
      <c r="B1390" t="s">
        <v>1063</v>
      </c>
      <c r="C1390" t="s">
        <v>1761</v>
      </c>
      <c r="D1390" t="s">
        <v>1619</v>
      </c>
      <c r="E1390" t="s">
        <v>1879</v>
      </c>
      <c r="F1390" t="s">
        <v>14</v>
      </c>
      <c r="G1390" t="s">
        <v>28</v>
      </c>
      <c r="H1390" t="s">
        <v>22</v>
      </c>
      <c r="I1390" t="s">
        <v>2144</v>
      </c>
      <c r="J1390" t="s">
        <v>1897</v>
      </c>
      <c r="K1390" t="str">
        <f t="shared" si="189"/>
        <v>1246.0</v>
      </c>
      <c r="N1390" t="str">
        <f t="shared" si="190"/>
        <v>HOLDING REGISTER</v>
      </c>
      <c r="O1390" t="str">
        <f t="shared" si="191"/>
        <v>BOOL</v>
      </c>
      <c r="P1390" t="str">
        <f t="shared" si="192"/>
        <v>TELECAMERA T22N</v>
      </c>
      <c r="R1390" t="str">
        <f t="shared" si="193"/>
        <v>PERDITA SEGNALE VIDEO</v>
      </c>
      <c r="U1390" t="str">
        <f t="shared" si="194"/>
        <v>Allarme</v>
      </c>
      <c r="V1390" t="str">
        <f t="shared" si="195"/>
        <v>DIREZIONE NORD</v>
      </c>
      <c r="W1390" t="str">
        <f t="shared" si="196"/>
        <v>GALLERIA SAN GIULIANO</v>
      </c>
      <c r="Z1390" t="str">
        <f t="shared" si="197"/>
        <v>10.220.80.16</v>
      </c>
    </row>
    <row r="1391" spans="1:26" x14ac:dyDescent="0.25">
      <c r="A1391" t="s">
        <v>10</v>
      </c>
      <c r="B1391" t="s">
        <v>1063</v>
      </c>
      <c r="C1391" t="s">
        <v>1761</v>
      </c>
      <c r="D1391" t="s">
        <v>1619</v>
      </c>
      <c r="E1391" t="s">
        <v>1879</v>
      </c>
      <c r="F1391" t="s">
        <v>14</v>
      </c>
      <c r="G1391" t="s">
        <v>28</v>
      </c>
      <c r="H1391" t="s">
        <v>22</v>
      </c>
      <c r="I1391" t="s">
        <v>2145</v>
      </c>
      <c r="J1391" t="s">
        <v>1899</v>
      </c>
      <c r="K1391" t="str">
        <f t="shared" si="189"/>
        <v>1246.1</v>
      </c>
      <c r="N1391" t="str">
        <f t="shared" si="190"/>
        <v>HOLDING REGISTER</v>
      </c>
      <c r="O1391" t="str">
        <f t="shared" si="191"/>
        <v>BOOL</v>
      </c>
      <c r="P1391" t="str">
        <f t="shared" si="192"/>
        <v>TELECAMERA T22N</v>
      </c>
      <c r="R1391" t="str">
        <f t="shared" si="193"/>
        <v>MANOMISSIONE</v>
      </c>
      <c r="U1391" t="str">
        <f t="shared" si="194"/>
        <v>Allarme</v>
      </c>
      <c r="V1391" t="str">
        <f t="shared" si="195"/>
        <v>DIREZIONE NORD</v>
      </c>
      <c r="W1391" t="str">
        <f t="shared" si="196"/>
        <v>GALLERIA SAN GIULIANO</v>
      </c>
      <c r="Z1391" t="str">
        <f t="shared" si="197"/>
        <v>10.220.80.16</v>
      </c>
    </row>
    <row r="1392" spans="1:26" x14ac:dyDescent="0.25">
      <c r="A1392" t="s">
        <v>10</v>
      </c>
      <c r="B1392" t="s">
        <v>1063</v>
      </c>
      <c r="C1392" t="s">
        <v>1761</v>
      </c>
      <c r="D1392" t="s">
        <v>1619</v>
      </c>
      <c r="E1392" t="s">
        <v>1879</v>
      </c>
      <c r="F1392" t="s">
        <v>14</v>
      </c>
      <c r="G1392" t="s">
        <v>1375</v>
      </c>
      <c r="H1392" t="s">
        <v>22</v>
      </c>
      <c r="I1392" t="s">
        <v>2146</v>
      </c>
      <c r="J1392" t="s">
        <v>1375</v>
      </c>
      <c r="K1392" t="str">
        <f t="shared" si="189"/>
        <v>1246.2</v>
      </c>
      <c r="N1392" t="str">
        <f t="shared" si="190"/>
        <v>HOLDING REGISTER</v>
      </c>
      <c r="O1392" t="str">
        <f t="shared" si="191"/>
        <v>BOOL</v>
      </c>
      <c r="P1392" t="str">
        <f t="shared" si="192"/>
        <v>TELECAMERA T22N</v>
      </c>
      <c r="R1392" t="str">
        <f t="shared" si="193"/>
        <v>disponibile</v>
      </c>
      <c r="U1392" t="str">
        <f t="shared" si="194"/>
        <v>disponibile</v>
      </c>
      <c r="V1392" t="str">
        <f t="shared" si="195"/>
        <v>DIREZIONE NORD</v>
      </c>
      <c r="W1392" t="str">
        <f t="shared" si="196"/>
        <v>GALLERIA SAN GIULIANO</v>
      </c>
      <c r="Z1392" t="str">
        <f t="shared" si="197"/>
        <v>10.220.80.16</v>
      </c>
    </row>
    <row r="1393" spans="1:26" x14ac:dyDescent="0.25">
      <c r="A1393" t="s">
        <v>10</v>
      </c>
      <c r="B1393" t="s">
        <v>1063</v>
      </c>
      <c r="C1393" t="s">
        <v>1761</v>
      </c>
      <c r="D1393" t="s">
        <v>1619</v>
      </c>
      <c r="E1393" t="s">
        <v>1879</v>
      </c>
      <c r="F1393" t="s">
        <v>14</v>
      </c>
      <c r="G1393" t="s">
        <v>28</v>
      </c>
      <c r="H1393" t="s">
        <v>22</v>
      </c>
      <c r="I1393" t="s">
        <v>2147</v>
      </c>
      <c r="J1393" t="s">
        <v>1902</v>
      </c>
      <c r="K1393" t="str">
        <f t="shared" si="189"/>
        <v>1246.3</v>
      </c>
      <c r="N1393" t="str">
        <f t="shared" si="190"/>
        <v>HOLDING REGISTER</v>
      </c>
      <c r="O1393" t="str">
        <f t="shared" si="191"/>
        <v>BOOL</v>
      </c>
      <c r="P1393" t="str">
        <f t="shared" si="192"/>
        <v>TELECAMERA T22N</v>
      </c>
      <c r="R1393" t="str">
        <f t="shared" si="193"/>
        <v>VEICOLO FERMO</v>
      </c>
      <c r="U1393" t="str">
        <f t="shared" si="194"/>
        <v>Allarme</v>
      </c>
      <c r="V1393" t="str">
        <f t="shared" si="195"/>
        <v>DIREZIONE NORD</v>
      </c>
      <c r="W1393" t="str">
        <f t="shared" si="196"/>
        <v>GALLERIA SAN GIULIANO</v>
      </c>
      <c r="Z1393" t="str">
        <f t="shared" si="197"/>
        <v>10.220.80.16</v>
      </c>
    </row>
    <row r="1394" spans="1:26" x14ac:dyDescent="0.25">
      <c r="A1394" t="s">
        <v>10</v>
      </c>
      <c r="B1394" t="s">
        <v>1063</v>
      </c>
      <c r="C1394" t="s">
        <v>1761</v>
      </c>
      <c r="D1394" t="s">
        <v>1619</v>
      </c>
      <c r="E1394" t="s">
        <v>1879</v>
      </c>
      <c r="F1394" t="s">
        <v>14</v>
      </c>
      <c r="G1394" t="s">
        <v>28</v>
      </c>
      <c r="H1394" t="s">
        <v>22</v>
      </c>
      <c r="I1394" t="s">
        <v>2148</v>
      </c>
      <c r="J1394" t="s">
        <v>1904</v>
      </c>
      <c r="K1394" t="str">
        <f t="shared" si="189"/>
        <v>1246.4</v>
      </c>
      <c r="N1394" t="str">
        <f t="shared" si="190"/>
        <v>HOLDING REGISTER</v>
      </c>
      <c r="O1394" t="str">
        <f t="shared" si="191"/>
        <v>BOOL</v>
      </c>
      <c r="P1394" t="str">
        <f t="shared" si="192"/>
        <v>TELECAMERA T22N</v>
      </c>
      <c r="R1394" t="str">
        <f t="shared" si="193"/>
        <v>CARICO DISPERSO</v>
      </c>
      <c r="U1394" t="str">
        <f t="shared" si="194"/>
        <v>Allarme</v>
      </c>
      <c r="V1394" t="str">
        <f t="shared" si="195"/>
        <v>DIREZIONE NORD</v>
      </c>
      <c r="W1394" t="str">
        <f t="shared" si="196"/>
        <v>GALLERIA SAN GIULIANO</v>
      </c>
      <c r="Z1394" t="str">
        <f t="shared" si="197"/>
        <v>10.220.80.16</v>
      </c>
    </row>
    <row r="1395" spans="1:26" x14ac:dyDescent="0.25">
      <c r="A1395" t="s">
        <v>10</v>
      </c>
      <c r="B1395" t="s">
        <v>1063</v>
      </c>
      <c r="C1395" t="s">
        <v>1761</v>
      </c>
      <c r="D1395" t="s">
        <v>1619</v>
      </c>
      <c r="E1395" t="s">
        <v>1879</v>
      </c>
      <c r="F1395" t="s">
        <v>14</v>
      </c>
      <c r="G1395" t="s">
        <v>1375</v>
      </c>
      <c r="H1395" t="s">
        <v>22</v>
      </c>
      <c r="I1395" t="s">
        <v>2149</v>
      </c>
      <c r="J1395" t="s">
        <v>1375</v>
      </c>
      <c r="K1395" t="str">
        <f t="shared" si="189"/>
        <v>1246.5</v>
      </c>
      <c r="N1395" t="str">
        <f t="shared" si="190"/>
        <v>HOLDING REGISTER</v>
      </c>
      <c r="O1395" t="str">
        <f t="shared" si="191"/>
        <v>BOOL</v>
      </c>
      <c r="P1395" t="str">
        <f t="shared" si="192"/>
        <v>TELECAMERA T22N</v>
      </c>
      <c r="R1395" t="str">
        <f t="shared" si="193"/>
        <v>disponibile</v>
      </c>
      <c r="U1395" t="str">
        <f t="shared" si="194"/>
        <v>disponibile</v>
      </c>
      <c r="V1395" t="str">
        <f t="shared" si="195"/>
        <v>DIREZIONE NORD</v>
      </c>
      <c r="W1395" t="str">
        <f t="shared" si="196"/>
        <v>GALLERIA SAN GIULIANO</v>
      </c>
      <c r="Z1395" t="str">
        <f t="shared" si="197"/>
        <v>10.220.80.16</v>
      </c>
    </row>
    <row r="1396" spans="1:26" x14ac:dyDescent="0.25">
      <c r="A1396" t="s">
        <v>10</v>
      </c>
      <c r="B1396" t="s">
        <v>1063</v>
      </c>
      <c r="C1396" t="s">
        <v>1761</v>
      </c>
      <c r="D1396" t="s">
        <v>1619</v>
      </c>
      <c r="E1396" t="s">
        <v>1879</v>
      </c>
      <c r="F1396" t="s">
        <v>14</v>
      </c>
      <c r="G1396" t="s">
        <v>28</v>
      </c>
      <c r="H1396" t="s">
        <v>22</v>
      </c>
      <c r="I1396" t="s">
        <v>2150</v>
      </c>
      <c r="J1396" t="s">
        <v>1907</v>
      </c>
      <c r="K1396" t="str">
        <f t="shared" si="189"/>
        <v>1246.6</v>
      </c>
      <c r="N1396" t="str">
        <f t="shared" si="190"/>
        <v>HOLDING REGISTER</v>
      </c>
      <c r="O1396" t="str">
        <f t="shared" si="191"/>
        <v>BOOL</v>
      </c>
      <c r="P1396" t="str">
        <f t="shared" si="192"/>
        <v>TELECAMERA T22N</v>
      </c>
      <c r="R1396" t="str">
        <f t="shared" si="193"/>
        <v>PEDONE</v>
      </c>
      <c r="U1396" t="str">
        <f t="shared" si="194"/>
        <v>Allarme</v>
      </c>
      <c r="V1396" t="str">
        <f t="shared" si="195"/>
        <v>DIREZIONE NORD</v>
      </c>
      <c r="W1396" t="str">
        <f t="shared" si="196"/>
        <v>GALLERIA SAN GIULIANO</v>
      </c>
      <c r="Z1396" t="str">
        <f t="shared" si="197"/>
        <v>10.220.80.16</v>
      </c>
    </row>
    <row r="1397" spans="1:26" x14ac:dyDescent="0.25">
      <c r="A1397" t="s">
        <v>10</v>
      </c>
      <c r="B1397" t="s">
        <v>1063</v>
      </c>
      <c r="C1397" t="s">
        <v>1761</v>
      </c>
      <c r="D1397" t="s">
        <v>1619</v>
      </c>
      <c r="E1397" t="s">
        <v>1879</v>
      </c>
      <c r="F1397" t="s">
        <v>14</v>
      </c>
      <c r="G1397" t="s">
        <v>28</v>
      </c>
      <c r="H1397" t="s">
        <v>22</v>
      </c>
      <c r="I1397" t="s">
        <v>2151</v>
      </c>
      <c r="J1397" t="s">
        <v>1909</v>
      </c>
      <c r="K1397" t="str">
        <f t="shared" si="189"/>
        <v>1246.7</v>
      </c>
      <c r="N1397" t="str">
        <f t="shared" si="190"/>
        <v>HOLDING REGISTER</v>
      </c>
      <c r="O1397" t="str">
        <f t="shared" si="191"/>
        <v>BOOL</v>
      </c>
      <c r="P1397" t="str">
        <f t="shared" si="192"/>
        <v>TELECAMERA T22N</v>
      </c>
      <c r="R1397" t="str">
        <f t="shared" si="193"/>
        <v>FUMO</v>
      </c>
      <c r="U1397" t="str">
        <f t="shared" si="194"/>
        <v>Allarme</v>
      </c>
      <c r="V1397" t="str">
        <f t="shared" si="195"/>
        <v>DIREZIONE NORD</v>
      </c>
      <c r="W1397" t="str">
        <f t="shared" si="196"/>
        <v>GALLERIA SAN GIULIANO</v>
      </c>
      <c r="Z1397" t="str">
        <f t="shared" si="197"/>
        <v>10.220.80.16</v>
      </c>
    </row>
    <row r="1398" spans="1:26" x14ac:dyDescent="0.25">
      <c r="A1398" t="s">
        <v>10</v>
      </c>
      <c r="B1398" t="s">
        <v>1063</v>
      </c>
      <c r="C1398" t="s">
        <v>1761</v>
      </c>
      <c r="D1398" t="s">
        <v>1619</v>
      </c>
      <c r="E1398" t="s">
        <v>1879</v>
      </c>
      <c r="F1398" t="s">
        <v>14</v>
      </c>
      <c r="G1398" t="s">
        <v>28</v>
      </c>
      <c r="H1398" t="s">
        <v>22</v>
      </c>
      <c r="I1398" t="s">
        <v>2152</v>
      </c>
      <c r="J1398" t="s">
        <v>1911</v>
      </c>
      <c r="K1398" t="str">
        <f t="shared" si="189"/>
        <v>1246.8</v>
      </c>
      <c r="N1398" t="str">
        <f t="shared" si="190"/>
        <v>HOLDING REGISTER</v>
      </c>
      <c r="O1398" t="str">
        <f t="shared" si="191"/>
        <v>BOOL</v>
      </c>
      <c r="P1398" t="str">
        <f t="shared" si="192"/>
        <v>TELECAMERA T22N</v>
      </c>
      <c r="R1398" t="str">
        <f t="shared" si="193"/>
        <v>RALLENTAMENTI</v>
      </c>
      <c r="U1398" t="str">
        <f t="shared" si="194"/>
        <v>Allarme</v>
      </c>
      <c r="V1398" t="str">
        <f t="shared" si="195"/>
        <v>DIREZIONE NORD</v>
      </c>
      <c r="W1398" t="str">
        <f t="shared" si="196"/>
        <v>GALLERIA SAN GIULIANO</v>
      </c>
      <c r="Z1398" t="str">
        <f t="shared" si="197"/>
        <v>10.220.80.16</v>
      </c>
    </row>
    <row r="1399" spans="1:26" x14ac:dyDescent="0.25">
      <c r="A1399" t="s">
        <v>10</v>
      </c>
      <c r="B1399" t="s">
        <v>1063</v>
      </c>
      <c r="C1399" t="s">
        <v>1761</v>
      </c>
      <c r="D1399" t="s">
        <v>1619</v>
      </c>
      <c r="E1399" t="s">
        <v>1879</v>
      </c>
      <c r="F1399" t="s">
        <v>14</v>
      </c>
      <c r="G1399" t="s">
        <v>28</v>
      </c>
      <c r="H1399" t="s">
        <v>22</v>
      </c>
      <c r="I1399" t="s">
        <v>2153</v>
      </c>
      <c r="J1399" t="s">
        <v>1913</v>
      </c>
      <c r="K1399" t="str">
        <f t="shared" si="189"/>
        <v>1246.9</v>
      </c>
      <c r="N1399" t="str">
        <f t="shared" si="190"/>
        <v>HOLDING REGISTER</v>
      </c>
      <c r="O1399" t="str">
        <f t="shared" si="191"/>
        <v>BOOL</v>
      </c>
      <c r="P1399" t="str">
        <f t="shared" si="192"/>
        <v>TELECAMERA T22N</v>
      </c>
      <c r="R1399" t="str">
        <f t="shared" si="193"/>
        <v>CODA IN GALLERIA</v>
      </c>
      <c r="U1399" t="str">
        <f t="shared" si="194"/>
        <v>Allarme</v>
      </c>
      <c r="V1399" t="str">
        <f t="shared" si="195"/>
        <v>DIREZIONE NORD</v>
      </c>
      <c r="W1399" t="str">
        <f t="shared" si="196"/>
        <v>GALLERIA SAN GIULIANO</v>
      </c>
      <c r="Z1399" t="str">
        <f t="shared" si="197"/>
        <v>10.220.80.16</v>
      </c>
    </row>
    <row r="1400" spans="1:26" x14ac:dyDescent="0.25">
      <c r="A1400" t="s">
        <v>10</v>
      </c>
      <c r="B1400" t="s">
        <v>1063</v>
      </c>
      <c r="C1400" t="s">
        <v>1761</v>
      </c>
      <c r="D1400" t="s">
        <v>1619</v>
      </c>
      <c r="E1400" t="s">
        <v>1879</v>
      </c>
      <c r="F1400" t="s">
        <v>14</v>
      </c>
      <c r="G1400" t="s">
        <v>1375</v>
      </c>
      <c r="H1400" t="s">
        <v>22</v>
      </c>
      <c r="I1400" t="s">
        <v>2154</v>
      </c>
      <c r="J1400" t="s">
        <v>1375</v>
      </c>
      <c r="K1400" t="str">
        <f t="shared" si="189"/>
        <v>1246.10</v>
      </c>
      <c r="N1400" t="str">
        <f t="shared" si="190"/>
        <v>HOLDING REGISTER</v>
      </c>
      <c r="O1400" t="str">
        <f t="shared" si="191"/>
        <v>BOOL</v>
      </c>
      <c r="P1400" t="str">
        <f t="shared" si="192"/>
        <v>TELECAMERA T22N</v>
      </c>
      <c r="R1400" t="str">
        <f t="shared" si="193"/>
        <v>disponibile</v>
      </c>
      <c r="U1400" t="str">
        <f t="shared" si="194"/>
        <v>disponibile</v>
      </c>
      <c r="V1400" t="str">
        <f t="shared" si="195"/>
        <v>DIREZIONE NORD</v>
      </c>
      <c r="W1400" t="str">
        <f t="shared" si="196"/>
        <v>GALLERIA SAN GIULIANO</v>
      </c>
      <c r="Z1400" t="str">
        <f t="shared" si="197"/>
        <v>10.220.80.16</v>
      </c>
    </row>
    <row r="1401" spans="1:26" x14ac:dyDescent="0.25">
      <c r="A1401" t="s">
        <v>10</v>
      </c>
      <c r="B1401" t="s">
        <v>1063</v>
      </c>
      <c r="C1401" t="s">
        <v>1761</v>
      </c>
      <c r="D1401" t="s">
        <v>1619</v>
      </c>
      <c r="E1401" t="s">
        <v>1879</v>
      </c>
      <c r="F1401" t="s">
        <v>14</v>
      </c>
      <c r="G1401" t="s">
        <v>1375</v>
      </c>
      <c r="H1401" t="s">
        <v>22</v>
      </c>
      <c r="I1401" t="s">
        <v>2155</v>
      </c>
      <c r="J1401" t="s">
        <v>1375</v>
      </c>
      <c r="K1401" t="str">
        <f t="shared" si="189"/>
        <v>1246.11</v>
      </c>
      <c r="N1401" t="str">
        <f t="shared" si="190"/>
        <v>HOLDING REGISTER</v>
      </c>
      <c r="O1401" t="str">
        <f t="shared" si="191"/>
        <v>BOOL</v>
      </c>
      <c r="P1401" t="str">
        <f t="shared" si="192"/>
        <v>TELECAMERA T22N</v>
      </c>
      <c r="R1401" t="str">
        <f t="shared" si="193"/>
        <v>disponibile</v>
      </c>
      <c r="U1401" t="str">
        <f t="shared" si="194"/>
        <v>disponibile</v>
      </c>
      <c r="V1401" t="str">
        <f t="shared" si="195"/>
        <v>DIREZIONE NORD</v>
      </c>
      <c r="W1401" t="str">
        <f t="shared" si="196"/>
        <v>GALLERIA SAN GIULIANO</v>
      </c>
      <c r="Z1401" t="str">
        <f t="shared" si="197"/>
        <v>10.220.80.16</v>
      </c>
    </row>
    <row r="1402" spans="1:26" x14ac:dyDescent="0.25">
      <c r="A1402" t="s">
        <v>10</v>
      </c>
      <c r="B1402" t="s">
        <v>1063</v>
      </c>
      <c r="C1402" t="s">
        <v>1761</v>
      </c>
      <c r="D1402" t="s">
        <v>1619</v>
      </c>
      <c r="E1402" t="s">
        <v>1879</v>
      </c>
      <c r="F1402" t="s">
        <v>14</v>
      </c>
      <c r="G1402" t="s">
        <v>1375</v>
      </c>
      <c r="H1402" t="s">
        <v>22</v>
      </c>
      <c r="I1402" t="s">
        <v>2156</v>
      </c>
      <c r="J1402" t="s">
        <v>1375</v>
      </c>
      <c r="K1402" t="str">
        <f t="shared" si="189"/>
        <v>1246.12</v>
      </c>
      <c r="N1402" t="str">
        <f t="shared" si="190"/>
        <v>HOLDING REGISTER</v>
      </c>
      <c r="O1402" t="str">
        <f t="shared" si="191"/>
        <v>BOOL</v>
      </c>
      <c r="P1402" t="str">
        <f t="shared" si="192"/>
        <v>TELECAMERA T22N</v>
      </c>
      <c r="R1402" t="str">
        <f t="shared" si="193"/>
        <v>disponibile</v>
      </c>
      <c r="U1402" t="str">
        <f t="shared" si="194"/>
        <v>disponibile</v>
      </c>
      <c r="V1402" t="str">
        <f t="shared" si="195"/>
        <v>DIREZIONE NORD</v>
      </c>
      <c r="W1402" t="str">
        <f t="shared" si="196"/>
        <v>GALLERIA SAN GIULIANO</v>
      </c>
      <c r="Z1402" t="str">
        <f t="shared" si="197"/>
        <v>10.220.80.16</v>
      </c>
    </row>
    <row r="1403" spans="1:26" x14ac:dyDescent="0.25">
      <c r="A1403" t="s">
        <v>10</v>
      </c>
      <c r="B1403" t="s">
        <v>1063</v>
      </c>
      <c r="C1403" t="s">
        <v>1761</v>
      </c>
      <c r="D1403" t="s">
        <v>1619</v>
      </c>
      <c r="E1403" t="s">
        <v>1879</v>
      </c>
      <c r="F1403" t="s">
        <v>14</v>
      </c>
      <c r="G1403" t="s">
        <v>1375</v>
      </c>
      <c r="H1403" t="s">
        <v>22</v>
      </c>
      <c r="I1403" t="s">
        <v>2157</v>
      </c>
      <c r="J1403" t="s">
        <v>1375</v>
      </c>
      <c r="K1403" t="str">
        <f t="shared" si="189"/>
        <v>1246.13</v>
      </c>
      <c r="N1403" t="str">
        <f t="shared" si="190"/>
        <v>HOLDING REGISTER</v>
      </c>
      <c r="O1403" t="str">
        <f t="shared" si="191"/>
        <v>BOOL</v>
      </c>
      <c r="P1403" t="str">
        <f t="shared" si="192"/>
        <v>TELECAMERA T22N</v>
      </c>
      <c r="R1403" t="str">
        <f t="shared" si="193"/>
        <v>disponibile</v>
      </c>
      <c r="U1403" t="str">
        <f t="shared" si="194"/>
        <v>disponibile</v>
      </c>
      <c r="V1403" t="str">
        <f t="shared" si="195"/>
        <v>DIREZIONE NORD</v>
      </c>
      <c r="W1403" t="str">
        <f t="shared" si="196"/>
        <v>GALLERIA SAN GIULIANO</v>
      </c>
      <c r="Z1403" t="str">
        <f t="shared" si="197"/>
        <v>10.220.80.16</v>
      </c>
    </row>
    <row r="1404" spans="1:26" x14ac:dyDescent="0.25">
      <c r="A1404" t="s">
        <v>10</v>
      </c>
      <c r="B1404" t="s">
        <v>1063</v>
      </c>
      <c r="C1404" t="s">
        <v>1761</v>
      </c>
      <c r="D1404" t="s">
        <v>1619</v>
      </c>
      <c r="E1404" t="s">
        <v>1879</v>
      </c>
      <c r="F1404" t="s">
        <v>14</v>
      </c>
      <c r="G1404" t="s">
        <v>1375</v>
      </c>
      <c r="H1404" t="s">
        <v>22</v>
      </c>
      <c r="I1404" t="s">
        <v>2158</v>
      </c>
      <c r="J1404" t="s">
        <v>1375</v>
      </c>
      <c r="K1404" t="str">
        <f t="shared" si="189"/>
        <v>1246.14</v>
      </c>
      <c r="N1404" t="str">
        <f t="shared" si="190"/>
        <v>HOLDING REGISTER</v>
      </c>
      <c r="O1404" t="str">
        <f t="shared" si="191"/>
        <v>BOOL</v>
      </c>
      <c r="P1404" t="str">
        <f t="shared" si="192"/>
        <v>TELECAMERA T22N</v>
      </c>
      <c r="R1404" t="str">
        <f t="shared" si="193"/>
        <v>disponibile</v>
      </c>
      <c r="U1404" t="str">
        <f t="shared" si="194"/>
        <v>disponibile</v>
      </c>
      <c r="V1404" t="str">
        <f t="shared" si="195"/>
        <v>DIREZIONE NORD</v>
      </c>
      <c r="W1404" t="str">
        <f t="shared" si="196"/>
        <v>GALLERIA SAN GIULIANO</v>
      </c>
      <c r="Z1404" t="str">
        <f t="shared" si="197"/>
        <v>10.220.80.16</v>
      </c>
    </row>
    <row r="1405" spans="1:26" x14ac:dyDescent="0.25">
      <c r="A1405" t="s">
        <v>10</v>
      </c>
      <c r="B1405" t="s">
        <v>1063</v>
      </c>
      <c r="C1405" t="s">
        <v>1761</v>
      </c>
      <c r="D1405" t="s">
        <v>1619</v>
      </c>
      <c r="E1405" t="s">
        <v>1879</v>
      </c>
      <c r="F1405" t="s">
        <v>14</v>
      </c>
      <c r="G1405" t="s">
        <v>1375</v>
      </c>
      <c r="H1405" t="s">
        <v>22</v>
      </c>
      <c r="I1405" t="s">
        <v>2159</v>
      </c>
      <c r="J1405" t="s">
        <v>1375</v>
      </c>
      <c r="K1405" t="str">
        <f t="shared" si="189"/>
        <v>1246.15</v>
      </c>
      <c r="N1405" t="str">
        <f t="shared" si="190"/>
        <v>HOLDING REGISTER</v>
      </c>
      <c r="O1405" t="str">
        <f t="shared" si="191"/>
        <v>BOOL</v>
      </c>
      <c r="P1405" t="str">
        <f t="shared" si="192"/>
        <v>TELECAMERA T22N</v>
      </c>
      <c r="R1405" t="str">
        <f t="shared" si="193"/>
        <v>disponibile</v>
      </c>
      <c r="U1405" t="str">
        <f t="shared" si="194"/>
        <v>disponibile</v>
      </c>
      <c r="V1405" t="str">
        <f t="shared" si="195"/>
        <v>DIREZIONE NORD</v>
      </c>
      <c r="W1405" t="str">
        <f t="shared" si="196"/>
        <v>GALLERIA SAN GIULIANO</v>
      </c>
      <c r="Z1405" t="str">
        <f t="shared" si="197"/>
        <v>10.220.80.16</v>
      </c>
    </row>
    <row r="1406" spans="1:26" x14ac:dyDescent="0.25">
      <c r="A1406" t="s">
        <v>10</v>
      </c>
      <c r="B1406" t="s">
        <v>1063</v>
      </c>
      <c r="C1406" t="s">
        <v>1618</v>
      </c>
      <c r="D1406" t="s">
        <v>2160</v>
      </c>
      <c r="E1406" t="s">
        <v>2161</v>
      </c>
      <c r="F1406" t="s">
        <v>14</v>
      </c>
      <c r="G1406" t="s">
        <v>28</v>
      </c>
      <c r="H1406" t="s">
        <v>22</v>
      </c>
      <c r="I1406" t="s">
        <v>2162</v>
      </c>
      <c r="J1406" t="s">
        <v>2163</v>
      </c>
      <c r="K1406" t="str">
        <f t="shared" si="189"/>
        <v>1247.0</v>
      </c>
      <c r="N1406" t="str">
        <f t="shared" si="190"/>
        <v>HOLDING REGISTER</v>
      </c>
      <c r="O1406" t="str">
        <f t="shared" si="191"/>
        <v>BOOL</v>
      </c>
      <c r="P1406" t="str">
        <f t="shared" si="192"/>
        <v>CAVO TERMOSENSIBILE LDM MARCIA SUD</v>
      </c>
      <c r="R1406" t="str">
        <f t="shared" si="193"/>
        <v>Allarme Incendio</v>
      </c>
      <c r="U1406" t="str">
        <f t="shared" si="194"/>
        <v>Allarme</v>
      </c>
      <c r="V1406" t="str">
        <f t="shared" si="195"/>
        <v>DIREZIONE SUD</v>
      </c>
      <c r="W1406" t="str">
        <f t="shared" si="196"/>
        <v>GALLERIA SAN GIULIANO</v>
      </c>
      <c r="Z1406" t="str">
        <f t="shared" si="197"/>
        <v>10.220.80.16</v>
      </c>
    </row>
    <row r="1407" spans="1:26" x14ac:dyDescent="0.25">
      <c r="A1407" t="s">
        <v>10</v>
      </c>
      <c r="B1407" t="s">
        <v>1063</v>
      </c>
      <c r="C1407" t="s">
        <v>1618</v>
      </c>
      <c r="D1407" t="s">
        <v>2160</v>
      </c>
      <c r="E1407" t="s">
        <v>2161</v>
      </c>
      <c r="F1407" t="s">
        <v>14</v>
      </c>
      <c r="G1407" t="s">
        <v>28</v>
      </c>
      <c r="H1407" t="s">
        <v>22</v>
      </c>
      <c r="I1407" t="s">
        <v>2164</v>
      </c>
      <c r="J1407" t="s">
        <v>2165</v>
      </c>
      <c r="K1407" t="str">
        <f t="shared" si="189"/>
        <v>1247.1</v>
      </c>
      <c r="N1407" t="str">
        <f t="shared" si="190"/>
        <v>HOLDING REGISTER</v>
      </c>
      <c r="O1407" t="str">
        <f t="shared" si="191"/>
        <v>BOOL</v>
      </c>
      <c r="P1407" t="str">
        <f t="shared" si="192"/>
        <v>CAVO TERMOSENSIBILE LDM MARCIA SUD</v>
      </c>
      <c r="R1407" t="str">
        <f t="shared" si="193"/>
        <v>Fault Centralina</v>
      </c>
      <c r="U1407" t="str">
        <f t="shared" si="194"/>
        <v>Allarme</v>
      </c>
      <c r="V1407" t="str">
        <f t="shared" si="195"/>
        <v>DIREZIONE SUD</v>
      </c>
      <c r="W1407" t="str">
        <f t="shared" si="196"/>
        <v>GALLERIA SAN GIULIANO</v>
      </c>
      <c r="Z1407" t="str">
        <f t="shared" si="197"/>
        <v>10.220.80.16</v>
      </c>
    </row>
    <row r="1408" spans="1:26" x14ac:dyDescent="0.25">
      <c r="A1408" t="s">
        <v>10</v>
      </c>
      <c r="B1408" t="s">
        <v>1063</v>
      </c>
      <c r="C1408" t="s">
        <v>1618</v>
      </c>
      <c r="D1408" t="s">
        <v>2160</v>
      </c>
      <c r="E1408" t="s">
        <v>2161</v>
      </c>
      <c r="F1408" t="s">
        <v>14</v>
      </c>
      <c r="G1408" t="s">
        <v>28</v>
      </c>
      <c r="H1408" t="s">
        <v>22</v>
      </c>
      <c r="I1408" t="s">
        <v>2166</v>
      </c>
      <c r="J1408" t="s">
        <v>2167</v>
      </c>
      <c r="K1408" t="str">
        <f t="shared" si="189"/>
        <v>1247.2</v>
      </c>
      <c r="N1408" t="str">
        <f t="shared" si="190"/>
        <v>HOLDING REGISTER</v>
      </c>
      <c r="O1408" t="str">
        <f t="shared" si="191"/>
        <v>BOOL</v>
      </c>
      <c r="P1408" t="str">
        <f t="shared" si="192"/>
        <v>CAVO TERMOSENSIBILE LDM MARCIA SUD</v>
      </c>
      <c r="R1408" t="str">
        <f t="shared" si="193"/>
        <v>Guasto Misura</v>
      </c>
      <c r="U1408" t="str">
        <f t="shared" si="194"/>
        <v>Allarme</v>
      </c>
      <c r="V1408" t="str">
        <f t="shared" si="195"/>
        <v>DIREZIONE SUD</v>
      </c>
      <c r="W1408" t="str">
        <f t="shared" si="196"/>
        <v>GALLERIA SAN GIULIANO</v>
      </c>
      <c r="Z1408" t="str">
        <f t="shared" si="197"/>
        <v>10.220.80.16</v>
      </c>
    </row>
    <row r="1409" spans="1:26" x14ac:dyDescent="0.25">
      <c r="A1409" t="s">
        <v>10</v>
      </c>
      <c r="B1409" t="s">
        <v>1063</v>
      </c>
      <c r="C1409" t="s">
        <v>1761</v>
      </c>
      <c r="D1409" t="s">
        <v>2160</v>
      </c>
      <c r="E1409" t="s">
        <v>2168</v>
      </c>
      <c r="F1409" t="s">
        <v>14</v>
      </c>
      <c r="G1409" t="s">
        <v>28</v>
      </c>
      <c r="H1409" t="s">
        <v>22</v>
      </c>
      <c r="I1409" t="s">
        <v>2169</v>
      </c>
      <c r="J1409" t="s">
        <v>2163</v>
      </c>
      <c r="K1409" t="str">
        <f t="shared" si="189"/>
        <v>1247.3</v>
      </c>
      <c r="N1409" t="str">
        <f t="shared" si="190"/>
        <v>HOLDING REGISTER</v>
      </c>
      <c r="O1409" t="str">
        <f t="shared" si="191"/>
        <v>BOOL</v>
      </c>
      <c r="P1409" t="str">
        <f t="shared" si="192"/>
        <v>CAVO TERMOSENSIBILE LDM MARCIA NORD</v>
      </c>
      <c r="R1409" t="str">
        <f t="shared" si="193"/>
        <v>Allarme Incendio</v>
      </c>
      <c r="U1409" t="str">
        <f t="shared" si="194"/>
        <v>Allarme</v>
      </c>
      <c r="V1409" t="str">
        <f t="shared" si="195"/>
        <v>DIREZIONE NORD</v>
      </c>
      <c r="W1409" t="str">
        <f t="shared" si="196"/>
        <v>GALLERIA SAN GIULIANO</v>
      </c>
      <c r="Z1409" t="str">
        <f t="shared" si="197"/>
        <v>10.220.80.16</v>
      </c>
    </row>
    <row r="1410" spans="1:26" x14ac:dyDescent="0.25">
      <c r="A1410" t="s">
        <v>10</v>
      </c>
      <c r="B1410" t="s">
        <v>1063</v>
      </c>
      <c r="C1410" t="s">
        <v>1761</v>
      </c>
      <c r="D1410" t="s">
        <v>2160</v>
      </c>
      <c r="E1410" t="s">
        <v>2168</v>
      </c>
      <c r="F1410" t="s">
        <v>14</v>
      </c>
      <c r="G1410" t="s">
        <v>28</v>
      </c>
      <c r="H1410" t="s">
        <v>22</v>
      </c>
      <c r="I1410" t="s">
        <v>2170</v>
      </c>
      <c r="J1410" t="s">
        <v>2165</v>
      </c>
      <c r="K1410" t="str">
        <f t="shared" si="189"/>
        <v>1247.4</v>
      </c>
      <c r="N1410" t="str">
        <f t="shared" si="190"/>
        <v>HOLDING REGISTER</v>
      </c>
      <c r="O1410" t="str">
        <f t="shared" si="191"/>
        <v>BOOL</v>
      </c>
      <c r="P1410" t="str">
        <f t="shared" si="192"/>
        <v>CAVO TERMOSENSIBILE LDM MARCIA NORD</v>
      </c>
      <c r="R1410" t="str">
        <f t="shared" si="193"/>
        <v>Fault Centralina</v>
      </c>
      <c r="U1410" t="str">
        <f t="shared" si="194"/>
        <v>Allarme</v>
      </c>
      <c r="V1410" t="str">
        <f t="shared" si="195"/>
        <v>DIREZIONE NORD</v>
      </c>
      <c r="W1410" t="str">
        <f t="shared" si="196"/>
        <v>GALLERIA SAN GIULIANO</v>
      </c>
      <c r="Z1410" t="str">
        <f t="shared" si="197"/>
        <v>10.220.80.16</v>
      </c>
    </row>
    <row r="1411" spans="1:26" x14ac:dyDescent="0.25">
      <c r="A1411" t="s">
        <v>10</v>
      </c>
      <c r="B1411" t="s">
        <v>1063</v>
      </c>
      <c r="C1411" t="s">
        <v>1761</v>
      </c>
      <c r="D1411" t="s">
        <v>2160</v>
      </c>
      <c r="E1411" t="s">
        <v>2168</v>
      </c>
      <c r="F1411" t="s">
        <v>14</v>
      </c>
      <c r="G1411" t="s">
        <v>28</v>
      </c>
      <c r="H1411" t="s">
        <v>22</v>
      </c>
      <c r="I1411" t="s">
        <v>2171</v>
      </c>
      <c r="J1411" t="s">
        <v>2167</v>
      </c>
      <c r="K1411" t="str">
        <f t="shared" ref="K1411:K1474" si="198">IF(I1411="","",I1411)</f>
        <v>1247.5</v>
      </c>
      <c r="N1411" t="str">
        <f t="shared" ref="N1411:N1474" si="199">IF(F1411="","",F1411)</f>
        <v>HOLDING REGISTER</v>
      </c>
      <c r="O1411" t="str">
        <f t="shared" ref="O1411:O1474" si="200">IF(H1411="","",H1411)</f>
        <v>BOOL</v>
      </c>
      <c r="P1411" t="str">
        <f t="shared" ref="P1411:P1474" si="201">_xlfn.CONCAT(D1411," ",E1411)</f>
        <v>CAVO TERMOSENSIBILE LDM MARCIA NORD</v>
      </c>
      <c r="R1411" t="str">
        <f t="shared" ref="R1411:R1474" si="202">IF(J1411="","",J1411)</f>
        <v>Guasto Misura</v>
      </c>
      <c r="U1411" t="str">
        <f t="shared" ref="U1411:U1474" si="203">IF(G1411="","",G1411)</f>
        <v>Allarme</v>
      </c>
      <c r="V1411" t="str">
        <f t="shared" ref="V1411:V1474" si="204">IF(C1411="","",C1411)</f>
        <v>DIREZIONE NORD</v>
      </c>
      <c r="W1411" t="str">
        <f t="shared" ref="W1411:W1474" si="205">IF(B1411="","",B1411)</f>
        <v>GALLERIA SAN GIULIANO</v>
      </c>
      <c r="Z1411" t="str">
        <f t="shared" ref="Z1411:Z1474" si="206">IF(A1411="","",A1411)</f>
        <v>10.220.80.16</v>
      </c>
    </row>
    <row r="1412" spans="1:26" x14ac:dyDescent="0.25">
      <c r="A1412" t="s">
        <v>10</v>
      </c>
      <c r="B1412" t="s">
        <v>1063</v>
      </c>
      <c r="C1412" t="s">
        <v>1618</v>
      </c>
      <c r="D1412" t="s">
        <v>2160</v>
      </c>
      <c r="E1412" t="s">
        <v>2161</v>
      </c>
      <c r="F1412" t="s">
        <v>14</v>
      </c>
      <c r="G1412" t="s">
        <v>15</v>
      </c>
      <c r="H1412" t="s">
        <v>1295</v>
      </c>
      <c r="I1412">
        <v>1248</v>
      </c>
      <c r="J1412" t="s">
        <v>2172</v>
      </c>
      <c r="K1412">
        <f t="shared" si="198"/>
        <v>1248</v>
      </c>
      <c r="N1412" t="str">
        <f t="shared" si="199"/>
        <v>HOLDING REGISTER</v>
      </c>
      <c r="O1412" t="str">
        <f t="shared" si="200"/>
        <v>REAL</v>
      </c>
      <c r="P1412" t="str">
        <f t="shared" si="201"/>
        <v>CAVO TERMOSENSIBILE LDM MARCIA SUD</v>
      </c>
      <c r="R1412" t="str">
        <f t="shared" si="202"/>
        <v>Misura Metrica Incendio</v>
      </c>
      <c r="U1412" t="str">
        <f t="shared" si="203"/>
        <v>Misura</v>
      </c>
      <c r="V1412" t="str">
        <f t="shared" si="204"/>
        <v>DIREZIONE SUD</v>
      </c>
      <c r="W1412" t="str">
        <f t="shared" si="205"/>
        <v>GALLERIA SAN GIULIANO</v>
      </c>
      <c r="Z1412" t="str">
        <f t="shared" si="206"/>
        <v>10.220.80.16</v>
      </c>
    </row>
    <row r="1413" spans="1:26" x14ac:dyDescent="0.25">
      <c r="A1413" t="s">
        <v>10</v>
      </c>
      <c r="B1413" t="s">
        <v>1063</v>
      </c>
      <c r="C1413" t="s">
        <v>1761</v>
      </c>
      <c r="D1413" t="s">
        <v>2160</v>
      </c>
      <c r="E1413" t="s">
        <v>2168</v>
      </c>
      <c r="F1413" t="s">
        <v>14</v>
      </c>
      <c r="G1413" t="s">
        <v>15</v>
      </c>
      <c r="H1413" t="s">
        <v>1295</v>
      </c>
      <c r="I1413">
        <v>1250</v>
      </c>
      <c r="J1413" t="s">
        <v>2172</v>
      </c>
      <c r="K1413">
        <f t="shared" si="198"/>
        <v>1250</v>
      </c>
      <c r="N1413" t="str">
        <f t="shared" si="199"/>
        <v>HOLDING REGISTER</v>
      </c>
      <c r="O1413" t="str">
        <f t="shared" si="200"/>
        <v>REAL</v>
      </c>
      <c r="P1413" t="str">
        <f t="shared" si="201"/>
        <v>CAVO TERMOSENSIBILE LDM MARCIA NORD</v>
      </c>
      <c r="R1413" t="str">
        <f t="shared" si="202"/>
        <v>Misura Metrica Incendio</v>
      </c>
      <c r="U1413" t="str">
        <f t="shared" si="203"/>
        <v>Misura</v>
      </c>
      <c r="V1413" t="str">
        <f t="shared" si="204"/>
        <v>DIREZIONE NORD</v>
      </c>
      <c r="W1413" t="str">
        <f t="shared" si="205"/>
        <v>GALLERIA SAN GIULIANO</v>
      </c>
      <c r="Z1413" t="str">
        <f t="shared" si="206"/>
        <v>10.220.80.16</v>
      </c>
    </row>
    <row r="1414" spans="1:26" x14ac:dyDescent="0.25">
      <c r="A1414" t="s">
        <v>10</v>
      </c>
      <c r="B1414" t="s">
        <v>1063</v>
      </c>
      <c r="C1414" t="s">
        <v>2173</v>
      </c>
      <c r="D1414" t="s">
        <v>2174</v>
      </c>
      <c r="E1414" t="s">
        <v>2175</v>
      </c>
      <c r="F1414" t="s">
        <v>14</v>
      </c>
      <c r="G1414" t="s">
        <v>28</v>
      </c>
      <c r="H1414" t="s">
        <v>22</v>
      </c>
      <c r="I1414" t="s">
        <v>2176</v>
      </c>
      <c r="J1414" t="s">
        <v>2177</v>
      </c>
      <c r="K1414" t="str">
        <f t="shared" si="198"/>
        <v>1253.0</v>
      </c>
      <c r="N1414" t="str">
        <f t="shared" si="199"/>
        <v>HOLDING REGISTER</v>
      </c>
      <c r="O1414" t="str">
        <f t="shared" si="200"/>
        <v>BOOL</v>
      </c>
      <c r="P1414" t="str">
        <f t="shared" si="201"/>
        <v>JETFAN V1DX</v>
      </c>
      <c r="R1414" t="str">
        <f t="shared" si="202"/>
        <v>Intervento Protezione Motore</v>
      </c>
      <c r="U1414" t="str">
        <f t="shared" si="203"/>
        <v>Allarme</v>
      </c>
      <c r="V1414" t="str">
        <f t="shared" si="204"/>
        <v>GALLERIA</v>
      </c>
      <c r="W1414" t="str">
        <f t="shared" si="205"/>
        <v>GALLERIA SAN GIULIANO</v>
      </c>
      <c r="Z1414" t="str">
        <f t="shared" si="206"/>
        <v>10.220.80.16</v>
      </c>
    </row>
    <row r="1415" spans="1:26" x14ac:dyDescent="0.25">
      <c r="A1415" t="s">
        <v>10</v>
      </c>
      <c r="B1415" t="s">
        <v>1063</v>
      </c>
      <c r="C1415" t="s">
        <v>2173</v>
      </c>
      <c r="D1415" t="s">
        <v>2174</v>
      </c>
      <c r="E1415" t="s">
        <v>2175</v>
      </c>
      <c r="F1415" t="s">
        <v>14</v>
      </c>
      <c r="G1415" t="s">
        <v>28</v>
      </c>
      <c r="H1415" t="s">
        <v>22</v>
      </c>
      <c r="I1415" t="s">
        <v>2178</v>
      </c>
      <c r="J1415" t="s">
        <v>2179</v>
      </c>
      <c r="K1415" t="str">
        <f t="shared" si="198"/>
        <v>1253.1</v>
      </c>
      <c r="N1415" t="str">
        <f t="shared" si="199"/>
        <v>HOLDING REGISTER</v>
      </c>
      <c r="O1415" t="str">
        <f t="shared" si="200"/>
        <v>BOOL</v>
      </c>
      <c r="P1415" t="str">
        <f t="shared" si="201"/>
        <v>JETFAN V1DX</v>
      </c>
      <c r="R1415" t="str">
        <f t="shared" si="202"/>
        <v>Allarme Alimentazione</v>
      </c>
      <c r="U1415" t="str">
        <f t="shared" si="203"/>
        <v>Allarme</v>
      </c>
      <c r="V1415" t="str">
        <f t="shared" si="204"/>
        <v>GALLERIA</v>
      </c>
      <c r="W1415" t="str">
        <f t="shared" si="205"/>
        <v>GALLERIA SAN GIULIANO</v>
      </c>
      <c r="Z1415" t="str">
        <f t="shared" si="206"/>
        <v>10.220.80.16</v>
      </c>
    </row>
    <row r="1416" spans="1:26" x14ac:dyDescent="0.25">
      <c r="A1416" t="s">
        <v>10</v>
      </c>
      <c r="B1416" t="s">
        <v>1063</v>
      </c>
      <c r="C1416" t="s">
        <v>2173</v>
      </c>
      <c r="D1416" t="s">
        <v>2174</v>
      </c>
      <c r="E1416" t="s">
        <v>2175</v>
      </c>
      <c r="F1416" t="s">
        <v>14</v>
      </c>
      <c r="G1416" t="s">
        <v>28</v>
      </c>
      <c r="H1416" t="s">
        <v>22</v>
      </c>
      <c r="I1416" t="s">
        <v>2180</v>
      </c>
      <c r="J1416" t="s">
        <v>2181</v>
      </c>
      <c r="K1416" t="str">
        <f t="shared" si="198"/>
        <v>1253.2</v>
      </c>
      <c r="N1416" t="str">
        <f t="shared" si="199"/>
        <v>HOLDING REGISTER</v>
      </c>
      <c r="O1416" t="str">
        <f t="shared" si="200"/>
        <v>BOOL</v>
      </c>
      <c r="P1416" t="str">
        <f t="shared" si="201"/>
        <v>JETFAN V1DX</v>
      </c>
      <c r="R1416" t="str">
        <f t="shared" si="202"/>
        <v>Time Out Avviam. Dir. Nord</v>
      </c>
      <c r="U1416" t="str">
        <f t="shared" si="203"/>
        <v>Allarme</v>
      </c>
      <c r="V1416" t="str">
        <f t="shared" si="204"/>
        <v>GALLERIA</v>
      </c>
      <c r="W1416" t="str">
        <f t="shared" si="205"/>
        <v>GALLERIA SAN GIULIANO</v>
      </c>
      <c r="Z1416" t="str">
        <f t="shared" si="206"/>
        <v>10.220.80.16</v>
      </c>
    </row>
    <row r="1417" spans="1:26" x14ac:dyDescent="0.25">
      <c r="A1417" t="s">
        <v>10</v>
      </c>
      <c r="B1417" t="s">
        <v>1063</v>
      </c>
      <c r="C1417" t="s">
        <v>2173</v>
      </c>
      <c r="D1417" t="s">
        <v>2174</v>
      </c>
      <c r="E1417" t="s">
        <v>2175</v>
      </c>
      <c r="F1417" t="s">
        <v>14</v>
      </c>
      <c r="G1417" t="s">
        <v>28</v>
      </c>
      <c r="H1417" t="s">
        <v>22</v>
      </c>
      <c r="I1417" t="s">
        <v>2182</v>
      </c>
      <c r="J1417" t="s">
        <v>2183</v>
      </c>
      <c r="K1417" t="str">
        <f t="shared" si="198"/>
        <v>1253.3</v>
      </c>
      <c r="N1417" t="str">
        <f t="shared" si="199"/>
        <v>HOLDING REGISTER</v>
      </c>
      <c r="O1417" t="str">
        <f t="shared" si="200"/>
        <v>BOOL</v>
      </c>
      <c r="P1417" t="str">
        <f t="shared" si="201"/>
        <v>JETFAN V1DX</v>
      </c>
      <c r="R1417" t="str">
        <f t="shared" si="202"/>
        <v>Time Out Avviam. Dir. Sud</v>
      </c>
      <c r="U1417" t="str">
        <f t="shared" si="203"/>
        <v>Allarme</v>
      </c>
      <c r="V1417" t="str">
        <f t="shared" si="204"/>
        <v>GALLERIA</v>
      </c>
      <c r="W1417" t="str">
        <f t="shared" si="205"/>
        <v>GALLERIA SAN GIULIANO</v>
      </c>
      <c r="Z1417" t="str">
        <f t="shared" si="206"/>
        <v>10.220.80.16</v>
      </c>
    </row>
    <row r="1418" spans="1:26" x14ac:dyDescent="0.25">
      <c r="A1418" t="s">
        <v>10</v>
      </c>
      <c r="B1418" t="s">
        <v>1063</v>
      </c>
      <c r="C1418" t="s">
        <v>2173</v>
      </c>
      <c r="D1418" t="s">
        <v>2174</v>
      </c>
      <c r="E1418" t="s">
        <v>2175</v>
      </c>
      <c r="F1418" t="s">
        <v>14</v>
      </c>
      <c r="G1418" t="s">
        <v>28</v>
      </c>
      <c r="H1418" t="s">
        <v>22</v>
      </c>
      <c r="I1418" t="s">
        <v>2184</v>
      </c>
      <c r="J1418" t="s">
        <v>2185</v>
      </c>
      <c r="K1418" t="str">
        <f t="shared" si="198"/>
        <v>1253.4</v>
      </c>
      <c r="N1418" t="str">
        <f t="shared" si="199"/>
        <v>HOLDING REGISTER</v>
      </c>
      <c r="O1418" t="str">
        <f t="shared" si="200"/>
        <v>BOOL</v>
      </c>
      <c r="P1418" t="str">
        <f t="shared" si="201"/>
        <v>JETFAN V1DX</v>
      </c>
      <c r="R1418" t="str">
        <f t="shared" si="202"/>
        <v>Allarme Softstart/Differensiale</v>
      </c>
      <c r="U1418" t="str">
        <f t="shared" si="203"/>
        <v>Allarme</v>
      </c>
      <c r="V1418" t="str">
        <f t="shared" si="204"/>
        <v>GALLERIA</v>
      </c>
      <c r="W1418" t="str">
        <f t="shared" si="205"/>
        <v>GALLERIA SAN GIULIANO</v>
      </c>
      <c r="Z1418" t="str">
        <f t="shared" si="206"/>
        <v>10.220.80.16</v>
      </c>
    </row>
    <row r="1419" spans="1:26" x14ac:dyDescent="0.25">
      <c r="A1419" t="s">
        <v>10</v>
      </c>
      <c r="B1419" t="s">
        <v>1063</v>
      </c>
      <c r="C1419" t="s">
        <v>2173</v>
      </c>
      <c r="D1419" t="s">
        <v>2174</v>
      </c>
      <c r="E1419" t="s">
        <v>2175</v>
      </c>
      <c r="F1419" t="s">
        <v>14</v>
      </c>
      <c r="G1419" t="s">
        <v>28</v>
      </c>
      <c r="H1419" t="s">
        <v>22</v>
      </c>
      <c r="I1419" t="s">
        <v>2186</v>
      </c>
      <c r="J1419" t="s">
        <v>2187</v>
      </c>
      <c r="K1419" t="str">
        <f t="shared" si="198"/>
        <v>1253.5</v>
      </c>
      <c r="N1419" t="str">
        <f t="shared" si="199"/>
        <v>HOLDING REGISTER</v>
      </c>
      <c r="O1419" t="str">
        <f t="shared" si="200"/>
        <v>BOOL</v>
      </c>
      <c r="P1419" t="str">
        <f t="shared" si="201"/>
        <v>JETFAN V1DX</v>
      </c>
      <c r="R1419" t="str">
        <f t="shared" si="202"/>
        <v>Preallarme Vibrazione</v>
      </c>
      <c r="U1419" t="str">
        <f t="shared" si="203"/>
        <v>Allarme</v>
      </c>
      <c r="V1419" t="str">
        <f t="shared" si="204"/>
        <v>GALLERIA</v>
      </c>
      <c r="W1419" t="str">
        <f t="shared" si="205"/>
        <v>GALLERIA SAN GIULIANO</v>
      </c>
      <c r="Z1419" t="str">
        <f t="shared" si="206"/>
        <v>10.220.80.16</v>
      </c>
    </row>
    <row r="1420" spans="1:26" x14ac:dyDescent="0.25">
      <c r="A1420" t="s">
        <v>10</v>
      </c>
      <c r="B1420" t="s">
        <v>1063</v>
      </c>
      <c r="C1420" t="s">
        <v>2173</v>
      </c>
      <c r="D1420" t="s">
        <v>2174</v>
      </c>
      <c r="E1420" t="s">
        <v>2175</v>
      </c>
      <c r="F1420" t="s">
        <v>14</v>
      </c>
      <c r="G1420" t="s">
        <v>28</v>
      </c>
      <c r="H1420" t="s">
        <v>22</v>
      </c>
      <c r="I1420" t="s">
        <v>2188</v>
      </c>
      <c r="J1420" t="s">
        <v>2189</v>
      </c>
      <c r="K1420" t="str">
        <f t="shared" si="198"/>
        <v>1253.6</v>
      </c>
      <c r="N1420" t="str">
        <f t="shared" si="199"/>
        <v>HOLDING REGISTER</v>
      </c>
      <c r="O1420" t="str">
        <f t="shared" si="200"/>
        <v>BOOL</v>
      </c>
      <c r="P1420" t="str">
        <f t="shared" si="201"/>
        <v>JETFAN V1DX</v>
      </c>
      <c r="R1420" t="str">
        <f t="shared" si="202"/>
        <v>Allarme Vibrazione</v>
      </c>
      <c r="U1420" t="str">
        <f t="shared" si="203"/>
        <v>Allarme</v>
      </c>
      <c r="V1420" t="str">
        <f t="shared" si="204"/>
        <v>GALLERIA</v>
      </c>
      <c r="W1420" t="str">
        <f t="shared" si="205"/>
        <v>GALLERIA SAN GIULIANO</v>
      </c>
      <c r="Z1420" t="str">
        <f t="shared" si="206"/>
        <v>10.220.80.16</v>
      </c>
    </row>
    <row r="1421" spans="1:26" x14ac:dyDescent="0.25">
      <c r="A1421" t="s">
        <v>10</v>
      </c>
      <c r="B1421" t="s">
        <v>1063</v>
      </c>
      <c r="C1421" t="s">
        <v>2173</v>
      </c>
      <c r="D1421" t="s">
        <v>2174</v>
      </c>
      <c r="E1421" t="s">
        <v>2175</v>
      </c>
      <c r="F1421" t="s">
        <v>14</v>
      </c>
      <c r="G1421" t="s">
        <v>28</v>
      </c>
      <c r="H1421" t="s">
        <v>22</v>
      </c>
      <c r="I1421" t="s">
        <v>2190</v>
      </c>
      <c r="J1421" t="s">
        <v>2191</v>
      </c>
      <c r="K1421" t="str">
        <f t="shared" si="198"/>
        <v>1253.7</v>
      </c>
      <c r="N1421" t="str">
        <f t="shared" si="199"/>
        <v>HOLDING REGISTER</v>
      </c>
      <c r="O1421" t="str">
        <f t="shared" si="200"/>
        <v>BOOL</v>
      </c>
      <c r="P1421" t="str">
        <f t="shared" si="201"/>
        <v>JETFAN V1DX</v>
      </c>
      <c r="R1421" t="str">
        <f t="shared" si="202"/>
        <v>Sensore Vibrazioni Scollegato</v>
      </c>
      <c r="U1421" t="str">
        <f t="shared" si="203"/>
        <v>Allarme</v>
      </c>
      <c r="V1421" t="str">
        <f t="shared" si="204"/>
        <v>GALLERIA</v>
      </c>
      <c r="W1421" t="str">
        <f t="shared" si="205"/>
        <v>GALLERIA SAN GIULIANO</v>
      </c>
      <c r="Z1421" t="str">
        <f t="shared" si="206"/>
        <v>10.220.80.16</v>
      </c>
    </row>
    <row r="1422" spans="1:26" x14ac:dyDescent="0.25">
      <c r="A1422" t="s">
        <v>10</v>
      </c>
      <c r="B1422" t="s">
        <v>1063</v>
      </c>
      <c r="C1422" t="s">
        <v>2173</v>
      </c>
      <c r="D1422" t="s">
        <v>2174</v>
      </c>
      <c r="E1422" t="s">
        <v>2175</v>
      </c>
      <c r="F1422" t="s">
        <v>14</v>
      </c>
      <c r="G1422" t="s">
        <v>28</v>
      </c>
      <c r="H1422" t="s">
        <v>22</v>
      </c>
      <c r="I1422" t="s">
        <v>2192</v>
      </c>
      <c r="J1422" t="s">
        <v>2193</v>
      </c>
      <c r="K1422" t="str">
        <f t="shared" si="198"/>
        <v>1253.8</v>
      </c>
      <c r="N1422" t="str">
        <f t="shared" si="199"/>
        <v>HOLDING REGISTER</v>
      </c>
      <c r="O1422" t="str">
        <f t="shared" si="200"/>
        <v>BOOL</v>
      </c>
      <c r="P1422" t="str">
        <f t="shared" si="201"/>
        <v>JETFAN V1DX</v>
      </c>
      <c r="R1422" t="str">
        <f t="shared" si="202"/>
        <v>Allarme Orizzontalita'</v>
      </c>
      <c r="U1422" t="str">
        <f t="shared" si="203"/>
        <v>Allarme</v>
      </c>
      <c r="V1422" t="str">
        <f t="shared" si="204"/>
        <v>GALLERIA</v>
      </c>
      <c r="W1422" t="str">
        <f t="shared" si="205"/>
        <v>GALLERIA SAN GIULIANO</v>
      </c>
      <c r="Z1422" t="str">
        <f t="shared" si="206"/>
        <v>10.220.80.16</v>
      </c>
    </row>
    <row r="1423" spans="1:26" x14ac:dyDescent="0.25">
      <c r="A1423" t="s">
        <v>10</v>
      </c>
      <c r="B1423" t="s">
        <v>1063</v>
      </c>
      <c r="C1423" t="s">
        <v>2173</v>
      </c>
      <c r="D1423" t="s">
        <v>2174</v>
      </c>
      <c r="E1423" t="s">
        <v>2175</v>
      </c>
      <c r="F1423" t="s">
        <v>14</v>
      </c>
      <c r="G1423" t="s">
        <v>21</v>
      </c>
      <c r="H1423" t="s">
        <v>22</v>
      </c>
      <c r="I1423" t="s">
        <v>2194</v>
      </c>
      <c r="J1423" t="s">
        <v>2195</v>
      </c>
      <c r="K1423" t="str">
        <f t="shared" si="198"/>
        <v>1253.9</v>
      </c>
      <c r="N1423" t="str">
        <f t="shared" si="199"/>
        <v>HOLDING REGISTER</v>
      </c>
      <c r="O1423" t="str">
        <f t="shared" si="200"/>
        <v>BOOL</v>
      </c>
      <c r="P1423" t="str">
        <f t="shared" si="201"/>
        <v>JETFAN V1DX</v>
      </c>
      <c r="R1423" t="str">
        <f t="shared" si="202"/>
        <v>In Avviamento</v>
      </c>
      <c r="U1423" t="str">
        <f t="shared" si="203"/>
        <v>Stato</v>
      </c>
      <c r="V1423" t="str">
        <f t="shared" si="204"/>
        <v>GALLERIA</v>
      </c>
      <c r="W1423" t="str">
        <f t="shared" si="205"/>
        <v>GALLERIA SAN GIULIANO</v>
      </c>
      <c r="Z1423" t="str">
        <f t="shared" si="206"/>
        <v>10.220.80.16</v>
      </c>
    </row>
    <row r="1424" spans="1:26" x14ac:dyDescent="0.25">
      <c r="A1424" t="s">
        <v>10</v>
      </c>
      <c r="B1424" t="s">
        <v>1063</v>
      </c>
      <c r="C1424" t="s">
        <v>2173</v>
      </c>
      <c r="D1424" t="s">
        <v>2174</v>
      </c>
      <c r="E1424" t="s">
        <v>2175</v>
      </c>
      <c r="F1424" t="s">
        <v>14</v>
      </c>
      <c r="G1424" t="s">
        <v>21</v>
      </c>
      <c r="H1424" t="s">
        <v>22</v>
      </c>
      <c r="I1424" t="s">
        <v>2196</v>
      </c>
      <c r="J1424" t="s">
        <v>2197</v>
      </c>
      <c r="K1424" t="str">
        <f t="shared" si="198"/>
        <v>1253.10</v>
      </c>
      <c r="N1424" t="str">
        <f t="shared" si="199"/>
        <v>HOLDING REGISTER</v>
      </c>
      <c r="O1424" t="str">
        <f t="shared" si="200"/>
        <v>BOOL</v>
      </c>
      <c r="P1424" t="str">
        <f t="shared" si="201"/>
        <v>JETFAN V1DX</v>
      </c>
      <c r="R1424" t="str">
        <f t="shared" si="202"/>
        <v>In Marcia</v>
      </c>
      <c r="U1424" t="str">
        <f t="shared" si="203"/>
        <v>Stato</v>
      </c>
      <c r="V1424" t="str">
        <f t="shared" si="204"/>
        <v>GALLERIA</v>
      </c>
      <c r="W1424" t="str">
        <f t="shared" si="205"/>
        <v>GALLERIA SAN GIULIANO</v>
      </c>
      <c r="Z1424" t="str">
        <f t="shared" si="206"/>
        <v>10.220.80.16</v>
      </c>
    </row>
    <row r="1425" spans="1:26" x14ac:dyDescent="0.25">
      <c r="A1425" t="s">
        <v>10</v>
      </c>
      <c r="B1425" t="s">
        <v>1063</v>
      </c>
      <c r="C1425" t="s">
        <v>2173</v>
      </c>
      <c r="D1425" t="s">
        <v>2174</v>
      </c>
      <c r="E1425" t="s">
        <v>2175</v>
      </c>
      <c r="F1425" t="s">
        <v>14</v>
      </c>
      <c r="G1425" t="s">
        <v>21</v>
      </c>
      <c r="H1425" t="s">
        <v>22</v>
      </c>
      <c r="I1425" t="s">
        <v>2198</v>
      </c>
      <c r="J1425" t="s">
        <v>2199</v>
      </c>
      <c r="K1425" t="str">
        <f t="shared" si="198"/>
        <v>1253.11</v>
      </c>
      <c r="N1425" t="str">
        <f t="shared" si="199"/>
        <v>HOLDING REGISTER</v>
      </c>
      <c r="O1425" t="str">
        <f t="shared" si="200"/>
        <v>BOOL</v>
      </c>
      <c r="P1425" t="str">
        <f t="shared" si="201"/>
        <v>JETFAN V1DX</v>
      </c>
      <c r="R1425" t="str">
        <f t="shared" si="202"/>
        <v>In Arresto</v>
      </c>
      <c r="U1425" t="str">
        <f t="shared" si="203"/>
        <v>Stato</v>
      </c>
      <c r="V1425" t="str">
        <f t="shared" si="204"/>
        <v>GALLERIA</v>
      </c>
      <c r="W1425" t="str">
        <f t="shared" si="205"/>
        <v>GALLERIA SAN GIULIANO</v>
      </c>
      <c r="Z1425" t="str">
        <f t="shared" si="206"/>
        <v>10.220.80.16</v>
      </c>
    </row>
    <row r="1426" spans="1:26" x14ac:dyDescent="0.25">
      <c r="A1426" t="s">
        <v>10</v>
      </c>
      <c r="B1426" t="s">
        <v>1063</v>
      </c>
      <c r="C1426" t="s">
        <v>2173</v>
      </c>
      <c r="D1426" t="s">
        <v>2174</v>
      </c>
      <c r="E1426" t="s">
        <v>2175</v>
      </c>
      <c r="F1426" t="s">
        <v>14</v>
      </c>
      <c r="G1426" t="s">
        <v>21</v>
      </c>
      <c r="H1426" t="s">
        <v>22</v>
      </c>
      <c r="I1426" t="s">
        <v>2200</v>
      </c>
      <c r="J1426" t="s">
        <v>2201</v>
      </c>
      <c r="K1426" t="str">
        <f t="shared" si="198"/>
        <v>1253.12</v>
      </c>
      <c r="N1426" t="str">
        <f t="shared" si="199"/>
        <v>HOLDING REGISTER</v>
      </c>
      <c r="O1426" t="str">
        <f t="shared" si="200"/>
        <v>BOOL</v>
      </c>
      <c r="P1426" t="str">
        <f t="shared" si="201"/>
        <v>JETFAN V1DX</v>
      </c>
      <c r="R1426" t="str">
        <f t="shared" si="202"/>
        <v>Incluso Da Scada</v>
      </c>
      <c r="U1426" t="str">
        <f t="shared" si="203"/>
        <v>Stato</v>
      </c>
      <c r="V1426" t="str">
        <f t="shared" si="204"/>
        <v>GALLERIA</v>
      </c>
      <c r="W1426" t="str">
        <f t="shared" si="205"/>
        <v>GALLERIA SAN GIULIANO</v>
      </c>
      <c r="Z1426" t="str">
        <f t="shared" si="206"/>
        <v>10.220.80.16</v>
      </c>
    </row>
    <row r="1427" spans="1:26" x14ac:dyDescent="0.25">
      <c r="A1427" t="s">
        <v>10</v>
      </c>
      <c r="B1427" t="s">
        <v>1063</v>
      </c>
      <c r="C1427" t="s">
        <v>2173</v>
      </c>
      <c r="D1427" t="s">
        <v>2174</v>
      </c>
      <c r="E1427" t="s">
        <v>2175</v>
      </c>
      <c r="F1427" t="s">
        <v>14</v>
      </c>
      <c r="G1427" t="s">
        <v>21</v>
      </c>
      <c r="H1427" t="s">
        <v>22</v>
      </c>
      <c r="I1427" t="s">
        <v>2202</v>
      </c>
      <c r="J1427" t="s">
        <v>2203</v>
      </c>
      <c r="K1427" t="str">
        <f t="shared" si="198"/>
        <v>1253.13</v>
      </c>
      <c r="N1427" t="str">
        <f t="shared" si="199"/>
        <v>HOLDING REGISTER</v>
      </c>
      <c r="O1427" t="str">
        <f t="shared" si="200"/>
        <v>BOOL</v>
      </c>
      <c r="P1427" t="str">
        <f t="shared" si="201"/>
        <v>JETFAN V1DX</v>
      </c>
      <c r="R1427" t="str">
        <f t="shared" si="202"/>
        <v>In Manuale Da Scada</v>
      </c>
      <c r="U1427" t="str">
        <f t="shared" si="203"/>
        <v>Stato</v>
      </c>
      <c r="V1427" t="str">
        <f t="shared" si="204"/>
        <v>GALLERIA</v>
      </c>
      <c r="W1427" t="str">
        <f t="shared" si="205"/>
        <v>GALLERIA SAN GIULIANO</v>
      </c>
      <c r="Z1427" t="str">
        <f t="shared" si="206"/>
        <v>10.220.80.16</v>
      </c>
    </row>
    <row r="1428" spans="1:26" x14ac:dyDescent="0.25">
      <c r="A1428" t="s">
        <v>10</v>
      </c>
      <c r="B1428" t="s">
        <v>1063</v>
      </c>
      <c r="C1428" t="s">
        <v>2173</v>
      </c>
      <c r="D1428" t="s">
        <v>2174</v>
      </c>
      <c r="E1428" t="s">
        <v>2204</v>
      </c>
      <c r="F1428" t="s">
        <v>14</v>
      </c>
      <c r="G1428" t="s">
        <v>28</v>
      </c>
      <c r="H1428" t="s">
        <v>22</v>
      </c>
      <c r="I1428" t="s">
        <v>2205</v>
      </c>
      <c r="J1428" t="s">
        <v>2177</v>
      </c>
      <c r="K1428" t="str">
        <f t="shared" si="198"/>
        <v>1253.14</v>
      </c>
      <c r="N1428" t="str">
        <f t="shared" si="199"/>
        <v>HOLDING REGISTER</v>
      </c>
      <c r="O1428" t="str">
        <f t="shared" si="200"/>
        <v>BOOL</v>
      </c>
      <c r="P1428" t="str">
        <f t="shared" si="201"/>
        <v>JETFAN V1SX</v>
      </c>
      <c r="R1428" t="str">
        <f t="shared" si="202"/>
        <v>Intervento Protezione Motore</v>
      </c>
      <c r="U1428" t="str">
        <f t="shared" si="203"/>
        <v>Allarme</v>
      </c>
      <c r="V1428" t="str">
        <f t="shared" si="204"/>
        <v>GALLERIA</v>
      </c>
      <c r="W1428" t="str">
        <f t="shared" si="205"/>
        <v>GALLERIA SAN GIULIANO</v>
      </c>
      <c r="Z1428" t="str">
        <f t="shared" si="206"/>
        <v>10.220.80.16</v>
      </c>
    </row>
    <row r="1429" spans="1:26" x14ac:dyDescent="0.25">
      <c r="A1429" t="s">
        <v>10</v>
      </c>
      <c r="B1429" t="s">
        <v>1063</v>
      </c>
      <c r="C1429" t="s">
        <v>2173</v>
      </c>
      <c r="D1429" t="s">
        <v>2174</v>
      </c>
      <c r="E1429" t="s">
        <v>2204</v>
      </c>
      <c r="F1429" t="s">
        <v>14</v>
      </c>
      <c r="G1429" t="s">
        <v>28</v>
      </c>
      <c r="H1429" t="s">
        <v>22</v>
      </c>
      <c r="I1429" t="s">
        <v>2206</v>
      </c>
      <c r="J1429" t="s">
        <v>2179</v>
      </c>
      <c r="K1429" t="str">
        <f t="shared" si="198"/>
        <v>1253.15</v>
      </c>
      <c r="N1429" t="str">
        <f t="shared" si="199"/>
        <v>HOLDING REGISTER</v>
      </c>
      <c r="O1429" t="str">
        <f t="shared" si="200"/>
        <v>BOOL</v>
      </c>
      <c r="P1429" t="str">
        <f t="shared" si="201"/>
        <v>JETFAN V1SX</v>
      </c>
      <c r="R1429" t="str">
        <f t="shared" si="202"/>
        <v>Allarme Alimentazione</v>
      </c>
      <c r="U1429" t="str">
        <f t="shared" si="203"/>
        <v>Allarme</v>
      </c>
      <c r="V1429" t="str">
        <f t="shared" si="204"/>
        <v>GALLERIA</v>
      </c>
      <c r="W1429" t="str">
        <f t="shared" si="205"/>
        <v>GALLERIA SAN GIULIANO</v>
      </c>
      <c r="Z1429" t="str">
        <f t="shared" si="206"/>
        <v>10.220.80.16</v>
      </c>
    </row>
    <row r="1430" spans="1:26" x14ac:dyDescent="0.25">
      <c r="A1430" t="s">
        <v>10</v>
      </c>
      <c r="B1430" t="s">
        <v>1063</v>
      </c>
      <c r="C1430" t="s">
        <v>2173</v>
      </c>
      <c r="D1430" t="s">
        <v>2174</v>
      </c>
      <c r="E1430" t="s">
        <v>2204</v>
      </c>
      <c r="F1430" t="s">
        <v>14</v>
      </c>
      <c r="G1430" t="s">
        <v>28</v>
      </c>
      <c r="H1430" t="s">
        <v>22</v>
      </c>
      <c r="I1430" t="s">
        <v>2207</v>
      </c>
      <c r="J1430" t="s">
        <v>2181</v>
      </c>
      <c r="K1430" t="str">
        <f t="shared" si="198"/>
        <v>1254.0</v>
      </c>
      <c r="N1430" t="str">
        <f t="shared" si="199"/>
        <v>HOLDING REGISTER</v>
      </c>
      <c r="O1430" t="str">
        <f t="shared" si="200"/>
        <v>BOOL</v>
      </c>
      <c r="P1430" t="str">
        <f t="shared" si="201"/>
        <v>JETFAN V1SX</v>
      </c>
      <c r="R1430" t="str">
        <f t="shared" si="202"/>
        <v>Time Out Avviam. Dir. Nord</v>
      </c>
      <c r="U1430" t="str">
        <f t="shared" si="203"/>
        <v>Allarme</v>
      </c>
      <c r="V1430" t="str">
        <f t="shared" si="204"/>
        <v>GALLERIA</v>
      </c>
      <c r="W1430" t="str">
        <f t="shared" si="205"/>
        <v>GALLERIA SAN GIULIANO</v>
      </c>
      <c r="Z1430" t="str">
        <f t="shared" si="206"/>
        <v>10.220.80.16</v>
      </c>
    </row>
    <row r="1431" spans="1:26" x14ac:dyDescent="0.25">
      <c r="A1431" t="s">
        <v>10</v>
      </c>
      <c r="B1431" t="s">
        <v>1063</v>
      </c>
      <c r="C1431" t="s">
        <v>2173</v>
      </c>
      <c r="D1431" t="s">
        <v>2174</v>
      </c>
      <c r="E1431" t="s">
        <v>2204</v>
      </c>
      <c r="F1431" t="s">
        <v>14</v>
      </c>
      <c r="G1431" t="s">
        <v>28</v>
      </c>
      <c r="H1431" t="s">
        <v>22</v>
      </c>
      <c r="I1431" t="s">
        <v>2208</v>
      </c>
      <c r="J1431" t="s">
        <v>2183</v>
      </c>
      <c r="K1431" t="str">
        <f t="shared" si="198"/>
        <v>1254.1</v>
      </c>
      <c r="N1431" t="str">
        <f t="shared" si="199"/>
        <v>HOLDING REGISTER</v>
      </c>
      <c r="O1431" t="str">
        <f t="shared" si="200"/>
        <v>BOOL</v>
      </c>
      <c r="P1431" t="str">
        <f t="shared" si="201"/>
        <v>JETFAN V1SX</v>
      </c>
      <c r="R1431" t="str">
        <f t="shared" si="202"/>
        <v>Time Out Avviam. Dir. Sud</v>
      </c>
      <c r="U1431" t="str">
        <f t="shared" si="203"/>
        <v>Allarme</v>
      </c>
      <c r="V1431" t="str">
        <f t="shared" si="204"/>
        <v>GALLERIA</v>
      </c>
      <c r="W1431" t="str">
        <f t="shared" si="205"/>
        <v>GALLERIA SAN GIULIANO</v>
      </c>
      <c r="Z1431" t="str">
        <f t="shared" si="206"/>
        <v>10.220.80.16</v>
      </c>
    </row>
    <row r="1432" spans="1:26" x14ac:dyDescent="0.25">
      <c r="A1432" t="s">
        <v>10</v>
      </c>
      <c r="B1432" t="s">
        <v>1063</v>
      </c>
      <c r="C1432" t="s">
        <v>2173</v>
      </c>
      <c r="D1432" t="s">
        <v>2174</v>
      </c>
      <c r="E1432" t="s">
        <v>2204</v>
      </c>
      <c r="F1432" t="s">
        <v>14</v>
      </c>
      <c r="G1432" t="s">
        <v>28</v>
      </c>
      <c r="H1432" t="s">
        <v>22</v>
      </c>
      <c r="I1432" t="s">
        <v>2209</v>
      </c>
      <c r="J1432" t="s">
        <v>2185</v>
      </c>
      <c r="K1432" t="str">
        <f t="shared" si="198"/>
        <v>1254.2</v>
      </c>
      <c r="N1432" t="str">
        <f t="shared" si="199"/>
        <v>HOLDING REGISTER</v>
      </c>
      <c r="O1432" t="str">
        <f t="shared" si="200"/>
        <v>BOOL</v>
      </c>
      <c r="P1432" t="str">
        <f t="shared" si="201"/>
        <v>JETFAN V1SX</v>
      </c>
      <c r="R1432" t="str">
        <f t="shared" si="202"/>
        <v>Allarme Softstart/Differensiale</v>
      </c>
      <c r="U1432" t="str">
        <f t="shared" si="203"/>
        <v>Allarme</v>
      </c>
      <c r="V1432" t="str">
        <f t="shared" si="204"/>
        <v>GALLERIA</v>
      </c>
      <c r="W1432" t="str">
        <f t="shared" si="205"/>
        <v>GALLERIA SAN GIULIANO</v>
      </c>
      <c r="Z1432" t="str">
        <f t="shared" si="206"/>
        <v>10.220.80.16</v>
      </c>
    </row>
    <row r="1433" spans="1:26" x14ac:dyDescent="0.25">
      <c r="A1433" t="s">
        <v>10</v>
      </c>
      <c r="B1433" t="s">
        <v>1063</v>
      </c>
      <c r="C1433" t="s">
        <v>2173</v>
      </c>
      <c r="D1433" t="s">
        <v>2174</v>
      </c>
      <c r="E1433" t="s">
        <v>2204</v>
      </c>
      <c r="F1433" t="s">
        <v>14</v>
      </c>
      <c r="G1433" t="s">
        <v>28</v>
      </c>
      <c r="H1433" t="s">
        <v>22</v>
      </c>
      <c r="I1433" t="s">
        <v>2210</v>
      </c>
      <c r="J1433" t="s">
        <v>2187</v>
      </c>
      <c r="K1433" t="str">
        <f t="shared" si="198"/>
        <v>1254.3</v>
      </c>
      <c r="N1433" t="str">
        <f t="shared" si="199"/>
        <v>HOLDING REGISTER</v>
      </c>
      <c r="O1433" t="str">
        <f t="shared" si="200"/>
        <v>BOOL</v>
      </c>
      <c r="P1433" t="str">
        <f t="shared" si="201"/>
        <v>JETFAN V1SX</v>
      </c>
      <c r="R1433" t="str">
        <f t="shared" si="202"/>
        <v>Preallarme Vibrazione</v>
      </c>
      <c r="U1433" t="str">
        <f t="shared" si="203"/>
        <v>Allarme</v>
      </c>
      <c r="V1433" t="str">
        <f t="shared" si="204"/>
        <v>GALLERIA</v>
      </c>
      <c r="W1433" t="str">
        <f t="shared" si="205"/>
        <v>GALLERIA SAN GIULIANO</v>
      </c>
      <c r="Z1433" t="str">
        <f t="shared" si="206"/>
        <v>10.220.80.16</v>
      </c>
    </row>
    <row r="1434" spans="1:26" x14ac:dyDescent="0.25">
      <c r="A1434" t="s">
        <v>10</v>
      </c>
      <c r="B1434" t="s">
        <v>1063</v>
      </c>
      <c r="C1434" t="s">
        <v>2173</v>
      </c>
      <c r="D1434" t="s">
        <v>2174</v>
      </c>
      <c r="E1434" t="s">
        <v>2204</v>
      </c>
      <c r="F1434" t="s">
        <v>14</v>
      </c>
      <c r="G1434" t="s">
        <v>28</v>
      </c>
      <c r="H1434" t="s">
        <v>22</v>
      </c>
      <c r="I1434" t="s">
        <v>2211</v>
      </c>
      <c r="J1434" t="s">
        <v>2189</v>
      </c>
      <c r="K1434" t="str">
        <f t="shared" si="198"/>
        <v>1254.4</v>
      </c>
      <c r="N1434" t="str">
        <f t="shared" si="199"/>
        <v>HOLDING REGISTER</v>
      </c>
      <c r="O1434" t="str">
        <f t="shared" si="200"/>
        <v>BOOL</v>
      </c>
      <c r="P1434" t="str">
        <f t="shared" si="201"/>
        <v>JETFAN V1SX</v>
      </c>
      <c r="R1434" t="str">
        <f t="shared" si="202"/>
        <v>Allarme Vibrazione</v>
      </c>
      <c r="U1434" t="str">
        <f t="shared" si="203"/>
        <v>Allarme</v>
      </c>
      <c r="V1434" t="str">
        <f t="shared" si="204"/>
        <v>GALLERIA</v>
      </c>
      <c r="W1434" t="str">
        <f t="shared" si="205"/>
        <v>GALLERIA SAN GIULIANO</v>
      </c>
      <c r="Z1434" t="str">
        <f t="shared" si="206"/>
        <v>10.220.80.16</v>
      </c>
    </row>
    <row r="1435" spans="1:26" x14ac:dyDescent="0.25">
      <c r="A1435" t="s">
        <v>10</v>
      </c>
      <c r="B1435" t="s">
        <v>1063</v>
      </c>
      <c r="C1435" t="s">
        <v>2173</v>
      </c>
      <c r="D1435" t="s">
        <v>2174</v>
      </c>
      <c r="E1435" t="s">
        <v>2204</v>
      </c>
      <c r="F1435" t="s">
        <v>14</v>
      </c>
      <c r="G1435" t="s">
        <v>28</v>
      </c>
      <c r="H1435" t="s">
        <v>22</v>
      </c>
      <c r="I1435" t="s">
        <v>2212</v>
      </c>
      <c r="J1435" t="s">
        <v>2191</v>
      </c>
      <c r="K1435" t="str">
        <f t="shared" si="198"/>
        <v>1254.5</v>
      </c>
      <c r="N1435" t="str">
        <f t="shared" si="199"/>
        <v>HOLDING REGISTER</v>
      </c>
      <c r="O1435" t="str">
        <f t="shared" si="200"/>
        <v>BOOL</v>
      </c>
      <c r="P1435" t="str">
        <f t="shared" si="201"/>
        <v>JETFAN V1SX</v>
      </c>
      <c r="R1435" t="str">
        <f t="shared" si="202"/>
        <v>Sensore Vibrazioni Scollegato</v>
      </c>
      <c r="U1435" t="str">
        <f t="shared" si="203"/>
        <v>Allarme</v>
      </c>
      <c r="V1435" t="str">
        <f t="shared" si="204"/>
        <v>GALLERIA</v>
      </c>
      <c r="W1435" t="str">
        <f t="shared" si="205"/>
        <v>GALLERIA SAN GIULIANO</v>
      </c>
      <c r="Z1435" t="str">
        <f t="shared" si="206"/>
        <v>10.220.80.16</v>
      </c>
    </row>
    <row r="1436" spans="1:26" x14ac:dyDescent="0.25">
      <c r="A1436" t="s">
        <v>10</v>
      </c>
      <c r="B1436" t="s">
        <v>1063</v>
      </c>
      <c r="C1436" t="s">
        <v>2173</v>
      </c>
      <c r="D1436" t="s">
        <v>2174</v>
      </c>
      <c r="E1436" t="s">
        <v>2204</v>
      </c>
      <c r="F1436" t="s">
        <v>14</v>
      </c>
      <c r="G1436" t="s">
        <v>28</v>
      </c>
      <c r="H1436" t="s">
        <v>22</v>
      </c>
      <c r="I1436" t="s">
        <v>2213</v>
      </c>
      <c r="J1436" t="s">
        <v>2193</v>
      </c>
      <c r="K1436" t="str">
        <f t="shared" si="198"/>
        <v>1254.6</v>
      </c>
      <c r="N1436" t="str">
        <f t="shared" si="199"/>
        <v>HOLDING REGISTER</v>
      </c>
      <c r="O1436" t="str">
        <f t="shared" si="200"/>
        <v>BOOL</v>
      </c>
      <c r="P1436" t="str">
        <f t="shared" si="201"/>
        <v>JETFAN V1SX</v>
      </c>
      <c r="R1436" t="str">
        <f t="shared" si="202"/>
        <v>Allarme Orizzontalita'</v>
      </c>
      <c r="U1436" t="str">
        <f t="shared" si="203"/>
        <v>Allarme</v>
      </c>
      <c r="V1436" t="str">
        <f t="shared" si="204"/>
        <v>GALLERIA</v>
      </c>
      <c r="W1436" t="str">
        <f t="shared" si="205"/>
        <v>GALLERIA SAN GIULIANO</v>
      </c>
      <c r="Z1436" t="str">
        <f t="shared" si="206"/>
        <v>10.220.80.16</v>
      </c>
    </row>
    <row r="1437" spans="1:26" x14ac:dyDescent="0.25">
      <c r="A1437" t="s">
        <v>10</v>
      </c>
      <c r="B1437" t="s">
        <v>1063</v>
      </c>
      <c r="C1437" t="s">
        <v>2173</v>
      </c>
      <c r="D1437" t="s">
        <v>2174</v>
      </c>
      <c r="E1437" t="s">
        <v>2204</v>
      </c>
      <c r="F1437" t="s">
        <v>14</v>
      </c>
      <c r="G1437" t="s">
        <v>21</v>
      </c>
      <c r="H1437" t="s">
        <v>22</v>
      </c>
      <c r="I1437" t="s">
        <v>2214</v>
      </c>
      <c r="J1437" t="s">
        <v>2195</v>
      </c>
      <c r="K1437" t="str">
        <f t="shared" si="198"/>
        <v>1254.7</v>
      </c>
      <c r="N1437" t="str">
        <f t="shared" si="199"/>
        <v>HOLDING REGISTER</v>
      </c>
      <c r="O1437" t="str">
        <f t="shared" si="200"/>
        <v>BOOL</v>
      </c>
      <c r="P1437" t="str">
        <f t="shared" si="201"/>
        <v>JETFAN V1SX</v>
      </c>
      <c r="R1437" t="str">
        <f t="shared" si="202"/>
        <v>In Avviamento</v>
      </c>
      <c r="U1437" t="str">
        <f t="shared" si="203"/>
        <v>Stato</v>
      </c>
      <c r="V1437" t="str">
        <f t="shared" si="204"/>
        <v>GALLERIA</v>
      </c>
      <c r="W1437" t="str">
        <f t="shared" si="205"/>
        <v>GALLERIA SAN GIULIANO</v>
      </c>
      <c r="Z1437" t="str">
        <f t="shared" si="206"/>
        <v>10.220.80.16</v>
      </c>
    </row>
    <row r="1438" spans="1:26" x14ac:dyDescent="0.25">
      <c r="A1438" t="s">
        <v>10</v>
      </c>
      <c r="B1438" t="s">
        <v>1063</v>
      </c>
      <c r="C1438" t="s">
        <v>2173</v>
      </c>
      <c r="D1438" t="s">
        <v>2174</v>
      </c>
      <c r="E1438" t="s">
        <v>2204</v>
      </c>
      <c r="F1438" t="s">
        <v>14</v>
      </c>
      <c r="G1438" t="s">
        <v>21</v>
      </c>
      <c r="H1438" t="s">
        <v>22</v>
      </c>
      <c r="I1438" t="s">
        <v>2215</v>
      </c>
      <c r="J1438" t="s">
        <v>2197</v>
      </c>
      <c r="K1438" t="str">
        <f t="shared" si="198"/>
        <v>1254.8</v>
      </c>
      <c r="N1438" t="str">
        <f t="shared" si="199"/>
        <v>HOLDING REGISTER</v>
      </c>
      <c r="O1438" t="str">
        <f t="shared" si="200"/>
        <v>BOOL</v>
      </c>
      <c r="P1438" t="str">
        <f t="shared" si="201"/>
        <v>JETFAN V1SX</v>
      </c>
      <c r="R1438" t="str">
        <f t="shared" si="202"/>
        <v>In Marcia</v>
      </c>
      <c r="U1438" t="str">
        <f t="shared" si="203"/>
        <v>Stato</v>
      </c>
      <c r="V1438" t="str">
        <f t="shared" si="204"/>
        <v>GALLERIA</v>
      </c>
      <c r="W1438" t="str">
        <f t="shared" si="205"/>
        <v>GALLERIA SAN GIULIANO</v>
      </c>
      <c r="Z1438" t="str">
        <f t="shared" si="206"/>
        <v>10.220.80.16</v>
      </c>
    </row>
    <row r="1439" spans="1:26" x14ac:dyDescent="0.25">
      <c r="A1439" t="s">
        <v>10</v>
      </c>
      <c r="B1439" t="s">
        <v>1063</v>
      </c>
      <c r="C1439" t="s">
        <v>2173</v>
      </c>
      <c r="D1439" t="s">
        <v>2174</v>
      </c>
      <c r="E1439" t="s">
        <v>2204</v>
      </c>
      <c r="F1439" t="s">
        <v>14</v>
      </c>
      <c r="G1439" t="s">
        <v>21</v>
      </c>
      <c r="H1439" t="s">
        <v>22</v>
      </c>
      <c r="I1439" t="s">
        <v>2216</v>
      </c>
      <c r="J1439" t="s">
        <v>2199</v>
      </c>
      <c r="K1439" t="str">
        <f t="shared" si="198"/>
        <v>1254.9</v>
      </c>
      <c r="N1439" t="str">
        <f t="shared" si="199"/>
        <v>HOLDING REGISTER</v>
      </c>
      <c r="O1439" t="str">
        <f t="shared" si="200"/>
        <v>BOOL</v>
      </c>
      <c r="P1439" t="str">
        <f t="shared" si="201"/>
        <v>JETFAN V1SX</v>
      </c>
      <c r="R1439" t="str">
        <f t="shared" si="202"/>
        <v>In Arresto</v>
      </c>
      <c r="U1439" t="str">
        <f t="shared" si="203"/>
        <v>Stato</v>
      </c>
      <c r="V1439" t="str">
        <f t="shared" si="204"/>
        <v>GALLERIA</v>
      </c>
      <c r="W1439" t="str">
        <f t="shared" si="205"/>
        <v>GALLERIA SAN GIULIANO</v>
      </c>
      <c r="Z1439" t="str">
        <f t="shared" si="206"/>
        <v>10.220.80.16</v>
      </c>
    </row>
    <row r="1440" spans="1:26" x14ac:dyDescent="0.25">
      <c r="A1440" t="s">
        <v>10</v>
      </c>
      <c r="B1440" t="s">
        <v>1063</v>
      </c>
      <c r="C1440" t="s">
        <v>2173</v>
      </c>
      <c r="D1440" t="s">
        <v>2174</v>
      </c>
      <c r="E1440" t="s">
        <v>2204</v>
      </c>
      <c r="F1440" t="s">
        <v>14</v>
      </c>
      <c r="G1440" t="s">
        <v>21</v>
      </c>
      <c r="H1440" t="s">
        <v>22</v>
      </c>
      <c r="I1440" t="s">
        <v>2217</v>
      </c>
      <c r="J1440" t="s">
        <v>2201</v>
      </c>
      <c r="K1440" t="str">
        <f t="shared" si="198"/>
        <v>1254.10</v>
      </c>
      <c r="N1440" t="str">
        <f t="shared" si="199"/>
        <v>HOLDING REGISTER</v>
      </c>
      <c r="O1440" t="str">
        <f t="shared" si="200"/>
        <v>BOOL</v>
      </c>
      <c r="P1440" t="str">
        <f t="shared" si="201"/>
        <v>JETFAN V1SX</v>
      </c>
      <c r="R1440" t="str">
        <f t="shared" si="202"/>
        <v>Incluso Da Scada</v>
      </c>
      <c r="U1440" t="str">
        <f t="shared" si="203"/>
        <v>Stato</v>
      </c>
      <c r="V1440" t="str">
        <f t="shared" si="204"/>
        <v>GALLERIA</v>
      </c>
      <c r="W1440" t="str">
        <f t="shared" si="205"/>
        <v>GALLERIA SAN GIULIANO</v>
      </c>
      <c r="Z1440" t="str">
        <f t="shared" si="206"/>
        <v>10.220.80.16</v>
      </c>
    </row>
    <row r="1441" spans="1:26" x14ac:dyDescent="0.25">
      <c r="A1441" t="s">
        <v>10</v>
      </c>
      <c r="B1441" t="s">
        <v>1063</v>
      </c>
      <c r="C1441" t="s">
        <v>2173</v>
      </c>
      <c r="D1441" t="s">
        <v>2174</v>
      </c>
      <c r="E1441" t="s">
        <v>2204</v>
      </c>
      <c r="F1441" t="s">
        <v>14</v>
      </c>
      <c r="G1441" t="s">
        <v>21</v>
      </c>
      <c r="H1441" t="s">
        <v>22</v>
      </c>
      <c r="I1441" t="s">
        <v>2218</v>
      </c>
      <c r="J1441" t="s">
        <v>2203</v>
      </c>
      <c r="K1441" t="str">
        <f t="shared" si="198"/>
        <v>1254.11</v>
      </c>
      <c r="N1441" t="str">
        <f t="shared" si="199"/>
        <v>HOLDING REGISTER</v>
      </c>
      <c r="O1441" t="str">
        <f t="shared" si="200"/>
        <v>BOOL</v>
      </c>
      <c r="P1441" t="str">
        <f t="shared" si="201"/>
        <v>JETFAN V1SX</v>
      </c>
      <c r="R1441" t="str">
        <f t="shared" si="202"/>
        <v>In Manuale Da Scada</v>
      </c>
      <c r="U1441" t="str">
        <f t="shared" si="203"/>
        <v>Stato</v>
      </c>
      <c r="V1441" t="str">
        <f t="shared" si="204"/>
        <v>GALLERIA</v>
      </c>
      <c r="W1441" t="str">
        <f t="shared" si="205"/>
        <v>GALLERIA SAN GIULIANO</v>
      </c>
      <c r="Z1441" t="str">
        <f t="shared" si="206"/>
        <v>10.220.80.16</v>
      </c>
    </row>
    <row r="1442" spans="1:26" x14ac:dyDescent="0.25">
      <c r="A1442" t="s">
        <v>10</v>
      </c>
      <c r="B1442" t="s">
        <v>1063</v>
      </c>
      <c r="C1442" t="s">
        <v>2173</v>
      </c>
      <c r="D1442" t="s">
        <v>2174</v>
      </c>
      <c r="E1442" t="s">
        <v>2219</v>
      </c>
      <c r="F1442" t="s">
        <v>14</v>
      </c>
      <c r="G1442" t="s">
        <v>28</v>
      </c>
      <c r="H1442" t="s">
        <v>22</v>
      </c>
      <c r="I1442" t="s">
        <v>2220</v>
      </c>
      <c r="J1442" t="s">
        <v>2177</v>
      </c>
      <c r="K1442" t="str">
        <f t="shared" si="198"/>
        <v>1254.12</v>
      </c>
      <c r="N1442" t="str">
        <f t="shared" si="199"/>
        <v>HOLDING REGISTER</v>
      </c>
      <c r="O1442" t="str">
        <f t="shared" si="200"/>
        <v>BOOL</v>
      </c>
      <c r="P1442" t="str">
        <f t="shared" si="201"/>
        <v>JETFAN V2DX</v>
      </c>
      <c r="R1442" t="str">
        <f t="shared" si="202"/>
        <v>Intervento Protezione Motore</v>
      </c>
      <c r="U1442" t="str">
        <f t="shared" si="203"/>
        <v>Allarme</v>
      </c>
      <c r="V1442" t="str">
        <f t="shared" si="204"/>
        <v>GALLERIA</v>
      </c>
      <c r="W1442" t="str">
        <f t="shared" si="205"/>
        <v>GALLERIA SAN GIULIANO</v>
      </c>
      <c r="Z1442" t="str">
        <f t="shared" si="206"/>
        <v>10.220.80.16</v>
      </c>
    </row>
    <row r="1443" spans="1:26" x14ac:dyDescent="0.25">
      <c r="A1443" t="s">
        <v>10</v>
      </c>
      <c r="B1443" t="s">
        <v>1063</v>
      </c>
      <c r="C1443" t="s">
        <v>2173</v>
      </c>
      <c r="D1443" t="s">
        <v>2174</v>
      </c>
      <c r="E1443" t="s">
        <v>2219</v>
      </c>
      <c r="F1443" t="s">
        <v>14</v>
      </c>
      <c r="G1443" t="s">
        <v>28</v>
      </c>
      <c r="H1443" t="s">
        <v>22</v>
      </c>
      <c r="I1443" t="s">
        <v>2221</v>
      </c>
      <c r="J1443" t="s">
        <v>2179</v>
      </c>
      <c r="K1443" t="str">
        <f t="shared" si="198"/>
        <v>1254.13</v>
      </c>
      <c r="N1443" t="str">
        <f t="shared" si="199"/>
        <v>HOLDING REGISTER</v>
      </c>
      <c r="O1443" t="str">
        <f t="shared" si="200"/>
        <v>BOOL</v>
      </c>
      <c r="P1443" t="str">
        <f t="shared" si="201"/>
        <v>JETFAN V2DX</v>
      </c>
      <c r="R1443" t="str">
        <f t="shared" si="202"/>
        <v>Allarme Alimentazione</v>
      </c>
      <c r="U1443" t="str">
        <f t="shared" si="203"/>
        <v>Allarme</v>
      </c>
      <c r="V1443" t="str">
        <f t="shared" si="204"/>
        <v>GALLERIA</v>
      </c>
      <c r="W1443" t="str">
        <f t="shared" si="205"/>
        <v>GALLERIA SAN GIULIANO</v>
      </c>
      <c r="Z1443" t="str">
        <f t="shared" si="206"/>
        <v>10.220.80.16</v>
      </c>
    </row>
    <row r="1444" spans="1:26" x14ac:dyDescent="0.25">
      <c r="A1444" t="s">
        <v>10</v>
      </c>
      <c r="B1444" t="s">
        <v>1063</v>
      </c>
      <c r="C1444" t="s">
        <v>2173</v>
      </c>
      <c r="D1444" t="s">
        <v>2174</v>
      </c>
      <c r="E1444" t="s">
        <v>2219</v>
      </c>
      <c r="F1444" t="s">
        <v>14</v>
      </c>
      <c r="G1444" t="s">
        <v>28</v>
      </c>
      <c r="H1444" t="s">
        <v>22</v>
      </c>
      <c r="I1444" t="s">
        <v>2222</v>
      </c>
      <c r="J1444" t="s">
        <v>2181</v>
      </c>
      <c r="K1444" t="str">
        <f t="shared" si="198"/>
        <v>1254.14</v>
      </c>
      <c r="N1444" t="str">
        <f t="shared" si="199"/>
        <v>HOLDING REGISTER</v>
      </c>
      <c r="O1444" t="str">
        <f t="shared" si="200"/>
        <v>BOOL</v>
      </c>
      <c r="P1444" t="str">
        <f t="shared" si="201"/>
        <v>JETFAN V2DX</v>
      </c>
      <c r="R1444" t="str">
        <f t="shared" si="202"/>
        <v>Time Out Avviam. Dir. Nord</v>
      </c>
      <c r="U1444" t="str">
        <f t="shared" si="203"/>
        <v>Allarme</v>
      </c>
      <c r="V1444" t="str">
        <f t="shared" si="204"/>
        <v>GALLERIA</v>
      </c>
      <c r="W1444" t="str">
        <f t="shared" si="205"/>
        <v>GALLERIA SAN GIULIANO</v>
      </c>
      <c r="Z1444" t="str">
        <f t="shared" si="206"/>
        <v>10.220.80.16</v>
      </c>
    </row>
    <row r="1445" spans="1:26" x14ac:dyDescent="0.25">
      <c r="A1445" t="s">
        <v>10</v>
      </c>
      <c r="B1445" t="s">
        <v>1063</v>
      </c>
      <c r="C1445" t="s">
        <v>2173</v>
      </c>
      <c r="D1445" t="s">
        <v>2174</v>
      </c>
      <c r="E1445" t="s">
        <v>2219</v>
      </c>
      <c r="F1445" t="s">
        <v>14</v>
      </c>
      <c r="G1445" t="s">
        <v>28</v>
      </c>
      <c r="H1445" t="s">
        <v>22</v>
      </c>
      <c r="I1445" t="s">
        <v>2223</v>
      </c>
      <c r="J1445" t="s">
        <v>2183</v>
      </c>
      <c r="K1445" t="str">
        <f t="shared" si="198"/>
        <v>1254.15</v>
      </c>
      <c r="N1445" t="str">
        <f t="shared" si="199"/>
        <v>HOLDING REGISTER</v>
      </c>
      <c r="O1445" t="str">
        <f t="shared" si="200"/>
        <v>BOOL</v>
      </c>
      <c r="P1445" t="str">
        <f t="shared" si="201"/>
        <v>JETFAN V2DX</v>
      </c>
      <c r="R1445" t="str">
        <f t="shared" si="202"/>
        <v>Time Out Avviam. Dir. Sud</v>
      </c>
      <c r="U1445" t="str">
        <f t="shared" si="203"/>
        <v>Allarme</v>
      </c>
      <c r="V1445" t="str">
        <f t="shared" si="204"/>
        <v>GALLERIA</v>
      </c>
      <c r="W1445" t="str">
        <f t="shared" si="205"/>
        <v>GALLERIA SAN GIULIANO</v>
      </c>
      <c r="Z1445" t="str">
        <f t="shared" si="206"/>
        <v>10.220.80.16</v>
      </c>
    </row>
    <row r="1446" spans="1:26" x14ac:dyDescent="0.25">
      <c r="A1446" t="s">
        <v>10</v>
      </c>
      <c r="B1446" t="s">
        <v>1063</v>
      </c>
      <c r="C1446" t="s">
        <v>2173</v>
      </c>
      <c r="D1446" t="s">
        <v>2174</v>
      </c>
      <c r="E1446" t="s">
        <v>2219</v>
      </c>
      <c r="F1446" t="s">
        <v>14</v>
      </c>
      <c r="G1446" t="s">
        <v>28</v>
      </c>
      <c r="H1446" t="s">
        <v>22</v>
      </c>
      <c r="I1446" t="s">
        <v>2224</v>
      </c>
      <c r="J1446" t="s">
        <v>2185</v>
      </c>
      <c r="K1446" t="str">
        <f t="shared" si="198"/>
        <v>1255.0</v>
      </c>
      <c r="N1446" t="str">
        <f t="shared" si="199"/>
        <v>HOLDING REGISTER</v>
      </c>
      <c r="O1446" t="str">
        <f t="shared" si="200"/>
        <v>BOOL</v>
      </c>
      <c r="P1446" t="str">
        <f t="shared" si="201"/>
        <v>JETFAN V2DX</v>
      </c>
      <c r="R1446" t="str">
        <f t="shared" si="202"/>
        <v>Allarme Softstart/Differensiale</v>
      </c>
      <c r="U1446" t="str">
        <f t="shared" si="203"/>
        <v>Allarme</v>
      </c>
      <c r="V1446" t="str">
        <f t="shared" si="204"/>
        <v>GALLERIA</v>
      </c>
      <c r="W1446" t="str">
        <f t="shared" si="205"/>
        <v>GALLERIA SAN GIULIANO</v>
      </c>
      <c r="Z1446" t="str">
        <f t="shared" si="206"/>
        <v>10.220.80.16</v>
      </c>
    </row>
    <row r="1447" spans="1:26" x14ac:dyDescent="0.25">
      <c r="A1447" t="s">
        <v>10</v>
      </c>
      <c r="B1447" t="s">
        <v>1063</v>
      </c>
      <c r="C1447" t="s">
        <v>2173</v>
      </c>
      <c r="D1447" t="s">
        <v>2174</v>
      </c>
      <c r="E1447" t="s">
        <v>2219</v>
      </c>
      <c r="F1447" t="s">
        <v>14</v>
      </c>
      <c r="G1447" t="s">
        <v>28</v>
      </c>
      <c r="H1447" t="s">
        <v>22</v>
      </c>
      <c r="I1447" t="s">
        <v>2225</v>
      </c>
      <c r="J1447" t="s">
        <v>2187</v>
      </c>
      <c r="K1447" t="str">
        <f t="shared" si="198"/>
        <v>1255.1</v>
      </c>
      <c r="N1447" t="str">
        <f t="shared" si="199"/>
        <v>HOLDING REGISTER</v>
      </c>
      <c r="O1447" t="str">
        <f t="shared" si="200"/>
        <v>BOOL</v>
      </c>
      <c r="P1447" t="str">
        <f t="shared" si="201"/>
        <v>JETFAN V2DX</v>
      </c>
      <c r="R1447" t="str">
        <f t="shared" si="202"/>
        <v>Preallarme Vibrazione</v>
      </c>
      <c r="U1447" t="str">
        <f t="shared" si="203"/>
        <v>Allarme</v>
      </c>
      <c r="V1447" t="str">
        <f t="shared" si="204"/>
        <v>GALLERIA</v>
      </c>
      <c r="W1447" t="str">
        <f t="shared" si="205"/>
        <v>GALLERIA SAN GIULIANO</v>
      </c>
      <c r="Z1447" t="str">
        <f t="shared" si="206"/>
        <v>10.220.80.16</v>
      </c>
    </row>
    <row r="1448" spans="1:26" x14ac:dyDescent="0.25">
      <c r="A1448" t="s">
        <v>10</v>
      </c>
      <c r="B1448" t="s">
        <v>1063</v>
      </c>
      <c r="C1448" t="s">
        <v>2173</v>
      </c>
      <c r="D1448" t="s">
        <v>2174</v>
      </c>
      <c r="E1448" t="s">
        <v>2219</v>
      </c>
      <c r="F1448" t="s">
        <v>14</v>
      </c>
      <c r="G1448" t="s">
        <v>28</v>
      </c>
      <c r="H1448" t="s">
        <v>22</v>
      </c>
      <c r="I1448" t="s">
        <v>2226</v>
      </c>
      <c r="J1448" t="s">
        <v>2189</v>
      </c>
      <c r="K1448" t="str">
        <f t="shared" si="198"/>
        <v>1255.2</v>
      </c>
      <c r="N1448" t="str">
        <f t="shared" si="199"/>
        <v>HOLDING REGISTER</v>
      </c>
      <c r="O1448" t="str">
        <f t="shared" si="200"/>
        <v>BOOL</v>
      </c>
      <c r="P1448" t="str">
        <f t="shared" si="201"/>
        <v>JETFAN V2DX</v>
      </c>
      <c r="R1448" t="str">
        <f t="shared" si="202"/>
        <v>Allarme Vibrazione</v>
      </c>
      <c r="U1448" t="str">
        <f t="shared" si="203"/>
        <v>Allarme</v>
      </c>
      <c r="V1448" t="str">
        <f t="shared" si="204"/>
        <v>GALLERIA</v>
      </c>
      <c r="W1448" t="str">
        <f t="shared" si="205"/>
        <v>GALLERIA SAN GIULIANO</v>
      </c>
      <c r="Z1448" t="str">
        <f t="shared" si="206"/>
        <v>10.220.80.16</v>
      </c>
    </row>
    <row r="1449" spans="1:26" x14ac:dyDescent="0.25">
      <c r="A1449" t="s">
        <v>10</v>
      </c>
      <c r="B1449" t="s">
        <v>1063</v>
      </c>
      <c r="C1449" t="s">
        <v>2173</v>
      </c>
      <c r="D1449" t="s">
        <v>2174</v>
      </c>
      <c r="E1449" t="s">
        <v>2219</v>
      </c>
      <c r="F1449" t="s">
        <v>14</v>
      </c>
      <c r="G1449" t="s">
        <v>28</v>
      </c>
      <c r="H1449" t="s">
        <v>22</v>
      </c>
      <c r="I1449" t="s">
        <v>2227</v>
      </c>
      <c r="J1449" t="s">
        <v>2191</v>
      </c>
      <c r="K1449" t="str">
        <f t="shared" si="198"/>
        <v>1255.3</v>
      </c>
      <c r="N1449" t="str">
        <f t="shared" si="199"/>
        <v>HOLDING REGISTER</v>
      </c>
      <c r="O1449" t="str">
        <f t="shared" si="200"/>
        <v>BOOL</v>
      </c>
      <c r="P1449" t="str">
        <f t="shared" si="201"/>
        <v>JETFAN V2DX</v>
      </c>
      <c r="R1449" t="str">
        <f t="shared" si="202"/>
        <v>Sensore Vibrazioni Scollegato</v>
      </c>
      <c r="U1449" t="str">
        <f t="shared" si="203"/>
        <v>Allarme</v>
      </c>
      <c r="V1449" t="str">
        <f t="shared" si="204"/>
        <v>GALLERIA</v>
      </c>
      <c r="W1449" t="str">
        <f t="shared" si="205"/>
        <v>GALLERIA SAN GIULIANO</v>
      </c>
      <c r="Z1449" t="str">
        <f t="shared" si="206"/>
        <v>10.220.80.16</v>
      </c>
    </row>
    <row r="1450" spans="1:26" x14ac:dyDescent="0.25">
      <c r="A1450" t="s">
        <v>10</v>
      </c>
      <c r="B1450" t="s">
        <v>1063</v>
      </c>
      <c r="C1450" t="s">
        <v>2173</v>
      </c>
      <c r="D1450" t="s">
        <v>2174</v>
      </c>
      <c r="E1450" t="s">
        <v>2219</v>
      </c>
      <c r="F1450" t="s">
        <v>14</v>
      </c>
      <c r="G1450" t="s">
        <v>28</v>
      </c>
      <c r="H1450" t="s">
        <v>22</v>
      </c>
      <c r="I1450" t="s">
        <v>2228</v>
      </c>
      <c r="J1450" t="s">
        <v>2193</v>
      </c>
      <c r="K1450" t="str">
        <f t="shared" si="198"/>
        <v>1255.4</v>
      </c>
      <c r="N1450" t="str">
        <f t="shared" si="199"/>
        <v>HOLDING REGISTER</v>
      </c>
      <c r="O1450" t="str">
        <f t="shared" si="200"/>
        <v>BOOL</v>
      </c>
      <c r="P1450" t="str">
        <f t="shared" si="201"/>
        <v>JETFAN V2DX</v>
      </c>
      <c r="R1450" t="str">
        <f t="shared" si="202"/>
        <v>Allarme Orizzontalita'</v>
      </c>
      <c r="U1450" t="str">
        <f t="shared" si="203"/>
        <v>Allarme</v>
      </c>
      <c r="V1450" t="str">
        <f t="shared" si="204"/>
        <v>GALLERIA</v>
      </c>
      <c r="W1450" t="str">
        <f t="shared" si="205"/>
        <v>GALLERIA SAN GIULIANO</v>
      </c>
      <c r="Z1450" t="str">
        <f t="shared" si="206"/>
        <v>10.220.80.16</v>
      </c>
    </row>
    <row r="1451" spans="1:26" x14ac:dyDescent="0.25">
      <c r="A1451" t="s">
        <v>10</v>
      </c>
      <c r="B1451" t="s">
        <v>1063</v>
      </c>
      <c r="C1451" t="s">
        <v>2173</v>
      </c>
      <c r="D1451" t="s">
        <v>2174</v>
      </c>
      <c r="E1451" t="s">
        <v>2219</v>
      </c>
      <c r="F1451" t="s">
        <v>14</v>
      </c>
      <c r="G1451" t="s">
        <v>21</v>
      </c>
      <c r="H1451" t="s">
        <v>22</v>
      </c>
      <c r="I1451" t="s">
        <v>2229</v>
      </c>
      <c r="J1451" t="s">
        <v>2195</v>
      </c>
      <c r="K1451" t="str">
        <f t="shared" si="198"/>
        <v>1255.5</v>
      </c>
      <c r="N1451" t="str">
        <f t="shared" si="199"/>
        <v>HOLDING REGISTER</v>
      </c>
      <c r="O1451" t="str">
        <f t="shared" si="200"/>
        <v>BOOL</v>
      </c>
      <c r="P1451" t="str">
        <f t="shared" si="201"/>
        <v>JETFAN V2DX</v>
      </c>
      <c r="R1451" t="str">
        <f t="shared" si="202"/>
        <v>In Avviamento</v>
      </c>
      <c r="U1451" t="str">
        <f t="shared" si="203"/>
        <v>Stato</v>
      </c>
      <c r="V1451" t="str">
        <f t="shared" si="204"/>
        <v>GALLERIA</v>
      </c>
      <c r="W1451" t="str">
        <f t="shared" si="205"/>
        <v>GALLERIA SAN GIULIANO</v>
      </c>
      <c r="Z1451" t="str">
        <f t="shared" si="206"/>
        <v>10.220.80.16</v>
      </c>
    </row>
    <row r="1452" spans="1:26" x14ac:dyDescent="0.25">
      <c r="A1452" t="s">
        <v>10</v>
      </c>
      <c r="B1452" t="s">
        <v>1063</v>
      </c>
      <c r="C1452" t="s">
        <v>2173</v>
      </c>
      <c r="D1452" t="s">
        <v>2174</v>
      </c>
      <c r="E1452" t="s">
        <v>2219</v>
      </c>
      <c r="F1452" t="s">
        <v>14</v>
      </c>
      <c r="G1452" t="s">
        <v>21</v>
      </c>
      <c r="H1452" t="s">
        <v>22</v>
      </c>
      <c r="I1452" t="s">
        <v>2230</v>
      </c>
      <c r="J1452" t="s">
        <v>2197</v>
      </c>
      <c r="K1452" t="str">
        <f t="shared" si="198"/>
        <v>1255.6</v>
      </c>
      <c r="N1452" t="str">
        <f t="shared" si="199"/>
        <v>HOLDING REGISTER</v>
      </c>
      <c r="O1452" t="str">
        <f t="shared" si="200"/>
        <v>BOOL</v>
      </c>
      <c r="P1452" t="str">
        <f t="shared" si="201"/>
        <v>JETFAN V2DX</v>
      </c>
      <c r="R1452" t="str">
        <f t="shared" si="202"/>
        <v>In Marcia</v>
      </c>
      <c r="U1452" t="str">
        <f t="shared" si="203"/>
        <v>Stato</v>
      </c>
      <c r="V1452" t="str">
        <f t="shared" si="204"/>
        <v>GALLERIA</v>
      </c>
      <c r="W1452" t="str">
        <f t="shared" si="205"/>
        <v>GALLERIA SAN GIULIANO</v>
      </c>
      <c r="Z1452" t="str">
        <f t="shared" si="206"/>
        <v>10.220.80.16</v>
      </c>
    </row>
    <row r="1453" spans="1:26" x14ac:dyDescent="0.25">
      <c r="A1453" t="s">
        <v>10</v>
      </c>
      <c r="B1453" t="s">
        <v>1063</v>
      </c>
      <c r="C1453" t="s">
        <v>2173</v>
      </c>
      <c r="D1453" t="s">
        <v>2174</v>
      </c>
      <c r="E1453" t="s">
        <v>2219</v>
      </c>
      <c r="F1453" t="s">
        <v>14</v>
      </c>
      <c r="G1453" t="s">
        <v>21</v>
      </c>
      <c r="H1453" t="s">
        <v>22</v>
      </c>
      <c r="I1453" t="s">
        <v>2231</v>
      </c>
      <c r="J1453" t="s">
        <v>2199</v>
      </c>
      <c r="K1453" t="str">
        <f t="shared" si="198"/>
        <v>1255.7</v>
      </c>
      <c r="N1453" t="str">
        <f t="shared" si="199"/>
        <v>HOLDING REGISTER</v>
      </c>
      <c r="O1453" t="str">
        <f t="shared" si="200"/>
        <v>BOOL</v>
      </c>
      <c r="P1453" t="str">
        <f t="shared" si="201"/>
        <v>JETFAN V2DX</v>
      </c>
      <c r="R1453" t="str">
        <f t="shared" si="202"/>
        <v>In Arresto</v>
      </c>
      <c r="U1453" t="str">
        <f t="shared" si="203"/>
        <v>Stato</v>
      </c>
      <c r="V1453" t="str">
        <f t="shared" si="204"/>
        <v>GALLERIA</v>
      </c>
      <c r="W1453" t="str">
        <f t="shared" si="205"/>
        <v>GALLERIA SAN GIULIANO</v>
      </c>
      <c r="Z1453" t="str">
        <f t="shared" si="206"/>
        <v>10.220.80.16</v>
      </c>
    </row>
    <row r="1454" spans="1:26" x14ac:dyDescent="0.25">
      <c r="A1454" t="s">
        <v>10</v>
      </c>
      <c r="B1454" t="s">
        <v>1063</v>
      </c>
      <c r="C1454" t="s">
        <v>2173</v>
      </c>
      <c r="D1454" t="s">
        <v>2174</v>
      </c>
      <c r="E1454" t="s">
        <v>2219</v>
      </c>
      <c r="F1454" t="s">
        <v>14</v>
      </c>
      <c r="G1454" t="s">
        <v>21</v>
      </c>
      <c r="H1454" t="s">
        <v>22</v>
      </c>
      <c r="I1454" t="s">
        <v>2232</v>
      </c>
      <c r="J1454" t="s">
        <v>2201</v>
      </c>
      <c r="K1454" t="str">
        <f t="shared" si="198"/>
        <v>1255.8</v>
      </c>
      <c r="N1454" t="str">
        <f t="shared" si="199"/>
        <v>HOLDING REGISTER</v>
      </c>
      <c r="O1454" t="str">
        <f t="shared" si="200"/>
        <v>BOOL</v>
      </c>
      <c r="P1454" t="str">
        <f t="shared" si="201"/>
        <v>JETFAN V2DX</v>
      </c>
      <c r="R1454" t="str">
        <f t="shared" si="202"/>
        <v>Incluso Da Scada</v>
      </c>
      <c r="U1454" t="str">
        <f t="shared" si="203"/>
        <v>Stato</v>
      </c>
      <c r="V1454" t="str">
        <f t="shared" si="204"/>
        <v>GALLERIA</v>
      </c>
      <c r="W1454" t="str">
        <f t="shared" si="205"/>
        <v>GALLERIA SAN GIULIANO</v>
      </c>
      <c r="Z1454" t="str">
        <f t="shared" si="206"/>
        <v>10.220.80.16</v>
      </c>
    </row>
    <row r="1455" spans="1:26" x14ac:dyDescent="0.25">
      <c r="A1455" t="s">
        <v>10</v>
      </c>
      <c r="B1455" t="s">
        <v>1063</v>
      </c>
      <c r="C1455" t="s">
        <v>2173</v>
      </c>
      <c r="D1455" t="s">
        <v>2174</v>
      </c>
      <c r="E1455" t="s">
        <v>2219</v>
      </c>
      <c r="F1455" t="s">
        <v>14</v>
      </c>
      <c r="G1455" t="s">
        <v>21</v>
      </c>
      <c r="H1455" t="s">
        <v>22</v>
      </c>
      <c r="I1455" t="s">
        <v>2233</v>
      </c>
      <c r="J1455" t="s">
        <v>2203</v>
      </c>
      <c r="K1455" t="str">
        <f t="shared" si="198"/>
        <v>1255.9</v>
      </c>
      <c r="N1455" t="str">
        <f t="shared" si="199"/>
        <v>HOLDING REGISTER</v>
      </c>
      <c r="O1455" t="str">
        <f t="shared" si="200"/>
        <v>BOOL</v>
      </c>
      <c r="P1455" t="str">
        <f t="shared" si="201"/>
        <v>JETFAN V2DX</v>
      </c>
      <c r="R1455" t="str">
        <f t="shared" si="202"/>
        <v>In Manuale Da Scada</v>
      </c>
      <c r="U1455" t="str">
        <f t="shared" si="203"/>
        <v>Stato</v>
      </c>
      <c r="V1455" t="str">
        <f t="shared" si="204"/>
        <v>GALLERIA</v>
      </c>
      <c r="W1455" t="str">
        <f t="shared" si="205"/>
        <v>GALLERIA SAN GIULIANO</v>
      </c>
      <c r="Z1455" t="str">
        <f t="shared" si="206"/>
        <v>10.220.80.16</v>
      </c>
    </row>
    <row r="1456" spans="1:26" x14ac:dyDescent="0.25">
      <c r="A1456" t="s">
        <v>10</v>
      </c>
      <c r="B1456" t="s">
        <v>1063</v>
      </c>
      <c r="C1456" t="s">
        <v>2173</v>
      </c>
      <c r="D1456" t="s">
        <v>2174</v>
      </c>
      <c r="E1456" t="s">
        <v>2234</v>
      </c>
      <c r="F1456" t="s">
        <v>14</v>
      </c>
      <c r="G1456" t="s">
        <v>28</v>
      </c>
      <c r="H1456" t="s">
        <v>22</v>
      </c>
      <c r="I1456" t="s">
        <v>2235</v>
      </c>
      <c r="J1456" t="s">
        <v>2177</v>
      </c>
      <c r="K1456" t="str">
        <f t="shared" si="198"/>
        <v>1255.10</v>
      </c>
      <c r="N1456" t="str">
        <f t="shared" si="199"/>
        <v>HOLDING REGISTER</v>
      </c>
      <c r="O1456" t="str">
        <f t="shared" si="200"/>
        <v>BOOL</v>
      </c>
      <c r="P1456" t="str">
        <f t="shared" si="201"/>
        <v>JETFAN V2SX</v>
      </c>
      <c r="R1456" t="str">
        <f t="shared" si="202"/>
        <v>Intervento Protezione Motore</v>
      </c>
      <c r="U1456" t="str">
        <f t="shared" si="203"/>
        <v>Allarme</v>
      </c>
      <c r="V1456" t="str">
        <f t="shared" si="204"/>
        <v>GALLERIA</v>
      </c>
      <c r="W1456" t="str">
        <f t="shared" si="205"/>
        <v>GALLERIA SAN GIULIANO</v>
      </c>
      <c r="Z1456" t="str">
        <f t="shared" si="206"/>
        <v>10.220.80.16</v>
      </c>
    </row>
    <row r="1457" spans="1:26" x14ac:dyDescent="0.25">
      <c r="A1457" t="s">
        <v>10</v>
      </c>
      <c r="B1457" t="s">
        <v>1063</v>
      </c>
      <c r="C1457" t="s">
        <v>2173</v>
      </c>
      <c r="D1457" t="s">
        <v>2174</v>
      </c>
      <c r="E1457" t="s">
        <v>2234</v>
      </c>
      <c r="F1457" t="s">
        <v>14</v>
      </c>
      <c r="G1457" t="s">
        <v>28</v>
      </c>
      <c r="H1457" t="s">
        <v>22</v>
      </c>
      <c r="I1457" t="s">
        <v>2236</v>
      </c>
      <c r="J1457" t="s">
        <v>2179</v>
      </c>
      <c r="K1457" t="str">
        <f t="shared" si="198"/>
        <v>1255.11</v>
      </c>
      <c r="N1457" t="str">
        <f t="shared" si="199"/>
        <v>HOLDING REGISTER</v>
      </c>
      <c r="O1457" t="str">
        <f t="shared" si="200"/>
        <v>BOOL</v>
      </c>
      <c r="P1457" t="str">
        <f t="shared" si="201"/>
        <v>JETFAN V2SX</v>
      </c>
      <c r="R1457" t="str">
        <f t="shared" si="202"/>
        <v>Allarme Alimentazione</v>
      </c>
      <c r="U1457" t="str">
        <f t="shared" si="203"/>
        <v>Allarme</v>
      </c>
      <c r="V1457" t="str">
        <f t="shared" si="204"/>
        <v>GALLERIA</v>
      </c>
      <c r="W1457" t="str">
        <f t="shared" si="205"/>
        <v>GALLERIA SAN GIULIANO</v>
      </c>
      <c r="Z1457" t="str">
        <f t="shared" si="206"/>
        <v>10.220.80.16</v>
      </c>
    </row>
    <row r="1458" spans="1:26" x14ac:dyDescent="0.25">
      <c r="A1458" t="s">
        <v>10</v>
      </c>
      <c r="B1458" t="s">
        <v>1063</v>
      </c>
      <c r="C1458" t="s">
        <v>2173</v>
      </c>
      <c r="D1458" t="s">
        <v>2174</v>
      </c>
      <c r="E1458" t="s">
        <v>2234</v>
      </c>
      <c r="F1458" t="s">
        <v>14</v>
      </c>
      <c r="G1458" t="s">
        <v>28</v>
      </c>
      <c r="H1458" t="s">
        <v>22</v>
      </c>
      <c r="I1458" t="s">
        <v>2237</v>
      </c>
      <c r="J1458" t="s">
        <v>2181</v>
      </c>
      <c r="K1458" t="str">
        <f t="shared" si="198"/>
        <v>1255.12</v>
      </c>
      <c r="N1458" t="str">
        <f t="shared" si="199"/>
        <v>HOLDING REGISTER</v>
      </c>
      <c r="O1458" t="str">
        <f t="shared" si="200"/>
        <v>BOOL</v>
      </c>
      <c r="P1458" t="str">
        <f t="shared" si="201"/>
        <v>JETFAN V2SX</v>
      </c>
      <c r="R1458" t="str">
        <f t="shared" si="202"/>
        <v>Time Out Avviam. Dir. Nord</v>
      </c>
      <c r="U1458" t="str">
        <f t="shared" si="203"/>
        <v>Allarme</v>
      </c>
      <c r="V1458" t="str">
        <f t="shared" si="204"/>
        <v>GALLERIA</v>
      </c>
      <c r="W1458" t="str">
        <f t="shared" si="205"/>
        <v>GALLERIA SAN GIULIANO</v>
      </c>
      <c r="Z1458" t="str">
        <f t="shared" si="206"/>
        <v>10.220.80.16</v>
      </c>
    </row>
    <row r="1459" spans="1:26" x14ac:dyDescent="0.25">
      <c r="A1459" t="s">
        <v>10</v>
      </c>
      <c r="B1459" t="s">
        <v>1063</v>
      </c>
      <c r="C1459" t="s">
        <v>2173</v>
      </c>
      <c r="D1459" t="s">
        <v>2174</v>
      </c>
      <c r="E1459" t="s">
        <v>2234</v>
      </c>
      <c r="F1459" t="s">
        <v>14</v>
      </c>
      <c r="G1459" t="s">
        <v>28</v>
      </c>
      <c r="H1459" t="s">
        <v>22</v>
      </c>
      <c r="I1459" t="s">
        <v>2238</v>
      </c>
      <c r="J1459" t="s">
        <v>2183</v>
      </c>
      <c r="K1459" t="str">
        <f t="shared" si="198"/>
        <v>1255.13</v>
      </c>
      <c r="N1459" t="str">
        <f t="shared" si="199"/>
        <v>HOLDING REGISTER</v>
      </c>
      <c r="O1459" t="str">
        <f t="shared" si="200"/>
        <v>BOOL</v>
      </c>
      <c r="P1459" t="str">
        <f t="shared" si="201"/>
        <v>JETFAN V2SX</v>
      </c>
      <c r="R1459" t="str">
        <f t="shared" si="202"/>
        <v>Time Out Avviam. Dir. Sud</v>
      </c>
      <c r="U1459" t="str">
        <f t="shared" si="203"/>
        <v>Allarme</v>
      </c>
      <c r="V1459" t="str">
        <f t="shared" si="204"/>
        <v>GALLERIA</v>
      </c>
      <c r="W1459" t="str">
        <f t="shared" si="205"/>
        <v>GALLERIA SAN GIULIANO</v>
      </c>
      <c r="Z1459" t="str">
        <f t="shared" si="206"/>
        <v>10.220.80.16</v>
      </c>
    </row>
    <row r="1460" spans="1:26" x14ac:dyDescent="0.25">
      <c r="A1460" t="s">
        <v>10</v>
      </c>
      <c r="B1460" t="s">
        <v>1063</v>
      </c>
      <c r="C1460" t="s">
        <v>2173</v>
      </c>
      <c r="D1460" t="s">
        <v>2174</v>
      </c>
      <c r="E1460" t="s">
        <v>2234</v>
      </c>
      <c r="F1460" t="s">
        <v>14</v>
      </c>
      <c r="G1460" t="s">
        <v>28</v>
      </c>
      <c r="H1460" t="s">
        <v>22</v>
      </c>
      <c r="I1460" t="s">
        <v>2239</v>
      </c>
      <c r="J1460" t="s">
        <v>2185</v>
      </c>
      <c r="K1460" t="str">
        <f t="shared" si="198"/>
        <v>1255.14</v>
      </c>
      <c r="N1460" t="str">
        <f t="shared" si="199"/>
        <v>HOLDING REGISTER</v>
      </c>
      <c r="O1460" t="str">
        <f t="shared" si="200"/>
        <v>BOOL</v>
      </c>
      <c r="P1460" t="str">
        <f t="shared" si="201"/>
        <v>JETFAN V2SX</v>
      </c>
      <c r="R1460" t="str">
        <f t="shared" si="202"/>
        <v>Allarme Softstart/Differensiale</v>
      </c>
      <c r="U1460" t="str">
        <f t="shared" si="203"/>
        <v>Allarme</v>
      </c>
      <c r="V1460" t="str">
        <f t="shared" si="204"/>
        <v>GALLERIA</v>
      </c>
      <c r="W1460" t="str">
        <f t="shared" si="205"/>
        <v>GALLERIA SAN GIULIANO</v>
      </c>
      <c r="Z1460" t="str">
        <f t="shared" si="206"/>
        <v>10.220.80.16</v>
      </c>
    </row>
    <row r="1461" spans="1:26" x14ac:dyDescent="0.25">
      <c r="A1461" t="s">
        <v>10</v>
      </c>
      <c r="B1461" t="s">
        <v>1063</v>
      </c>
      <c r="C1461" t="s">
        <v>2173</v>
      </c>
      <c r="D1461" t="s">
        <v>2174</v>
      </c>
      <c r="E1461" t="s">
        <v>2234</v>
      </c>
      <c r="F1461" t="s">
        <v>14</v>
      </c>
      <c r="G1461" t="s">
        <v>28</v>
      </c>
      <c r="H1461" t="s">
        <v>22</v>
      </c>
      <c r="I1461" t="s">
        <v>2240</v>
      </c>
      <c r="J1461" t="s">
        <v>2187</v>
      </c>
      <c r="K1461" t="str">
        <f t="shared" si="198"/>
        <v>1255.15</v>
      </c>
      <c r="N1461" t="str">
        <f t="shared" si="199"/>
        <v>HOLDING REGISTER</v>
      </c>
      <c r="O1461" t="str">
        <f t="shared" si="200"/>
        <v>BOOL</v>
      </c>
      <c r="P1461" t="str">
        <f t="shared" si="201"/>
        <v>JETFAN V2SX</v>
      </c>
      <c r="R1461" t="str">
        <f t="shared" si="202"/>
        <v>Preallarme Vibrazione</v>
      </c>
      <c r="U1461" t="str">
        <f t="shared" si="203"/>
        <v>Allarme</v>
      </c>
      <c r="V1461" t="str">
        <f t="shared" si="204"/>
        <v>GALLERIA</v>
      </c>
      <c r="W1461" t="str">
        <f t="shared" si="205"/>
        <v>GALLERIA SAN GIULIANO</v>
      </c>
      <c r="Z1461" t="str">
        <f t="shared" si="206"/>
        <v>10.220.80.16</v>
      </c>
    </row>
    <row r="1462" spans="1:26" x14ac:dyDescent="0.25">
      <c r="A1462" t="s">
        <v>10</v>
      </c>
      <c r="B1462" t="s">
        <v>1063</v>
      </c>
      <c r="C1462" t="s">
        <v>2173</v>
      </c>
      <c r="D1462" t="s">
        <v>2174</v>
      </c>
      <c r="E1462" t="s">
        <v>2234</v>
      </c>
      <c r="F1462" t="s">
        <v>14</v>
      </c>
      <c r="G1462" t="s">
        <v>28</v>
      </c>
      <c r="H1462" t="s">
        <v>22</v>
      </c>
      <c r="I1462" t="s">
        <v>2241</v>
      </c>
      <c r="J1462" t="s">
        <v>2189</v>
      </c>
      <c r="K1462" t="str">
        <f t="shared" si="198"/>
        <v>1256.0</v>
      </c>
      <c r="N1462" t="str">
        <f t="shared" si="199"/>
        <v>HOLDING REGISTER</v>
      </c>
      <c r="O1462" t="str">
        <f t="shared" si="200"/>
        <v>BOOL</v>
      </c>
      <c r="P1462" t="str">
        <f t="shared" si="201"/>
        <v>JETFAN V2SX</v>
      </c>
      <c r="R1462" t="str">
        <f t="shared" si="202"/>
        <v>Allarme Vibrazione</v>
      </c>
      <c r="U1462" t="str">
        <f t="shared" si="203"/>
        <v>Allarme</v>
      </c>
      <c r="V1462" t="str">
        <f t="shared" si="204"/>
        <v>GALLERIA</v>
      </c>
      <c r="W1462" t="str">
        <f t="shared" si="205"/>
        <v>GALLERIA SAN GIULIANO</v>
      </c>
      <c r="Z1462" t="str">
        <f t="shared" si="206"/>
        <v>10.220.80.16</v>
      </c>
    </row>
    <row r="1463" spans="1:26" x14ac:dyDescent="0.25">
      <c r="A1463" t="s">
        <v>10</v>
      </c>
      <c r="B1463" t="s">
        <v>1063</v>
      </c>
      <c r="C1463" t="s">
        <v>2173</v>
      </c>
      <c r="D1463" t="s">
        <v>2174</v>
      </c>
      <c r="E1463" t="s">
        <v>2234</v>
      </c>
      <c r="F1463" t="s">
        <v>14</v>
      </c>
      <c r="G1463" t="s">
        <v>28</v>
      </c>
      <c r="H1463" t="s">
        <v>22</v>
      </c>
      <c r="I1463" t="s">
        <v>2242</v>
      </c>
      <c r="J1463" t="s">
        <v>2191</v>
      </c>
      <c r="K1463" t="str">
        <f t="shared" si="198"/>
        <v>1256.1</v>
      </c>
      <c r="N1463" t="str">
        <f t="shared" si="199"/>
        <v>HOLDING REGISTER</v>
      </c>
      <c r="O1463" t="str">
        <f t="shared" si="200"/>
        <v>BOOL</v>
      </c>
      <c r="P1463" t="str">
        <f t="shared" si="201"/>
        <v>JETFAN V2SX</v>
      </c>
      <c r="R1463" t="str">
        <f t="shared" si="202"/>
        <v>Sensore Vibrazioni Scollegato</v>
      </c>
      <c r="U1463" t="str">
        <f t="shared" si="203"/>
        <v>Allarme</v>
      </c>
      <c r="V1463" t="str">
        <f t="shared" si="204"/>
        <v>GALLERIA</v>
      </c>
      <c r="W1463" t="str">
        <f t="shared" si="205"/>
        <v>GALLERIA SAN GIULIANO</v>
      </c>
      <c r="Z1463" t="str">
        <f t="shared" si="206"/>
        <v>10.220.80.16</v>
      </c>
    </row>
    <row r="1464" spans="1:26" x14ac:dyDescent="0.25">
      <c r="A1464" t="s">
        <v>10</v>
      </c>
      <c r="B1464" t="s">
        <v>1063</v>
      </c>
      <c r="C1464" t="s">
        <v>2173</v>
      </c>
      <c r="D1464" t="s">
        <v>2174</v>
      </c>
      <c r="E1464" t="s">
        <v>2234</v>
      </c>
      <c r="F1464" t="s">
        <v>14</v>
      </c>
      <c r="G1464" t="s">
        <v>28</v>
      </c>
      <c r="H1464" t="s">
        <v>22</v>
      </c>
      <c r="I1464" t="s">
        <v>2243</v>
      </c>
      <c r="J1464" t="s">
        <v>2193</v>
      </c>
      <c r="K1464" t="str">
        <f t="shared" si="198"/>
        <v>1256.2</v>
      </c>
      <c r="N1464" t="str">
        <f t="shared" si="199"/>
        <v>HOLDING REGISTER</v>
      </c>
      <c r="O1464" t="str">
        <f t="shared" si="200"/>
        <v>BOOL</v>
      </c>
      <c r="P1464" t="str">
        <f t="shared" si="201"/>
        <v>JETFAN V2SX</v>
      </c>
      <c r="R1464" t="str">
        <f t="shared" si="202"/>
        <v>Allarme Orizzontalita'</v>
      </c>
      <c r="U1464" t="str">
        <f t="shared" si="203"/>
        <v>Allarme</v>
      </c>
      <c r="V1464" t="str">
        <f t="shared" si="204"/>
        <v>GALLERIA</v>
      </c>
      <c r="W1464" t="str">
        <f t="shared" si="205"/>
        <v>GALLERIA SAN GIULIANO</v>
      </c>
      <c r="Z1464" t="str">
        <f t="shared" si="206"/>
        <v>10.220.80.16</v>
      </c>
    </row>
    <row r="1465" spans="1:26" x14ac:dyDescent="0.25">
      <c r="A1465" t="s">
        <v>10</v>
      </c>
      <c r="B1465" t="s">
        <v>1063</v>
      </c>
      <c r="C1465" t="s">
        <v>2173</v>
      </c>
      <c r="D1465" t="s">
        <v>2174</v>
      </c>
      <c r="E1465" t="s">
        <v>2234</v>
      </c>
      <c r="F1465" t="s">
        <v>14</v>
      </c>
      <c r="G1465" t="s">
        <v>21</v>
      </c>
      <c r="H1465" t="s">
        <v>22</v>
      </c>
      <c r="I1465" t="s">
        <v>2244</v>
      </c>
      <c r="J1465" t="s">
        <v>2195</v>
      </c>
      <c r="K1465" t="str">
        <f t="shared" si="198"/>
        <v>1256.3</v>
      </c>
      <c r="N1465" t="str">
        <f t="shared" si="199"/>
        <v>HOLDING REGISTER</v>
      </c>
      <c r="O1465" t="str">
        <f t="shared" si="200"/>
        <v>BOOL</v>
      </c>
      <c r="P1465" t="str">
        <f t="shared" si="201"/>
        <v>JETFAN V2SX</v>
      </c>
      <c r="R1465" t="str">
        <f t="shared" si="202"/>
        <v>In Avviamento</v>
      </c>
      <c r="U1465" t="str">
        <f t="shared" si="203"/>
        <v>Stato</v>
      </c>
      <c r="V1465" t="str">
        <f t="shared" si="204"/>
        <v>GALLERIA</v>
      </c>
      <c r="W1465" t="str">
        <f t="shared" si="205"/>
        <v>GALLERIA SAN GIULIANO</v>
      </c>
      <c r="Z1465" t="str">
        <f t="shared" si="206"/>
        <v>10.220.80.16</v>
      </c>
    </row>
    <row r="1466" spans="1:26" x14ac:dyDescent="0.25">
      <c r="A1466" t="s">
        <v>10</v>
      </c>
      <c r="B1466" t="s">
        <v>1063</v>
      </c>
      <c r="C1466" t="s">
        <v>2173</v>
      </c>
      <c r="D1466" t="s">
        <v>2174</v>
      </c>
      <c r="E1466" t="s">
        <v>2234</v>
      </c>
      <c r="F1466" t="s">
        <v>14</v>
      </c>
      <c r="G1466" t="s">
        <v>21</v>
      </c>
      <c r="H1466" t="s">
        <v>22</v>
      </c>
      <c r="I1466" t="s">
        <v>2245</v>
      </c>
      <c r="J1466" t="s">
        <v>2197</v>
      </c>
      <c r="K1466" t="str">
        <f t="shared" si="198"/>
        <v>1256.4</v>
      </c>
      <c r="N1466" t="str">
        <f t="shared" si="199"/>
        <v>HOLDING REGISTER</v>
      </c>
      <c r="O1466" t="str">
        <f t="shared" si="200"/>
        <v>BOOL</v>
      </c>
      <c r="P1466" t="str">
        <f t="shared" si="201"/>
        <v>JETFAN V2SX</v>
      </c>
      <c r="R1466" t="str">
        <f t="shared" si="202"/>
        <v>In Marcia</v>
      </c>
      <c r="U1466" t="str">
        <f t="shared" si="203"/>
        <v>Stato</v>
      </c>
      <c r="V1466" t="str">
        <f t="shared" si="204"/>
        <v>GALLERIA</v>
      </c>
      <c r="W1466" t="str">
        <f t="shared" si="205"/>
        <v>GALLERIA SAN GIULIANO</v>
      </c>
      <c r="Z1466" t="str">
        <f t="shared" si="206"/>
        <v>10.220.80.16</v>
      </c>
    </row>
    <row r="1467" spans="1:26" x14ac:dyDescent="0.25">
      <c r="A1467" t="s">
        <v>10</v>
      </c>
      <c r="B1467" t="s">
        <v>1063</v>
      </c>
      <c r="C1467" t="s">
        <v>2173</v>
      </c>
      <c r="D1467" t="s">
        <v>2174</v>
      </c>
      <c r="E1467" t="s">
        <v>2234</v>
      </c>
      <c r="F1467" t="s">
        <v>14</v>
      </c>
      <c r="G1467" t="s">
        <v>21</v>
      </c>
      <c r="H1467" t="s">
        <v>22</v>
      </c>
      <c r="I1467" t="s">
        <v>2246</v>
      </c>
      <c r="J1467" t="s">
        <v>2199</v>
      </c>
      <c r="K1467" t="str">
        <f t="shared" si="198"/>
        <v>1256.5</v>
      </c>
      <c r="N1467" t="str">
        <f t="shared" si="199"/>
        <v>HOLDING REGISTER</v>
      </c>
      <c r="O1467" t="str">
        <f t="shared" si="200"/>
        <v>BOOL</v>
      </c>
      <c r="P1467" t="str">
        <f t="shared" si="201"/>
        <v>JETFAN V2SX</v>
      </c>
      <c r="R1467" t="str">
        <f t="shared" si="202"/>
        <v>In Arresto</v>
      </c>
      <c r="U1467" t="str">
        <f t="shared" si="203"/>
        <v>Stato</v>
      </c>
      <c r="V1467" t="str">
        <f t="shared" si="204"/>
        <v>GALLERIA</v>
      </c>
      <c r="W1467" t="str">
        <f t="shared" si="205"/>
        <v>GALLERIA SAN GIULIANO</v>
      </c>
      <c r="Z1467" t="str">
        <f t="shared" si="206"/>
        <v>10.220.80.16</v>
      </c>
    </row>
    <row r="1468" spans="1:26" x14ac:dyDescent="0.25">
      <c r="A1468" t="s">
        <v>10</v>
      </c>
      <c r="B1468" t="s">
        <v>1063</v>
      </c>
      <c r="C1468" t="s">
        <v>2173</v>
      </c>
      <c r="D1468" t="s">
        <v>2174</v>
      </c>
      <c r="E1468" t="s">
        <v>2234</v>
      </c>
      <c r="F1468" t="s">
        <v>14</v>
      </c>
      <c r="G1468" t="s">
        <v>21</v>
      </c>
      <c r="H1468" t="s">
        <v>22</v>
      </c>
      <c r="I1468" t="s">
        <v>2247</v>
      </c>
      <c r="J1468" t="s">
        <v>2201</v>
      </c>
      <c r="K1468" t="str">
        <f t="shared" si="198"/>
        <v>1256.6</v>
      </c>
      <c r="N1468" t="str">
        <f t="shared" si="199"/>
        <v>HOLDING REGISTER</v>
      </c>
      <c r="O1468" t="str">
        <f t="shared" si="200"/>
        <v>BOOL</v>
      </c>
      <c r="P1468" t="str">
        <f t="shared" si="201"/>
        <v>JETFAN V2SX</v>
      </c>
      <c r="R1468" t="str">
        <f t="shared" si="202"/>
        <v>Incluso Da Scada</v>
      </c>
      <c r="U1468" t="str">
        <f t="shared" si="203"/>
        <v>Stato</v>
      </c>
      <c r="V1468" t="str">
        <f t="shared" si="204"/>
        <v>GALLERIA</v>
      </c>
      <c r="W1468" t="str">
        <f t="shared" si="205"/>
        <v>GALLERIA SAN GIULIANO</v>
      </c>
      <c r="Z1468" t="str">
        <f t="shared" si="206"/>
        <v>10.220.80.16</v>
      </c>
    </row>
    <row r="1469" spans="1:26" x14ac:dyDescent="0.25">
      <c r="A1469" t="s">
        <v>10</v>
      </c>
      <c r="B1469" t="s">
        <v>1063</v>
      </c>
      <c r="C1469" t="s">
        <v>2173</v>
      </c>
      <c r="D1469" t="s">
        <v>2174</v>
      </c>
      <c r="E1469" t="s">
        <v>2234</v>
      </c>
      <c r="F1469" t="s">
        <v>14</v>
      </c>
      <c r="G1469" t="s">
        <v>21</v>
      </c>
      <c r="H1469" t="s">
        <v>22</v>
      </c>
      <c r="I1469" t="s">
        <v>2248</v>
      </c>
      <c r="J1469" t="s">
        <v>2203</v>
      </c>
      <c r="K1469" t="str">
        <f t="shared" si="198"/>
        <v>1256.7</v>
      </c>
      <c r="N1469" t="str">
        <f t="shared" si="199"/>
        <v>HOLDING REGISTER</v>
      </c>
      <c r="O1469" t="str">
        <f t="shared" si="200"/>
        <v>BOOL</v>
      </c>
      <c r="P1469" t="str">
        <f t="shared" si="201"/>
        <v>JETFAN V2SX</v>
      </c>
      <c r="R1469" t="str">
        <f t="shared" si="202"/>
        <v>In Manuale Da Scada</v>
      </c>
      <c r="U1469" t="str">
        <f t="shared" si="203"/>
        <v>Stato</v>
      </c>
      <c r="V1469" t="str">
        <f t="shared" si="204"/>
        <v>GALLERIA</v>
      </c>
      <c r="W1469" t="str">
        <f t="shared" si="205"/>
        <v>GALLERIA SAN GIULIANO</v>
      </c>
      <c r="Z1469" t="str">
        <f t="shared" si="206"/>
        <v>10.220.80.16</v>
      </c>
    </row>
    <row r="1470" spans="1:26" x14ac:dyDescent="0.25">
      <c r="A1470" t="s">
        <v>10</v>
      </c>
      <c r="B1470" t="s">
        <v>1063</v>
      </c>
      <c r="C1470" t="s">
        <v>2173</v>
      </c>
      <c r="D1470" t="s">
        <v>2174</v>
      </c>
      <c r="E1470" t="s">
        <v>2249</v>
      </c>
      <c r="F1470" t="s">
        <v>14</v>
      </c>
      <c r="G1470" t="s">
        <v>28</v>
      </c>
      <c r="H1470" t="s">
        <v>22</v>
      </c>
      <c r="I1470" t="s">
        <v>2250</v>
      </c>
      <c r="J1470" t="s">
        <v>2177</v>
      </c>
      <c r="K1470" t="str">
        <f t="shared" si="198"/>
        <v>1256.8</v>
      </c>
      <c r="N1470" t="str">
        <f t="shared" si="199"/>
        <v>HOLDING REGISTER</v>
      </c>
      <c r="O1470" t="str">
        <f t="shared" si="200"/>
        <v>BOOL</v>
      </c>
      <c r="P1470" t="str">
        <f t="shared" si="201"/>
        <v>JETFAN V3DX</v>
      </c>
      <c r="R1470" t="str">
        <f t="shared" si="202"/>
        <v>Intervento Protezione Motore</v>
      </c>
      <c r="U1470" t="str">
        <f t="shared" si="203"/>
        <v>Allarme</v>
      </c>
      <c r="V1470" t="str">
        <f t="shared" si="204"/>
        <v>GALLERIA</v>
      </c>
      <c r="W1470" t="str">
        <f t="shared" si="205"/>
        <v>GALLERIA SAN GIULIANO</v>
      </c>
      <c r="Z1470" t="str">
        <f t="shared" si="206"/>
        <v>10.220.80.16</v>
      </c>
    </row>
    <row r="1471" spans="1:26" x14ac:dyDescent="0.25">
      <c r="A1471" t="s">
        <v>10</v>
      </c>
      <c r="B1471" t="s">
        <v>1063</v>
      </c>
      <c r="C1471" t="s">
        <v>2173</v>
      </c>
      <c r="D1471" t="s">
        <v>2174</v>
      </c>
      <c r="E1471" t="s">
        <v>2249</v>
      </c>
      <c r="F1471" t="s">
        <v>14</v>
      </c>
      <c r="G1471" t="s">
        <v>28</v>
      </c>
      <c r="H1471" t="s">
        <v>22</v>
      </c>
      <c r="I1471" t="s">
        <v>2251</v>
      </c>
      <c r="J1471" t="s">
        <v>2179</v>
      </c>
      <c r="K1471" t="str">
        <f t="shared" si="198"/>
        <v>1256.9</v>
      </c>
      <c r="N1471" t="str">
        <f t="shared" si="199"/>
        <v>HOLDING REGISTER</v>
      </c>
      <c r="O1471" t="str">
        <f t="shared" si="200"/>
        <v>BOOL</v>
      </c>
      <c r="P1471" t="str">
        <f t="shared" si="201"/>
        <v>JETFAN V3DX</v>
      </c>
      <c r="R1471" t="str">
        <f t="shared" si="202"/>
        <v>Allarme Alimentazione</v>
      </c>
      <c r="U1471" t="str">
        <f t="shared" si="203"/>
        <v>Allarme</v>
      </c>
      <c r="V1471" t="str">
        <f t="shared" si="204"/>
        <v>GALLERIA</v>
      </c>
      <c r="W1471" t="str">
        <f t="shared" si="205"/>
        <v>GALLERIA SAN GIULIANO</v>
      </c>
      <c r="Z1471" t="str">
        <f t="shared" si="206"/>
        <v>10.220.80.16</v>
      </c>
    </row>
    <row r="1472" spans="1:26" x14ac:dyDescent="0.25">
      <c r="A1472" t="s">
        <v>10</v>
      </c>
      <c r="B1472" t="s">
        <v>1063</v>
      </c>
      <c r="C1472" t="s">
        <v>2173</v>
      </c>
      <c r="D1472" t="s">
        <v>2174</v>
      </c>
      <c r="E1472" t="s">
        <v>2249</v>
      </c>
      <c r="F1472" t="s">
        <v>14</v>
      </c>
      <c r="G1472" t="s">
        <v>28</v>
      </c>
      <c r="H1472" t="s">
        <v>22</v>
      </c>
      <c r="I1472" t="s">
        <v>2252</v>
      </c>
      <c r="J1472" t="s">
        <v>2181</v>
      </c>
      <c r="K1472" t="str">
        <f t="shared" si="198"/>
        <v>1256.10</v>
      </c>
      <c r="N1472" t="str">
        <f t="shared" si="199"/>
        <v>HOLDING REGISTER</v>
      </c>
      <c r="O1472" t="str">
        <f t="shared" si="200"/>
        <v>BOOL</v>
      </c>
      <c r="P1472" t="str">
        <f t="shared" si="201"/>
        <v>JETFAN V3DX</v>
      </c>
      <c r="R1472" t="str">
        <f t="shared" si="202"/>
        <v>Time Out Avviam. Dir. Nord</v>
      </c>
      <c r="U1472" t="str">
        <f t="shared" si="203"/>
        <v>Allarme</v>
      </c>
      <c r="V1472" t="str">
        <f t="shared" si="204"/>
        <v>GALLERIA</v>
      </c>
      <c r="W1472" t="str">
        <f t="shared" si="205"/>
        <v>GALLERIA SAN GIULIANO</v>
      </c>
      <c r="Z1472" t="str">
        <f t="shared" si="206"/>
        <v>10.220.80.16</v>
      </c>
    </row>
    <row r="1473" spans="1:26" x14ac:dyDescent="0.25">
      <c r="A1473" t="s">
        <v>10</v>
      </c>
      <c r="B1473" t="s">
        <v>1063</v>
      </c>
      <c r="C1473" t="s">
        <v>2173</v>
      </c>
      <c r="D1473" t="s">
        <v>2174</v>
      </c>
      <c r="E1473" t="s">
        <v>2249</v>
      </c>
      <c r="F1473" t="s">
        <v>14</v>
      </c>
      <c r="G1473" t="s">
        <v>28</v>
      </c>
      <c r="H1473" t="s">
        <v>22</v>
      </c>
      <c r="I1473" t="s">
        <v>2253</v>
      </c>
      <c r="J1473" t="s">
        <v>2183</v>
      </c>
      <c r="K1473" t="str">
        <f t="shared" si="198"/>
        <v>1256.11</v>
      </c>
      <c r="N1473" t="str">
        <f t="shared" si="199"/>
        <v>HOLDING REGISTER</v>
      </c>
      <c r="O1473" t="str">
        <f t="shared" si="200"/>
        <v>BOOL</v>
      </c>
      <c r="P1473" t="str">
        <f t="shared" si="201"/>
        <v>JETFAN V3DX</v>
      </c>
      <c r="R1473" t="str">
        <f t="shared" si="202"/>
        <v>Time Out Avviam. Dir. Sud</v>
      </c>
      <c r="U1473" t="str">
        <f t="shared" si="203"/>
        <v>Allarme</v>
      </c>
      <c r="V1473" t="str">
        <f t="shared" si="204"/>
        <v>GALLERIA</v>
      </c>
      <c r="W1473" t="str">
        <f t="shared" si="205"/>
        <v>GALLERIA SAN GIULIANO</v>
      </c>
      <c r="Z1473" t="str">
        <f t="shared" si="206"/>
        <v>10.220.80.16</v>
      </c>
    </row>
    <row r="1474" spans="1:26" x14ac:dyDescent="0.25">
      <c r="A1474" t="s">
        <v>10</v>
      </c>
      <c r="B1474" t="s">
        <v>1063</v>
      </c>
      <c r="C1474" t="s">
        <v>2173</v>
      </c>
      <c r="D1474" t="s">
        <v>2174</v>
      </c>
      <c r="E1474" t="s">
        <v>2249</v>
      </c>
      <c r="F1474" t="s">
        <v>14</v>
      </c>
      <c r="G1474" t="s">
        <v>28</v>
      </c>
      <c r="H1474" t="s">
        <v>22</v>
      </c>
      <c r="I1474" t="s">
        <v>2254</v>
      </c>
      <c r="J1474" t="s">
        <v>2185</v>
      </c>
      <c r="K1474" t="str">
        <f t="shared" si="198"/>
        <v>1256.12</v>
      </c>
      <c r="N1474" t="str">
        <f t="shared" si="199"/>
        <v>HOLDING REGISTER</v>
      </c>
      <c r="O1474" t="str">
        <f t="shared" si="200"/>
        <v>BOOL</v>
      </c>
      <c r="P1474" t="str">
        <f t="shared" si="201"/>
        <v>JETFAN V3DX</v>
      </c>
      <c r="R1474" t="str">
        <f t="shared" si="202"/>
        <v>Allarme Softstart/Differensiale</v>
      </c>
      <c r="U1474" t="str">
        <f t="shared" si="203"/>
        <v>Allarme</v>
      </c>
      <c r="V1474" t="str">
        <f t="shared" si="204"/>
        <v>GALLERIA</v>
      </c>
      <c r="W1474" t="str">
        <f t="shared" si="205"/>
        <v>GALLERIA SAN GIULIANO</v>
      </c>
      <c r="Z1474" t="str">
        <f t="shared" si="206"/>
        <v>10.220.80.16</v>
      </c>
    </row>
    <row r="1475" spans="1:26" x14ac:dyDescent="0.25">
      <c r="A1475" t="s">
        <v>10</v>
      </c>
      <c r="B1475" t="s">
        <v>1063</v>
      </c>
      <c r="C1475" t="s">
        <v>2173</v>
      </c>
      <c r="D1475" t="s">
        <v>2174</v>
      </c>
      <c r="E1475" t="s">
        <v>2249</v>
      </c>
      <c r="F1475" t="s">
        <v>14</v>
      </c>
      <c r="G1475" t="s">
        <v>28</v>
      </c>
      <c r="H1475" t="s">
        <v>22</v>
      </c>
      <c r="I1475" t="s">
        <v>2255</v>
      </c>
      <c r="J1475" t="s">
        <v>2187</v>
      </c>
      <c r="K1475" t="str">
        <f t="shared" ref="K1475:K1538" si="207">IF(I1475="","",I1475)</f>
        <v>1256.13</v>
      </c>
      <c r="N1475" t="str">
        <f t="shared" ref="N1475:N1538" si="208">IF(F1475="","",F1475)</f>
        <v>HOLDING REGISTER</v>
      </c>
      <c r="O1475" t="str">
        <f t="shared" ref="O1475:O1538" si="209">IF(H1475="","",H1475)</f>
        <v>BOOL</v>
      </c>
      <c r="P1475" t="str">
        <f t="shared" ref="P1475:P1538" si="210">_xlfn.CONCAT(D1475," ",E1475)</f>
        <v>JETFAN V3DX</v>
      </c>
      <c r="R1475" t="str">
        <f t="shared" ref="R1475:R1538" si="211">IF(J1475="","",J1475)</f>
        <v>Preallarme Vibrazione</v>
      </c>
      <c r="U1475" t="str">
        <f t="shared" ref="U1475:U1538" si="212">IF(G1475="","",G1475)</f>
        <v>Allarme</v>
      </c>
      <c r="V1475" t="str">
        <f t="shared" ref="V1475:V1538" si="213">IF(C1475="","",C1475)</f>
        <v>GALLERIA</v>
      </c>
      <c r="W1475" t="str">
        <f t="shared" ref="W1475:W1538" si="214">IF(B1475="","",B1475)</f>
        <v>GALLERIA SAN GIULIANO</v>
      </c>
      <c r="Z1475" t="str">
        <f t="shared" ref="Z1475:Z1538" si="215">IF(A1475="","",A1475)</f>
        <v>10.220.80.16</v>
      </c>
    </row>
    <row r="1476" spans="1:26" x14ac:dyDescent="0.25">
      <c r="A1476" t="s">
        <v>10</v>
      </c>
      <c r="B1476" t="s">
        <v>1063</v>
      </c>
      <c r="C1476" t="s">
        <v>2173</v>
      </c>
      <c r="D1476" t="s">
        <v>2174</v>
      </c>
      <c r="E1476" t="s">
        <v>2249</v>
      </c>
      <c r="F1476" t="s">
        <v>14</v>
      </c>
      <c r="G1476" t="s">
        <v>28</v>
      </c>
      <c r="H1476" t="s">
        <v>22</v>
      </c>
      <c r="I1476" t="s">
        <v>2256</v>
      </c>
      <c r="J1476" t="s">
        <v>2189</v>
      </c>
      <c r="K1476" t="str">
        <f t="shared" si="207"/>
        <v>1256.14</v>
      </c>
      <c r="N1476" t="str">
        <f t="shared" si="208"/>
        <v>HOLDING REGISTER</v>
      </c>
      <c r="O1476" t="str">
        <f t="shared" si="209"/>
        <v>BOOL</v>
      </c>
      <c r="P1476" t="str">
        <f t="shared" si="210"/>
        <v>JETFAN V3DX</v>
      </c>
      <c r="R1476" t="str">
        <f t="shared" si="211"/>
        <v>Allarme Vibrazione</v>
      </c>
      <c r="U1476" t="str">
        <f t="shared" si="212"/>
        <v>Allarme</v>
      </c>
      <c r="V1476" t="str">
        <f t="shared" si="213"/>
        <v>GALLERIA</v>
      </c>
      <c r="W1476" t="str">
        <f t="shared" si="214"/>
        <v>GALLERIA SAN GIULIANO</v>
      </c>
      <c r="Z1476" t="str">
        <f t="shared" si="215"/>
        <v>10.220.80.16</v>
      </c>
    </row>
    <row r="1477" spans="1:26" x14ac:dyDescent="0.25">
      <c r="A1477" t="s">
        <v>10</v>
      </c>
      <c r="B1477" t="s">
        <v>1063</v>
      </c>
      <c r="C1477" t="s">
        <v>2173</v>
      </c>
      <c r="D1477" t="s">
        <v>2174</v>
      </c>
      <c r="E1477" t="s">
        <v>2249</v>
      </c>
      <c r="F1477" t="s">
        <v>14</v>
      </c>
      <c r="G1477" t="s">
        <v>28</v>
      </c>
      <c r="H1477" t="s">
        <v>22</v>
      </c>
      <c r="I1477" t="s">
        <v>2257</v>
      </c>
      <c r="J1477" t="s">
        <v>2191</v>
      </c>
      <c r="K1477" t="str">
        <f t="shared" si="207"/>
        <v>1256.15</v>
      </c>
      <c r="N1477" t="str">
        <f t="shared" si="208"/>
        <v>HOLDING REGISTER</v>
      </c>
      <c r="O1477" t="str">
        <f t="shared" si="209"/>
        <v>BOOL</v>
      </c>
      <c r="P1477" t="str">
        <f t="shared" si="210"/>
        <v>JETFAN V3DX</v>
      </c>
      <c r="R1477" t="str">
        <f t="shared" si="211"/>
        <v>Sensore Vibrazioni Scollegato</v>
      </c>
      <c r="U1477" t="str">
        <f t="shared" si="212"/>
        <v>Allarme</v>
      </c>
      <c r="V1477" t="str">
        <f t="shared" si="213"/>
        <v>GALLERIA</v>
      </c>
      <c r="W1477" t="str">
        <f t="shared" si="214"/>
        <v>GALLERIA SAN GIULIANO</v>
      </c>
      <c r="Z1477" t="str">
        <f t="shared" si="215"/>
        <v>10.220.80.16</v>
      </c>
    </row>
    <row r="1478" spans="1:26" x14ac:dyDescent="0.25">
      <c r="A1478" t="s">
        <v>10</v>
      </c>
      <c r="B1478" t="s">
        <v>1063</v>
      </c>
      <c r="C1478" t="s">
        <v>2173</v>
      </c>
      <c r="D1478" t="s">
        <v>2174</v>
      </c>
      <c r="E1478" t="s">
        <v>2249</v>
      </c>
      <c r="F1478" t="s">
        <v>14</v>
      </c>
      <c r="G1478" t="s">
        <v>28</v>
      </c>
      <c r="H1478" t="s">
        <v>22</v>
      </c>
      <c r="I1478" t="s">
        <v>2258</v>
      </c>
      <c r="J1478" t="s">
        <v>2193</v>
      </c>
      <c r="K1478" t="str">
        <f t="shared" si="207"/>
        <v>1257.0</v>
      </c>
      <c r="N1478" t="str">
        <f t="shared" si="208"/>
        <v>HOLDING REGISTER</v>
      </c>
      <c r="O1478" t="str">
        <f t="shared" si="209"/>
        <v>BOOL</v>
      </c>
      <c r="P1478" t="str">
        <f t="shared" si="210"/>
        <v>JETFAN V3DX</v>
      </c>
      <c r="R1478" t="str">
        <f t="shared" si="211"/>
        <v>Allarme Orizzontalita'</v>
      </c>
      <c r="U1478" t="str">
        <f t="shared" si="212"/>
        <v>Allarme</v>
      </c>
      <c r="V1478" t="str">
        <f t="shared" si="213"/>
        <v>GALLERIA</v>
      </c>
      <c r="W1478" t="str">
        <f t="shared" si="214"/>
        <v>GALLERIA SAN GIULIANO</v>
      </c>
      <c r="Z1478" t="str">
        <f t="shared" si="215"/>
        <v>10.220.80.16</v>
      </c>
    </row>
    <row r="1479" spans="1:26" x14ac:dyDescent="0.25">
      <c r="A1479" t="s">
        <v>10</v>
      </c>
      <c r="B1479" t="s">
        <v>1063</v>
      </c>
      <c r="C1479" t="s">
        <v>2173</v>
      </c>
      <c r="D1479" t="s">
        <v>2174</v>
      </c>
      <c r="E1479" t="s">
        <v>2249</v>
      </c>
      <c r="F1479" t="s">
        <v>14</v>
      </c>
      <c r="G1479" t="s">
        <v>21</v>
      </c>
      <c r="H1479" t="s">
        <v>22</v>
      </c>
      <c r="I1479" t="s">
        <v>2259</v>
      </c>
      <c r="J1479" t="s">
        <v>2195</v>
      </c>
      <c r="K1479" t="str">
        <f t="shared" si="207"/>
        <v>1257.1</v>
      </c>
      <c r="N1479" t="str">
        <f t="shared" si="208"/>
        <v>HOLDING REGISTER</v>
      </c>
      <c r="O1479" t="str">
        <f t="shared" si="209"/>
        <v>BOOL</v>
      </c>
      <c r="P1479" t="str">
        <f t="shared" si="210"/>
        <v>JETFAN V3DX</v>
      </c>
      <c r="R1479" t="str">
        <f t="shared" si="211"/>
        <v>In Avviamento</v>
      </c>
      <c r="U1479" t="str">
        <f t="shared" si="212"/>
        <v>Stato</v>
      </c>
      <c r="V1479" t="str">
        <f t="shared" si="213"/>
        <v>GALLERIA</v>
      </c>
      <c r="W1479" t="str">
        <f t="shared" si="214"/>
        <v>GALLERIA SAN GIULIANO</v>
      </c>
      <c r="Z1479" t="str">
        <f t="shared" si="215"/>
        <v>10.220.80.16</v>
      </c>
    </row>
    <row r="1480" spans="1:26" x14ac:dyDescent="0.25">
      <c r="A1480" t="s">
        <v>10</v>
      </c>
      <c r="B1480" t="s">
        <v>1063</v>
      </c>
      <c r="C1480" t="s">
        <v>2173</v>
      </c>
      <c r="D1480" t="s">
        <v>2174</v>
      </c>
      <c r="E1480" t="s">
        <v>2249</v>
      </c>
      <c r="F1480" t="s">
        <v>14</v>
      </c>
      <c r="G1480" t="s">
        <v>21</v>
      </c>
      <c r="H1480" t="s">
        <v>22</v>
      </c>
      <c r="I1480" t="s">
        <v>2260</v>
      </c>
      <c r="J1480" t="s">
        <v>2197</v>
      </c>
      <c r="K1480" t="str">
        <f t="shared" si="207"/>
        <v>1257.2</v>
      </c>
      <c r="N1480" t="str">
        <f t="shared" si="208"/>
        <v>HOLDING REGISTER</v>
      </c>
      <c r="O1480" t="str">
        <f t="shared" si="209"/>
        <v>BOOL</v>
      </c>
      <c r="P1480" t="str">
        <f t="shared" si="210"/>
        <v>JETFAN V3DX</v>
      </c>
      <c r="R1480" t="str">
        <f t="shared" si="211"/>
        <v>In Marcia</v>
      </c>
      <c r="U1480" t="str">
        <f t="shared" si="212"/>
        <v>Stato</v>
      </c>
      <c r="V1480" t="str">
        <f t="shared" si="213"/>
        <v>GALLERIA</v>
      </c>
      <c r="W1480" t="str">
        <f t="shared" si="214"/>
        <v>GALLERIA SAN GIULIANO</v>
      </c>
      <c r="Z1480" t="str">
        <f t="shared" si="215"/>
        <v>10.220.80.16</v>
      </c>
    </row>
    <row r="1481" spans="1:26" x14ac:dyDescent="0.25">
      <c r="A1481" t="s">
        <v>10</v>
      </c>
      <c r="B1481" t="s">
        <v>1063</v>
      </c>
      <c r="C1481" t="s">
        <v>2173</v>
      </c>
      <c r="D1481" t="s">
        <v>2174</v>
      </c>
      <c r="E1481" t="s">
        <v>2249</v>
      </c>
      <c r="F1481" t="s">
        <v>14</v>
      </c>
      <c r="G1481" t="s">
        <v>21</v>
      </c>
      <c r="H1481" t="s">
        <v>22</v>
      </c>
      <c r="I1481" t="s">
        <v>2261</v>
      </c>
      <c r="J1481" t="s">
        <v>2199</v>
      </c>
      <c r="K1481" t="str">
        <f t="shared" si="207"/>
        <v>1257.3</v>
      </c>
      <c r="N1481" t="str">
        <f t="shared" si="208"/>
        <v>HOLDING REGISTER</v>
      </c>
      <c r="O1481" t="str">
        <f t="shared" si="209"/>
        <v>BOOL</v>
      </c>
      <c r="P1481" t="str">
        <f t="shared" si="210"/>
        <v>JETFAN V3DX</v>
      </c>
      <c r="R1481" t="str">
        <f t="shared" si="211"/>
        <v>In Arresto</v>
      </c>
      <c r="U1481" t="str">
        <f t="shared" si="212"/>
        <v>Stato</v>
      </c>
      <c r="V1481" t="str">
        <f t="shared" si="213"/>
        <v>GALLERIA</v>
      </c>
      <c r="W1481" t="str">
        <f t="shared" si="214"/>
        <v>GALLERIA SAN GIULIANO</v>
      </c>
      <c r="Z1481" t="str">
        <f t="shared" si="215"/>
        <v>10.220.80.16</v>
      </c>
    </row>
    <row r="1482" spans="1:26" x14ac:dyDescent="0.25">
      <c r="A1482" t="s">
        <v>10</v>
      </c>
      <c r="B1482" t="s">
        <v>1063</v>
      </c>
      <c r="C1482" t="s">
        <v>2173</v>
      </c>
      <c r="D1482" t="s">
        <v>2174</v>
      </c>
      <c r="E1482" t="s">
        <v>2249</v>
      </c>
      <c r="F1482" t="s">
        <v>14</v>
      </c>
      <c r="G1482" t="s">
        <v>21</v>
      </c>
      <c r="H1482" t="s">
        <v>22</v>
      </c>
      <c r="I1482" t="s">
        <v>2262</v>
      </c>
      <c r="J1482" t="s">
        <v>2201</v>
      </c>
      <c r="K1482" t="str">
        <f t="shared" si="207"/>
        <v>1257.4</v>
      </c>
      <c r="N1482" t="str">
        <f t="shared" si="208"/>
        <v>HOLDING REGISTER</v>
      </c>
      <c r="O1482" t="str">
        <f t="shared" si="209"/>
        <v>BOOL</v>
      </c>
      <c r="P1482" t="str">
        <f t="shared" si="210"/>
        <v>JETFAN V3DX</v>
      </c>
      <c r="R1482" t="str">
        <f t="shared" si="211"/>
        <v>Incluso Da Scada</v>
      </c>
      <c r="U1482" t="str">
        <f t="shared" si="212"/>
        <v>Stato</v>
      </c>
      <c r="V1482" t="str">
        <f t="shared" si="213"/>
        <v>GALLERIA</v>
      </c>
      <c r="W1482" t="str">
        <f t="shared" si="214"/>
        <v>GALLERIA SAN GIULIANO</v>
      </c>
      <c r="Z1482" t="str">
        <f t="shared" si="215"/>
        <v>10.220.80.16</v>
      </c>
    </row>
    <row r="1483" spans="1:26" x14ac:dyDescent="0.25">
      <c r="A1483" t="s">
        <v>10</v>
      </c>
      <c r="B1483" t="s">
        <v>1063</v>
      </c>
      <c r="C1483" t="s">
        <v>2173</v>
      </c>
      <c r="D1483" t="s">
        <v>2174</v>
      </c>
      <c r="E1483" t="s">
        <v>2249</v>
      </c>
      <c r="F1483" t="s">
        <v>14</v>
      </c>
      <c r="G1483" t="s">
        <v>21</v>
      </c>
      <c r="H1483" t="s">
        <v>22</v>
      </c>
      <c r="I1483" t="s">
        <v>2263</v>
      </c>
      <c r="J1483" t="s">
        <v>2203</v>
      </c>
      <c r="K1483" t="str">
        <f t="shared" si="207"/>
        <v>1257.5</v>
      </c>
      <c r="N1483" t="str">
        <f t="shared" si="208"/>
        <v>HOLDING REGISTER</v>
      </c>
      <c r="O1483" t="str">
        <f t="shared" si="209"/>
        <v>BOOL</v>
      </c>
      <c r="P1483" t="str">
        <f t="shared" si="210"/>
        <v>JETFAN V3DX</v>
      </c>
      <c r="R1483" t="str">
        <f t="shared" si="211"/>
        <v>In Manuale Da Scada</v>
      </c>
      <c r="U1483" t="str">
        <f t="shared" si="212"/>
        <v>Stato</v>
      </c>
      <c r="V1483" t="str">
        <f t="shared" si="213"/>
        <v>GALLERIA</v>
      </c>
      <c r="W1483" t="str">
        <f t="shared" si="214"/>
        <v>GALLERIA SAN GIULIANO</v>
      </c>
      <c r="Z1483" t="str">
        <f t="shared" si="215"/>
        <v>10.220.80.16</v>
      </c>
    </row>
    <row r="1484" spans="1:26" x14ac:dyDescent="0.25">
      <c r="A1484" t="s">
        <v>10</v>
      </c>
      <c r="B1484" t="s">
        <v>1063</v>
      </c>
      <c r="C1484" t="s">
        <v>2173</v>
      </c>
      <c r="D1484" t="s">
        <v>2174</v>
      </c>
      <c r="E1484" t="s">
        <v>2264</v>
      </c>
      <c r="F1484" t="s">
        <v>14</v>
      </c>
      <c r="G1484" t="s">
        <v>28</v>
      </c>
      <c r="H1484" t="s">
        <v>22</v>
      </c>
      <c r="I1484" t="s">
        <v>2265</v>
      </c>
      <c r="J1484" t="s">
        <v>2177</v>
      </c>
      <c r="K1484" t="str">
        <f t="shared" si="207"/>
        <v>1257.6</v>
      </c>
      <c r="N1484" t="str">
        <f t="shared" si="208"/>
        <v>HOLDING REGISTER</v>
      </c>
      <c r="O1484" t="str">
        <f t="shared" si="209"/>
        <v>BOOL</v>
      </c>
      <c r="P1484" t="str">
        <f t="shared" si="210"/>
        <v>JETFAN V3SX</v>
      </c>
      <c r="R1484" t="str">
        <f t="shared" si="211"/>
        <v>Intervento Protezione Motore</v>
      </c>
      <c r="U1484" t="str">
        <f t="shared" si="212"/>
        <v>Allarme</v>
      </c>
      <c r="V1484" t="str">
        <f t="shared" si="213"/>
        <v>GALLERIA</v>
      </c>
      <c r="W1484" t="str">
        <f t="shared" si="214"/>
        <v>GALLERIA SAN GIULIANO</v>
      </c>
      <c r="Z1484" t="str">
        <f t="shared" si="215"/>
        <v>10.220.80.16</v>
      </c>
    </row>
    <row r="1485" spans="1:26" x14ac:dyDescent="0.25">
      <c r="A1485" t="s">
        <v>10</v>
      </c>
      <c r="B1485" t="s">
        <v>1063</v>
      </c>
      <c r="C1485" t="s">
        <v>2173</v>
      </c>
      <c r="D1485" t="s">
        <v>2174</v>
      </c>
      <c r="E1485" t="s">
        <v>2264</v>
      </c>
      <c r="F1485" t="s">
        <v>14</v>
      </c>
      <c r="G1485" t="s">
        <v>28</v>
      </c>
      <c r="H1485" t="s">
        <v>22</v>
      </c>
      <c r="I1485" t="s">
        <v>2266</v>
      </c>
      <c r="J1485" t="s">
        <v>2179</v>
      </c>
      <c r="K1485" t="str">
        <f t="shared" si="207"/>
        <v>1257.7</v>
      </c>
      <c r="N1485" t="str">
        <f t="shared" si="208"/>
        <v>HOLDING REGISTER</v>
      </c>
      <c r="O1485" t="str">
        <f t="shared" si="209"/>
        <v>BOOL</v>
      </c>
      <c r="P1485" t="str">
        <f t="shared" si="210"/>
        <v>JETFAN V3SX</v>
      </c>
      <c r="R1485" t="str">
        <f t="shared" si="211"/>
        <v>Allarme Alimentazione</v>
      </c>
      <c r="U1485" t="str">
        <f t="shared" si="212"/>
        <v>Allarme</v>
      </c>
      <c r="V1485" t="str">
        <f t="shared" si="213"/>
        <v>GALLERIA</v>
      </c>
      <c r="W1485" t="str">
        <f t="shared" si="214"/>
        <v>GALLERIA SAN GIULIANO</v>
      </c>
      <c r="Z1485" t="str">
        <f t="shared" si="215"/>
        <v>10.220.80.16</v>
      </c>
    </row>
    <row r="1486" spans="1:26" x14ac:dyDescent="0.25">
      <c r="A1486" t="s">
        <v>10</v>
      </c>
      <c r="B1486" t="s">
        <v>1063</v>
      </c>
      <c r="C1486" t="s">
        <v>2173</v>
      </c>
      <c r="D1486" t="s">
        <v>2174</v>
      </c>
      <c r="E1486" t="s">
        <v>2264</v>
      </c>
      <c r="F1486" t="s">
        <v>14</v>
      </c>
      <c r="G1486" t="s">
        <v>28</v>
      </c>
      <c r="H1486" t="s">
        <v>22</v>
      </c>
      <c r="I1486" t="s">
        <v>2267</v>
      </c>
      <c r="J1486" t="s">
        <v>2181</v>
      </c>
      <c r="K1486" t="str">
        <f t="shared" si="207"/>
        <v>1257.8</v>
      </c>
      <c r="N1486" t="str">
        <f t="shared" si="208"/>
        <v>HOLDING REGISTER</v>
      </c>
      <c r="O1486" t="str">
        <f t="shared" si="209"/>
        <v>BOOL</v>
      </c>
      <c r="P1486" t="str">
        <f t="shared" si="210"/>
        <v>JETFAN V3SX</v>
      </c>
      <c r="R1486" t="str">
        <f t="shared" si="211"/>
        <v>Time Out Avviam. Dir. Nord</v>
      </c>
      <c r="U1486" t="str">
        <f t="shared" si="212"/>
        <v>Allarme</v>
      </c>
      <c r="V1486" t="str">
        <f t="shared" si="213"/>
        <v>GALLERIA</v>
      </c>
      <c r="W1486" t="str">
        <f t="shared" si="214"/>
        <v>GALLERIA SAN GIULIANO</v>
      </c>
      <c r="Z1486" t="str">
        <f t="shared" si="215"/>
        <v>10.220.80.16</v>
      </c>
    </row>
    <row r="1487" spans="1:26" x14ac:dyDescent="0.25">
      <c r="A1487" t="s">
        <v>10</v>
      </c>
      <c r="B1487" t="s">
        <v>1063</v>
      </c>
      <c r="C1487" t="s">
        <v>2173</v>
      </c>
      <c r="D1487" t="s">
        <v>2174</v>
      </c>
      <c r="E1487" t="s">
        <v>2264</v>
      </c>
      <c r="F1487" t="s">
        <v>14</v>
      </c>
      <c r="G1487" t="s">
        <v>28</v>
      </c>
      <c r="H1487" t="s">
        <v>22</v>
      </c>
      <c r="I1487" t="s">
        <v>2268</v>
      </c>
      <c r="J1487" t="s">
        <v>2183</v>
      </c>
      <c r="K1487" t="str">
        <f t="shared" si="207"/>
        <v>1257.9</v>
      </c>
      <c r="N1487" t="str">
        <f t="shared" si="208"/>
        <v>HOLDING REGISTER</v>
      </c>
      <c r="O1487" t="str">
        <f t="shared" si="209"/>
        <v>BOOL</v>
      </c>
      <c r="P1487" t="str">
        <f t="shared" si="210"/>
        <v>JETFAN V3SX</v>
      </c>
      <c r="R1487" t="str">
        <f t="shared" si="211"/>
        <v>Time Out Avviam. Dir. Sud</v>
      </c>
      <c r="U1487" t="str">
        <f t="shared" si="212"/>
        <v>Allarme</v>
      </c>
      <c r="V1487" t="str">
        <f t="shared" si="213"/>
        <v>GALLERIA</v>
      </c>
      <c r="W1487" t="str">
        <f t="shared" si="214"/>
        <v>GALLERIA SAN GIULIANO</v>
      </c>
      <c r="Z1487" t="str">
        <f t="shared" si="215"/>
        <v>10.220.80.16</v>
      </c>
    </row>
    <row r="1488" spans="1:26" x14ac:dyDescent="0.25">
      <c r="A1488" t="s">
        <v>10</v>
      </c>
      <c r="B1488" t="s">
        <v>1063</v>
      </c>
      <c r="C1488" t="s">
        <v>2173</v>
      </c>
      <c r="D1488" t="s">
        <v>2174</v>
      </c>
      <c r="E1488" t="s">
        <v>2264</v>
      </c>
      <c r="F1488" t="s">
        <v>14</v>
      </c>
      <c r="G1488" t="s">
        <v>28</v>
      </c>
      <c r="H1488" t="s">
        <v>22</v>
      </c>
      <c r="I1488" t="s">
        <v>2269</v>
      </c>
      <c r="J1488" t="s">
        <v>2185</v>
      </c>
      <c r="K1488" t="str">
        <f t="shared" si="207"/>
        <v>1257.10</v>
      </c>
      <c r="N1488" t="str">
        <f t="shared" si="208"/>
        <v>HOLDING REGISTER</v>
      </c>
      <c r="O1488" t="str">
        <f t="shared" si="209"/>
        <v>BOOL</v>
      </c>
      <c r="P1488" t="str">
        <f t="shared" si="210"/>
        <v>JETFAN V3SX</v>
      </c>
      <c r="R1488" t="str">
        <f t="shared" si="211"/>
        <v>Allarme Softstart/Differensiale</v>
      </c>
      <c r="U1488" t="str">
        <f t="shared" si="212"/>
        <v>Allarme</v>
      </c>
      <c r="V1488" t="str">
        <f t="shared" si="213"/>
        <v>GALLERIA</v>
      </c>
      <c r="W1488" t="str">
        <f t="shared" si="214"/>
        <v>GALLERIA SAN GIULIANO</v>
      </c>
      <c r="Z1488" t="str">
        <f t="shared" si="215"/>
        <v>10.220.80.16</v>
      </c>
    </row>
    <row r="1489" spans="1:26" x14ac:dyDescent="0.25">
      <c r="A1489" t="s">
        <v>10</v>
      </c>
      <c r="B1489" t="s">
        <v>1063</v>
      </c>
      <c r="C1489" t="s">
        <v>2173</v>
      </c>
      <c r="D1489" t="s">
        <v>2174</v>
      </c>
      <c r="E1489" t="s">
        <v>2264</v>
      </c>
      <c r="F1489" t="s">
        <v>14</v>
      </c>
      <c r="G1489" t="s">
        <v>28</v>
      </c>
      <c r="H1489" t="s">
        <v>22</v>
      </c>
      <c r="I1489" t="s">
        <v>2270</v>
      </c>
      <c r="J1489" t="s">
        <v>2187</v>
      </c>
      <c r="K1489" t="str">
        <f t="shared" si="207"/>
        <v>1257.11</v>
      </c>
      <c r="N1489" t="str">
        <f t="shared" si="208"/>
        <v>HOLDING REGISTER</v>
      </c>
      <c r="O1489" t="str">
        <f t="shared" si="209"/>
        <v>BOOL</v>
      </c>
      <c r="P1489" t="str">
        <f t="shared" si="210"/>
        <v>JETFAN V3SX</v>
      </c>
      <c r="R1489" t="str">
        <f t="shared" si="211"/>
        <v>Preallarme Vibrazione</v>
      </c>
      <c r="U1489" t="str">
        <f t="shared" si="212"/>
        <v>Allarme</v>
      </c>
      <c r="V1489" t="str">
        <f t="shared" si="213"/>
        <v>GALLERIA</v>
      </c>
      <c r="W1489" t="str">
        <f t="shared" si="214"/>
        <v>GALLERIA SAN GIULIANO</v>
      </c>
      <c r="Z1489" t="str">
        <f t="shared" si="215"/>
        <v>10.220.80.16</v>
      </c>
    </row>
    <row r="1490" spans="1:26" x14ac:dyDescent="0.25">
      <c r="A1490" t="s">
        <v>10</v>
      </c>
      <c r="B1490" t="s">
        <v>1063</v>
      </c>
      <c r="C1490" t="s">
        <v>2173</v>
      </c>
      <c r="D1490" t="s">
        <v>2174</v>
      </c>
      <c r="E1490" t="s">
        <v>2264</v>
      </c>
      <c r="F1490" t="s">
        <v>14</v>
      </c>
      <c r="G1490" t="s">
        <v>28</v>
      </c>
      <c r="H1490" t="s">
        <v>22</v>
      </c>
      <c r="I1490" t="s">
        <v>2271</v>
      </c>
      <c r="J1490" t="s">
        <v>2189</v>
      </c>
      <c r="K1490" t="str">
        <f t="shared" si="207"/>
        <v>1257.12</v>
      </c>
      <c r="N1490" t="str">
        <f t="shared" si="208"/>
        <v>HOLDING REGISTER</v>
      </c>
      <c r="O1490" t="str">
        <f t="shared" si="209"/>
        <v>BOOL</v>
      </c>
      <c r="P1490" t="str">
        <f t="shared" si="210"/>
        <v>JETFAN V3SX</v>
      </c>
      <c r="R1490" t="str">
        <f t="shared" si="211"/>
        <v>Allarme Vibrazione</v>
      </c>
      <c r="U1490" t="str">
        <f t="shared" si="212"/>
        <v>Allarme</v>
      </c>
      <c r="V1490" t="str">
        <f t="shared" si="213"/>
        <v>GALLERIA</v>
      </c>
      <c r="W1490" t="str">
        <f t="shared" si="214"/>
        <v>GALLERIA SAN GIULIANO</v>
      </c>
      <c r="Z1490" t="str">
        <f t="shared" si="215"/>
        <v>10.220.80.16</v>
      </c>
    </row>
    <row r="1491" spans="1:26" x14ac:dyDescent="0.25">
      <c r="A1491" t="s">
        <v>10</v>
      </c>
      <c r="B1491" t="s">
        <v>1063</v>
      </c>
      <c r="C1491" t="s">
        <v>2173</v>
      </c>
      <c r="D1491" t="s">
        <v>2174</v>
      </c>
      <c r="E1491" t="s">
        <v>2264</v>
      </c>
      <c r="F1491" t="s">
        <v>14</v>
      </c>
      <c r="G1491" t="s">
        <v>28</v>
      </c>
      <c r="H1491" t="s">
        <v>22</v>
      </c>
      <c r="I1491" t="s">
        <v>2272</v>
      </c>
      <c r="J1491" t="s">
        <v>2191</v>
      </c>
      <c r="K1491" t="str">
        <f t="shared" si="207"/>
        <v>1257.13</v>
      </c>
      <c r="N1491" t="str">
        <f t="shared" si="208"/>
        <v>HOLDING REGISTER</v>
      </c>
      <c r="O1491" t="str">
        <f t="shared" si="209"/>
        <v>BOOL</v>
      </c>
      <c r="P1491" t="str">
        <f t="shared" si="210"/>
        <v>JETFAN V3SX</v>
      </c>
      <c r="R1491" t="str">
        <f t="shared" si="211"/>
        <v>Sensore Vibrazioni Scollegato</v>
      </c>
      <c r="U1491" t="str">
        <f t="shared" si="212"/>
        <v>Allarme</v>
      </c>
      <c r="V1491" t="str">
        <f t="shared" si="213"/>
        <v>GALLERIA</v>
      </c>
      <c r="W1491" t="str">
        <f t="shared" si="214"/>
        <v>GALLERIA SAN GIULIANO</v>
      </c>
      <c r="Z1491" t="str">
        <f t="shared" si="215"/>
        <v>10.220.80.16</v>
      </c>
    </row>
    <row r="1492" spans="1:26" x14ac:dyDescent="0.25">
      <c r="A1492" t="s">
        <v>10</v>
      </c>
      <c r="B1492" t="s">
        <v>1063</v>
      </c>
      <c r="C1492" t="s">
        <v>2173</v>
      </c>
      <c r="D1492" t="s">
        <v>2174</v>
      </c>
      <c r="E1492" t="s">
        <v>2264</v>
      </c>
      <c r="F1492" t="s">
        <v>14</v>
      </c>
      <c r="G1492" t="s">
        <v>28</v>
      </c>
      <c r="H1492" t="s">
        <v>22</v>
      </c>
      <c r="I1492" t="s">
        <v>2273</v>
      </c>
      <c r="J1492" t="s">
        <v>2193</v>
      </c>
      <c r="K1492" t="str">
        <f t="shared" si="207"/>
        <v>1257.14</v>
      </c>
      <c r="N1492" t="str">
        <f t="shared" si="208"/>
        <v>HOLDING REGISTER</v>
      </c>
      <c r="O1492" t="str">
        <f t="shared" si="209"/>
        <v>BOOL</v>
      </c>
      <c r="P1492" t="str">
        <f t="shared" si="210"/>
        <v>JETFAN V3SX</v>
      </c>
      <c r="R1492" t="str">
        <f t="shared" si="211"/>
        <v>Allarme Orizzontalita'</v>
      </c>
      <c r="U1492" t="str">
        <f t="shared" si="212"/>
        <v>Allarme</v>
      </c>
      <c r="V1492" t="str">
        <f t="shared" si="213"/>
        <v>GALLERIA</v>
      </c>
      <c r="W1492" t="str">
        <f t="shared" si="214"/>
        <v>GALLERIA SAN GIULIANO</v>
      </c>
      <c r="Z1492" t="str">
        <f t="shared" si="215"/>
        <v>10.220.80.16</v>
      </c>
    </row>
    <row r="1493" spans="1:26" x14ac:dyDescent="0.25">
      <c r="A1493" t="s">
        <v>10</v>
      </c>
      <c r="B1493" t="s">
        <v>1063</v>
      </c>
      <c r="C1493" t="s">
        <v>2173</v>
      </c>
      <c r="D1493" t="s">
        <v>2174</v>
      </c>
      <c r="E1493" t="s">
        <v>2264</v>
      </c>
      <c r="F1493" t="s">
        <v>14</v>
      </c>
      <c r="G1493" t="s">
        <v>21</v>
      </c>
      <c r="H1493" t="s">
        <v>22</v>
      </c>
      <c r="I1493" t="s">
        <v>2274</v>
      </c>
      <c r="J1493" t="s">
        <v>2195</v>
      </c>
      <c r="K1493" t="str">
        <f t="shared" si="207"/>
        <v>1257.15</v>
      </c>
      <c r="N1493" t="str">
        <f t="shared" si="208"/>
        <v>HOLDING REGISTER</v>
      </c>
      <c r="O1493" t="str">
        <f t="shared" si="209"/>
        <v>BOOL</v>
      </c>
      <c r="P1493" t="str">
        <f t="shared" si="210"/>
        <v>JETFAN V3SX</v>
      </c>
      <c r="R1493" t="str">
        <f t="shared" si="211"/>
        <v>In Avviamento</v>
      </c>
      <c r="U1493" t="str">
        <f t="shared" si="212"/>
        <v>Stato</v>
      </c>
      <c r="V1493" t="str">
        <f t="shared" si="213"/>
        <v>GALLERIA</v>
      </c>
      <c r="W1493" t="str">
        <f t="shared" si="214"/>
        <v>GALLERIA SAN GIULIANO</v>
      </c>
      <c r="Z1493" t="str">
        <f t="shared" si="215"/>
        <v>10.220.80.16</v>
      </c>
    </row>
    <row r="1494" spans="1:26" x14ac:dyDescent="0.25">
      <c r="A1494" t="s">
        <v>10</v>
      </c>
      <c r="B1494" t="s">
        <v>1063</v>
      </c>
      <c r="C1494" t="s">
        <v>2173</v>
      </c>
      <c r="D1494" t="s">
        <v>2174</v>
      </c>
      <c r="E1494" t="s">
        <v>2264</v>
      </c>
      <c r="F1494" t="s">
        <v>14</v>
      </c>
      <c r="G1494" t="s">
        <v>21</v>
      </c>
      <c r="H1494" t="s">
        <v>22</v>
      </c>
      <c r="I1494" t="s">
        <v>2275</v>
      </c>
      <c r="J1494" t="s">
        <v>2197</v>
      </c>
      <c r="K1494" t="str">
        <f t="shared" si="207"/>
        <v>1258.0</v>
      </c>
      <c r="N1494" t="str">
        <f t="shared" si="208"/>
        <v>HOLDING REGISTER</v>
      </c>
      <c r="O1494" t="str">
        <f t="shared" si="209"/>
        <v>BOOL</v>
      </c>
      <c r="P1494" t="str">
        <f t="shared" si="210"/>
        <v>JETFAN V3SX</v>
      </c>
      <c r="R1494" t="str">
        <f t="shared" si="211"/>
        <v>In Marcia</v>
      </c>
      <c r="U1494" t="str">
        <f t="shared" si="212"/>
        <v>Stato</v>
      </c>
      <c r="V1494" t="str">
        <f t="shared" si="213"/>
        <v>GALLERIA</v>
      </c>
      <c r="W1494" t="str">
        <f t="shared" si="214"/>
        <v>GALLERIA SAN GIULIANO</v>
      </c>
      <c r="Z1494" t="str">
        <f t="shared" si="215"/>
        <v>10.220.80.16</v>
      </c>
    </row>
    <row r="1495" spans="1:26" x14ac:dyDescent="0.25">
      <c r="A1495" t="s">
        <v>10</v>
      </c>
      <c r="B1495" t="s">
        <v>1063</v>
      </c>
      <c r="C1495" t="s">
        <v>2173</v>
      </c>
      <c r="D1495" t="s">
        <v>2174</v>
      </c>
      <c r="E1495" t="s">
        <v>2264</v>
      </c>
      <c r="F1495" t="s">
        <v>14</v>
      </c>
      <c r="G1495" t="s">
        <v>21</v>
      </c>
      <c r="H1495" t="s">
        <v>22</v>
      </c>
      <c r="I1495" t="s">
        <v>2276</v>
      </c>
      <c r="J1495" t="s">
        <v>2199</v>
      </c>
      <c r="K1495" t="str">
        <f t="shared" si="207"/>
        <v>1258.1</v>
      </c>
      <c r="N1495" t="str">
        <f t="shared" si="208"/>
        <v>HOLDING REGISTER</v>
      </c>
      <c r="O1495" t="str">
        <f t="shared" si="209"/>
        <v>BOOL</v>
      </c>
      <c r="P1495" t="str">
        <f t="shared" si="210"/>
        <v>JETFAN V3SX</v>
      </c>
      <c r="R1495" t="str">
        <f t="shared" si="211"/>
        <v>In Arresto</v>
      </c>
      <c r="U1495" t="str">
        <f t="shared" si="212"/>
        <v>Stato</v>
      </c>
      <c r="V1495" t="str">
        <f t="shared" si="213"/>
        <v>GALLERIA</v>
      </c>
      <c r="W1495" t="str">
        <f t="shared" si="214"/>
        <v>GALLERIA SAN GIULIANO</v>
      </c>
      <c r="Z1495" t="str">
        <f t="shared" si="215"/>
        <v>10.220.80.16</v>
      </c>
    </row>
    <row r="1496" spans="1:26" x14ac:dyDescent="0.25">
      <c r="A1496" t="s">
        <v>10</v>
      </c>
      <c r="B1496" t="s">
        <v>1063</v>
      </c>
      <c r="C1496" t="s">
        <v>2173</v>
      </c>
      <c r="D1496" t="s">
        <v>2174</v>
      </c>
      <c r="E1496" t="s">
        <v>2264</v>
      </c>
      <c r="F1496" t="s">
        <v>14</v>
      </c>
      <c r="G1496" t="s">
        <v>21</v>
      </c>
      <c r="H1496" t="s">
        <v>22</v>
      </c>
      <c r="I1496" t="s">
        <v>2277</v>
      </c>
      <c r="J1496" t="s">
        <v>2201</v>
      </c>
      <c r="K1496" t="str">
        <f t="shared" si="207"/>
        <v>1258.2</v>
      </c>
      <c r="N1496" t="str">
        <f t="shared" si="208"/>
        <v>HOLDING REGISTER</v>
      </c>
      <c r="O1496" t="str">
        <f t="shared" si="209"/>
        <v>BOOL</v>
      </c>
      <c r="P1496" t="str">
        <f t="shared" si="210"/>
        <v>JETFAN V3SX</v>
      </c>
      <c r="R1496" t="str">
        <f t="shared" si="211"/>
        <v>Incluso Da Scada</v>
      </c>
      <c r="U1496" t="str">
        <f t="shared" si="212"/>
        <v>Stato</v>
      </c>
      <c r="V1496" t="str">
        <f t="shared" si="213"/>
        <v>GALLERIA</v>
      </c>
      <c r="W1496" t="str">
        <f t="shared" si="214"/>
        <v>GALLERIA SAN GIULIANO</v>
      </c>
      <c r="Z1496" t="str">
        <f t="shared" si="215"/>
        <v>10.220.80.16</v>
      </c>
    </row>
    <row r="1497" spans="1:26" x14ac:dyDescent="0.25">
      <c r="A1497" t="s">
        <v>10</v>
      </c>
      <c r="B1497" t="s">
        <v>1063</v>
      </c>
      <c r="C1497" t="s">
        <v>2173</v>
      </c>
      <c r="D1497" t="s">
        <v>2174</v>
      </c>
      <c r="E1497" t="s">
        <v>2264</v>
      </c>
      <c r="F1497" t="s">
        <v>14</v>
      </c>
      <c r="G1497" t="s">
        <v>21</v>
      </c>
      <c r="H1497" t="s">
        <v>22</v>
      </c>
      <c r="I1497" t="s">
        <v>2278</v>
      </c>
      <c r="J1497" t="s">
        <v>2203</v>
      </c>
      <c r="K1497" t="str">
        <f t="shared" si="207"/>
        <v>1258.3</v>
      </c>
      <c r="N1497" t="str">
        <f t="shared" si="208"/>
        <v>HOLDING REGISTER</v>
      </c>
      <c r="O1497" t="str">
        <f t="shared" si="209"/>
        <v>BOOL</v>
      </c>
      <c r="P1497" t="str">
        <f t="shared" si="210"/>
        <v>JETFAN V3SX</v>
      </c>
      <c r="R1497" t="str">
        <f t="shared" si="211"/>
        <v>In Manuale Da Scada</v>
      </c>
      <c r="U1497" t="str">
        <f t="shared" si="212"/>
        <v>Stato</v>
      </c>
      <c r="V1497" t="str">
        <f t="shared" si="213"/>
        <v>GALLERIA</v>
      </c>
      <c r="W1497" t="str">
        <f t="shared" si="214"/>
        <v>GALLERIA SAN GIULIANO</v>
      </c>
      <c r="Z1497" t="str">
        <f t="shared" si="215"/>
        <v>10.220.80.16</v>
      </c>
    </row>
    <row r="1498" spans="1:26" x14ac:dyDescent="0.25">
      <c r="A1498" t="s">
        <v>10</v>
      </c>
      <c r="B1498" t="s">
        <v>1063</v>
      </c>
      <c r="C1498" t="s">
        <v>2173</v>
      </c>
      <c r="D1498" t="s">
        <v>2174</v>
      </c>
      <c r="E1498" t="s">
        <v>2279</v>
      </c>
      <c r="F1498" t="s">
        <v>14</v>
      </c>
      <c r="G1498" t="s">
        <v>28</v>
      </c>
      <c r="H1498" t="s">
        <v>22</v>
      </c>
      <c r="I1498" t="s">
        <v>2280</v>
      </c>
      <c r="J1498" t="s">
        <v>2177</v>
      </c>
      <c r="K1498" t="str">
        <f t="shared" si="207"/>
        <v>1258.4</v>
      </c>
      <c r="N1498" t="str">
        <f t="shared" si="208"/>
        <v>HOLDING REGISTER</v>
      </c>
      <c r="O1498" t="str">
        <f t="shared" si="209"/>
        <v>BOOL</v>
      </c>
      <c r="P1498" t="str">
        <f t="shared" si="210"/>
        <v>JETFAN V4DX</v>
      </c>
      <c r="R1498" t="str">
        <f t="shared" si="211"/>
        <v>Intervento Protezione Motore</v>
      </c>
      <c r="U1498" t="str">
        <f t="shared" si="212"/>
        <v>Allarme</v>
      </c>
      <c r="V1498" t="str">
        <f t="shared" si="213"/>
        <v>GALLERIA</v>
      </c>
      <c r="W1498" t="str">
        <f t="shared" si="214"/>
        <v>GALLERIA SAN GIULIANO</v>
      </c>
      <c r="Z1498" t="str">
        <f t="shared" si="215"/>
        <v>10.220.80.16</v>
      </c>
    </row>
    <row r="1499" spans="1:26" x14ac:dyDescent="0.25">
      <c r="A1499" t="s">
        <v>10</v>
      </c>
      <c r="B1499" t="s">
        <v>1063</v>
      </c>
      <c r="C1499" t="s">
        <v>2173</v>
      </c>
      <c r="D1499" t="s">
        <v>2174</v>
      </c>
      <c r="E1499" t="s">
        <v>2279</v>
      </c>
      <c r="F1499" t="s">
        <v>14</v>
      </c>
      <c r="G1499" t="s">
        <v>28</v>
      </c>
      <c r="H1499" t="s">
        <v>22</v>
      </c>
      <c r="I1499" t="s">
        <v>2281</v>
      </c>
      <c r="J1499" t="s">
        <v>2179</v>
      </c>
      <c r="K1499" t="str">
        <f t="shared" si="207"/>
        <v>1258.5</v>
      </c>
      <c r="N1499" t="str">
        <f t="shared" si="208"/>
        <v>HOLDING REGISTER</v>
      </c>
      <c r="O1499" t="str">
        <f t="shared" si="209"/>
        <v>BOOL</v>
      </c>
      <c r="P1499" t="str">
        <f t="shared" si="210"/>
        <v>JETFAN V4DX</v>
      </c>
      <c r="R1499" t="str">
        <f t="shared" si="211"/>
        <v>Allarme Alimentazione</v>
      </c>
      <c r="U1499" t="str">
        <f t="shared" si="212"/>
        <v>Allarme</v>
      </c>
      <c r="V1499" t="str">
        <f t="shared" si="213"/>
        <v>GALLERIA</v>
      </c>
      <c r="W1499" t="str">
        <f t="shared" si="214"/>
        <v>GALLERIA SAN GIULIANO</v>
      </c>
      <c r="Z1499" t="str">
        <f t="shared" si="215"/>
        <v>10.220.80.16</v>
      </c>
    </row>
    <row r="1500" spans="1:26" x14ac:dyDescent="0.25">
      <c r="A1500" t="s">
        <v>10</v>
      </c>
      <c r="B1500" t="s">
        <v>1063</v>
      </c>
      <c r="C1500" t="s">
        <v>2173</v>
      </c>
      <c r="D1500" t="s">
        <v>2174</v>
      </c>
      <c r="E1500" t="s">
        <v>2279</v>
      </c>
      <c r="F1500" t="s">
        <v>14</v>
      </c>
      <c r="G1500" t="s">
        <v>28</v>
      </c>
      <c r="H1500" t="s">
        <v>22</v>
      </c>
      <c r="I1500" t="s">
        <v>2282</v>
      </c>
      <c r="J1500" t="s">
        <v>2181</v>
      </c>
      <c r="K1500" t="str">
        <f t="shared" si="207"/>
        <v>1258.6</v>
      </c>
      <c r="N1500" t="str">
        <f t="shared" si="208"/>
        <v>HOLDING REGISTER</v>
      </c>
      <c r="O1500" t="str">
        <f t="shared" si="209"/>
        <v>BOOL</v>
      </c>
      <c r="P1500" t="str">
        <f t="shared" si="210"/>
        <v>JETFAN V4DX</v>
      </c>
      <c r="R1500" t="str">
        <f t="shared" si="211"/>
        <v>Time Out Avviam. Dir. Nord</v>
      </c>
      <c r="U1500" t="str">
        <f t="shared" si="212"/>
        <v>Allarme</v>
      </c>
      <c r="V1500" t="str">
        <f t="shared" si="213"/>
        <v>GALLERIA</v>
      </c>
      <c r="W1500" t="str">
        <f t="shared" si="214"/>
        <v>GALLERIA SAN GIULIANO</v>
      </c>
      <c r="Z1500" t="str">
        <f t="shared" si="215"/>
        <v>10.220.80.16</v>
      </c>
    </row>
    <row r="1501" spans="1:26" x14ac:dyDescent="0.25">
      <c r="A1501" t="s">
        <v>10</v>
      </c>
      <c r="B1501" t="s">
        <v>1063</v>
      </c>
      <c r="C1501" t="s">
        <v>2173</v>
      </c>
      <c r="D1501" t="s">
        <v>2174</v>
      </c>
      <c r="E1501" t="s">
        <v>2279</v>
      </c>
      <c r="F1501" t="s">
        <v>14</v>
      </c>
      <c r="G1501" t="s">
        <v>28</v>
      </c>
      <c r="H1501" t="s">
        <v>22</v>
      </c>
      <c r="I1501" t="s">
        <v>2283</v>
      </c>
      <c r="J1501" t="s">
        <v>2183</v>
      </c>
      <c r="K1501" t="str">
        <f t="shared" si="207"/>
        <v>1258.7</v>
      </c>
      <c r="N1501" t="str">
        <f t="shared" si="208"/>
        <v>HOLDING REGISTER</v>
      </c>
      <c r="O1501" t="str">
        <f t="shared" si="209"/>
        <v>BOOL</v>
      </c>
      <c r="P1501" t="str">
        <f t="shared" si="210"/>
        <v>JETFAN V4DX</v>
      </c>
      <c r="R1501" t="str">
        <f t="shared" si="211"/>
        <v>Time Out Avviam. Dir. Sud</v>
      </c>
      <c r="U1501" t="str">
        <f t="shared" si="212"/>
        <v>Allarme</v>
      </c>
      <c r="V1501" t="str">
        <f t="shared" si="213"/>
        <v>GALLERIA</v>
      </c>
      <c r="W1501" t="str">
        <f t="shared" si="214"/>
        <v>GALLERIA SAN GIULIANO</v>
      </c>
      <c r="Z1501" t="str">
        <f t="shared" si="215"/>
        <v>10.220.80.16</v>
      </c>
    </row>
    <row r="1502" spans="1:26" x14ac:dyDescent="0.25">
      <c r="A1502" t="s">
        <v>10</v>
      </c>
      <c r="B1502" t="s">
        <v>1063</v>
      </c>
      <c r="C1502" t="s">
        <v>2173</v>
      </c>
      <c r="D1502" t="s">
        <v>2174</v>
      </c>
      <c r="E1502" t="s">
        <v>2279</v>
      </c>
      <c r="F1502" t="s">
        <v>14</v>
      </c>
      <c r="G1502" t="s">
        <v>28</v>
      </c>
      <c r="H1502" t="s">
        <v>22</v>
      </c>
      <c r="I1502" t="s">
        <v>2284</v>
      </c>
      <c r="J1502" t="s">
        <v>2185</v>
      </c>
      <c r="K1502" t="str">
        <f t="shared" si="207"/>
        <v>1258.8</v>
      </c>
      <c r="N1502" t="str">
        <f t="shared" si="208"/>
        <v>HOLDING REGISTER</v>
      </c>
      <c r="O1502" t="str">
        <f t="shared" si="209"/>
        <v>BOOL</v>
      </c>
      <c r="P1502" t="str">
        <f t="shared" si="210"/>
        <v>JETFAN V4DX</v>
      </c>
      <c r="R1502" t="str">
        <f t="shared" si="211"/>
        <v>Allarme Softstart/Differensiale</v>
      </c>
      <c r="U1502" t="str">
        <f t="shared" si="212"/>
        <v>Allarme</v>
      </c>
      <c r="V1502" t="str">
        <f t="shared" si="213"/>
        <v>GALLERIA</v>
      </c>
      <c r="W1502" t="str">
        <f t="shared" si="214"/>
        <v>GALLERIA SAN GIULIANO</v>
      </c>
      <c r="Z1502" t="str">
        <f t="shared" si="215"/>
        <v>10.220.80.16</v>
      </c>
    </row>
    <row r="1503" spans="1:26" x14ac:dyDescent="0.25">
      <c r="A1503" t="s">
        <v>10</v>
      </c>
      <c r="B1503" t="s">
        <v>1063</v>
      </c>
      <c r="C1503" t="s">
        <v>2173</v>
      </c>
      <c r="D1503" t="s">
        <v>2174</v>
      </c>
      <c r="E1503" t="s">
        <v>2279</v>
      </c>
      <c r="F1503" t="s">
        <v>14</v>
      </c>
      <c r="G1503" t="s">
        <v>28</v>
      </c>
      <c r="H1503" t="s">
        <v>22</v>
      </c>
      <c r="I1503" t="s">
        <v>2285</v>
      </c>
      <c r="J1503" t="s">
        <v>2187</v>
      </c>
      <c r="K1503" t="str">
        <f t="shared" si="207"/>
        <v>1258.9</v>
      </c>
      <c r="N1503" t="str">
        <f t="shared" si="208"/>
        <v>HOLDING REGISTER</v>
      </c>
      <c r="O1503" t="str">
        <f t="shared" si="209"/>
        <v>BOOL</v>
      </c>
      <c r="P1503" t="str">
        <f t="shared" si="210"/>
        <v>JETFAN V4DX</v>
      </c>
      <c r="R1503" t="str">
        <f t="shared" si="211"/>
        <v>Preallarme Vibrazione</v>
      </c>
      <c r="U1503" t="str">
        <f t="shared" si="212"/>
        <v>Allarme</v>
      </c>
      <c r="V1503" t="str">
        <f t="shared" si="213"/>
        <v>GALLERIA</v>
      </c>
      <c r="W1503" t="str">
        <f t="shared" si="214"/>
        <v>GALLERIA SAN GIULIANO</v>
      </c>
      <c r="Z1503" t="str">
        <f t="shared" si="215"/>
        <v>10.220.80.16</v>
      </c>
    </row>
    <row r="1504" spans="1:26" x14ac:dyDescent="0.25">
      <c r="A1504" t="s">
        <v>10</v>
      </c>
      <c r="B1504" t="s">
        <v>1063</v>
      </c>
      <c r="C1504" t="s">
        <v>2173</v>
      </c>
      <c r="D1504" t="s">
        <v>2174</v>
      </c>
      <c r="E1504" t="s">
        <v>2279</v>
      </c>
      <c r="F1504" t="s">
        <v>14</v>
      </c>
      <c r="G1504" t="s">
        <v>28</v>
      </c>
      <c r="H1504" t="s">
        <v>22</v>
      </c>
      <c r="I1504" t="s">
        <v>2286</v>
      </c>
      <c r="J1504" t="s">
        <v>2189</v>
      </c>
      <c r="K1504" t="str">
        <f t="shared" si="207"/>
        <v>1258.10</v>
      </c>
      <c r="N1504" t="str">
        <f t="shared" si="208"/>
        <v>HOLDING REGISTER</v>
      </c>
      <c r="O1504" t="str">
        <f t="shared" si="209"/>
        <v>BOOL</v>
      </c>
      <c r="P1504" t="str">
        <f t="shared" si="210"/>
        <v>JETFAN V4DX</v>
      </c>
      <c r="R1504" t="str">
        <f t="shared" si="211"/>
        <v>Allarme Vibrazione</v>
      </c>
      <c r="U1504" t="str">
        <f t="shared" si="212"/>
        <v>Allarme</v>
      </c>
      <c r="V1504" t="str">
        <f t="shared" si="213"/>
        <v>GALLERIA</v>
      </c>
      <c r="W1504" t="str">
        <f t="shared" si="214"/>
        <v>GALLERIA SAN GIULIANO</v>
      </c>
      <c r="Z1504" t="str">
        <f t="shared" si="215"/>
        <v>10.220.80.16</v>
      </c>
    </row>
    <row r="1505" spans="1:26" x14ac:dyDescent="0.25">
      <c r="A1505" t="s">
        <v>10</v>
      </c>
      <c r="B1505" t="s">
        <v>1063</v>
      </c>
      <c r="C1505" t="s">
        <v>2173</v>
      </c>
      <c r="D1505" t="s">
        <v>2174</v>
      </c>
      <c r="E1505" t="s">
        <v>2279</v>
      </c>
      <c r="F1505" t="s">
        <v>14</v>
      </c>
      <c r="G1505" t="s">
        <v>28</v>
      </c>
      <c r="H1505" t="s">
        <v>22</v>
      </c>
      <c r="I1505" t="s">
        <v>2287</v>
      </c>
      <c r="J1505" t="s">
        <v>2191</v>
      </c>
      <c r="K1505" t="str">
        <f t="shared" si="207"/>
        <v>1258.11</v>
      </c>
      <c r="N1505" t="str">
        <f t="shared" si="208"/>
        <v>HOLDING REGISTER</v>
      </c>
      <c r="O1505" t="str">
        <f t="shared" si="209"/>
        <v>BOOL</v>
      </c>
      <c r="P1505" t="str">
        <f t="shared" si="210"/>
        <v>JETFAN V4DX</v>
      </c>
      <c r="R1505" t="str">
        <f t="shared" si="211"/>
        <v>Sensore Vibrazioni Scollegato</v>
      </c>
      <c r="U1505" t="str">
        <f t="shared" si="212"/>
        <v>Allarme</v>
      </c>
      <c r="V1505" t="str">
        <f t="shared" si="213"/>
        <v>GALLERIA</v>
      </c>
      <c r="W1505" t="str">
        <f t="shared" si="214"/>
        <v>GALLERIA SAN GIULIANO</v>
      </c>
      <c r="Z1505" t="str">
        <f t="shared" si="215"/>
        <v>10.220.80.16</v>
      </c>
    </row>
    <row r="1506" spans="1:26" x14ac:dyDescent="0.25">
      <c r="A1506" t="s">
        <v>10</v>
      </c>
      <c r="B1506" t="s">
        <v>1063</v>
      </c>
      <c r="C1506" t="s">
        <v>2173</v>
      </c>
      <c r="D1506" t="s">
        <v>2174</v>
      </c>
      <c r="E1506" t="s">
        <v>2279</v>
      </c>
      <c r="F1506" t="s">
        <v>14</v>
      </c>
      <c r="G1506" t="s">
        <v>28</v>
      </c>
      <c r="H1506" t="s">
        <v>22</v>
      </c>
      <c r="I1506" t="s">
        <v>2288</v>
      </c>
      <c r="J1506" t="s">
        <v>2193</v>
      </c>
      <c r="K1506" t="str">
        <f t="shared" si="207"/>
        <v>1258.12</v>
      </c>
      <c r="N1506" t="str">
        <f t="shared" si="208"/>
        <v>HOLDING REGISTER</v>
      </c>
      <c r="O1506" t="str">
        <f t="shared" si="209"/>
        <v>BOOL</v>
      </c>
      <c r="P1506" t="str">
        <f t="shared" si="210"/>
        <v>JETFAN V4DX</v>
      </c>
      <c r="R1506" t="str">
        <f t="shared" si="211"/>
        <v>Allarme Orizzontalita'</v>
      </c>
      <c r="U1506" t="str">
        <f t="shared" si="212"/>
        <v>Allarme</v>
      </c>
      <c r="V1506" t="str">
        <f t="shared" si="213"/>
        <v>GALLERIA</v>
      </c>
      <c r="W1506" t="str">
        <f t="shared" si="214"/>
        <v>GALLERIA SAN GIULIANO</v>
      </c>
      <c r="Z1506" t="str">
        <f t="shared" si="215"/>
        <v>10.220.80.16</v>
      </c>
    </row>
    <row r="1507" spans="1:26" x14ac:dyDescent="0.25">
      <c r="A1507" t="s">
        <v>10</v>
      </c>
      <c r="B1507" t="s">
        <v>1063</v>
      </c>
      <c r="C1507" t="s">
        <v>2173</v>
      </c>
      <c r="D1507" t="s">
        <v>2174</v>
      </c>
      <c r="E1507" t="s">
        <v>2279</v>
      </c>
      <c r="F1507" t="s">
        <v>14</v>
      </c>
      <c r="G1507" t="s">
        <v>21</v>
      </c>
      <c r="H1507" t="s">
        <v>22</v>
      </c>
      <c r="I1507" t="s">
        <v>2289</v>
      </c>
      <c r="J1507" t="s">
        <v>2195</v>
      </c>
      <c r="K1507" t="str">
        <f t="shared" si="207"/>
        <v>1258.13</v>
      </c>
      <c r="N1507" t="str">
        <f t="shared" si="208"/>
        <v>HOLDING REGISTER</v>
      </c>
      <c r="O1507" t="str">
        <f t="shared" si="209"/>
        <v>BOOL</v>
      </c>
      <c r="P1507" t="str">
        <f t="shared" si="210"/>
        <v>JETFAN V4DX</v>
      </c>
      <c r="R1507" t="str">
        <f t="shared" si="211"/>
        <v>In Avviamento</v>
      </c>
      <c r="U1507" t="str">
        <f t="shared" si="212"/>
        <v>Stato</v>
      </c>
      <c r="V1507" t="str">
        <f t="shared" si="213"/>
        <v>GALLERIA</v>
      </c>
      <c r="W1507" t="str">
        <f t="shared" si="214"/>
        <v>GALLERIA SAN GIULIANO</v>
      </c>
      <c r="Z1507" t="str">
        <f t="shared" si="215"/>
        <v>10.220.80.16</v>
      </c>
    </row>
    <row r="1508" spans="1:26" x14ac:dyDescent="0.25">
      <c r="A1508" t="s">
        <v>10</v>
      </c>
      <c r="B1508" t="s">
        <v>1063</v>
      </c>
      <c r="C1508" t="s">
        <v>2173</v>
      </c>
      <c r="D1508" t="s">
        <v>2174</v>
      </c>
      <c r="E1508" t="s">
        <v>2279</v>
      </c>
      <c r="F1508" t="s">
        <v>14</v>
      </c>
      <c r="G1508" t="s">
        <v>21</v>
      </c>
      <c r="H1508" t="s">
        <v>22</v>
      </c>
      <c r="I1508" t="s">
        <v>2290</v>
      </c>
      <c r="J1508" t="s">
        <v>2197</v>
      </c>
      <c r="K1508" t="str">
        <f t="shared" si="207"/>
        <v>1258.14</v>
      </c>
      <c r="N1508" t="str">
        <f t="shared" si="208"/>
        <v>HOLDING REGISTER</v>
      </c>
      <c r="O1508" t="str">
        <f t="shared" si="209"/>
        <v>BOOL</v>
      </c>
      <c r="P1508" t="str">
        <f t="shared" si="210"/>
        <v>JETFAN V4DX</v>
      </c>
      <c r="R1508" t="str">
        <f t="shared" si="211"/>
        <v>In Marcia</v>
      </c>
      <c r="U1508" t="str">
        <f t="shared" si="212"/>
        <v>Stato</v>
      </c>
      <c r="V1508" t="str">
        <f t="shared" si="213"/>
        <v>GALLERIA</v>
      </c>
      <c r="W1508" t="str">
        <f t="shared" si="214"/>
        <v>GALLERIA SAN GIULIANO</v>
      </c>
      <c r="Z1508" t="str">
        <f t="shared" si="215"/>
        <v>10.220.80.16</v>
      </c>
    </row>
    <row r="1509" spans="1:26" x14ac:dyDescent="0.25">
      <c r="A1509" t="s">
        <v>10</v>
      </c>
      <c r="B1509" t="s">
        <v>1063</v>
      </c>
      <c r="C1509" t="s">
        <v>2173</v>
      </c>
      <c r="D1509" t="s">
        <v>2174</v>
      </c>
      <c r="E1509" t="s">
        <v>2279</v>
      </c>
      <c r="F1509" t="s">
        <v>14</v>
      </c>
      <c r="G1509" t="s">
        <v>21</v>
      </c>
      <c r="H1509" t="s">
        <v>22</v>
      </c>
      <c r="I1509" t="s">
        <v>2291</v>
      </c>
      <c r="J1509" t="s">
        <v>2199</v>
      </c>
      <c r="K1509" t="str">
        <f t="shared" si="207"/>
        <v>1258.15</v>
      </c>
      <c r="N1509" t="str">
        <f t="shared" si="208"/>
        <v>HOLDING REGISTER</v>
      </c>
      <c r="O1509" t="str">
        <f t="shared" si="209"/>
        <v>BOOL</v>
      </c>
      <c r="P1509" t="str">
        <f t="shared" si="210"/>
        <v>JETFAN V4DX</v>
      </c>
      <c r="R1509" t="str">
        <f t="shared" si="211"/>
        <v>In Arresto</v>
      </c>
      <c r="U1509" t="str">
        <f t="shared" si="212"/>
        <v>Stato</v>
      </c>
      <c r="V1509" t="str">
        <f t="shared" si="213"/>
        <v>GALLERIA</v>
      </c>
      <c r="W1509" t="str">
        <f t="shared" si="214"/>
        <v>GALLERIA SAN GIULIANO</v>
      </c>
      <c r="Z1509" t="str">
        <f t="shared" si="215"/>
        <v>10.220.80.16</v>
      </c>
    </row>
    <row r="1510" spans="1:26" x14ac:dyDescent="0.25">
      <c r="A1510" t="s">
        <v>10</v>
      </c>
      <c r="B1510" t="s">
        <v>1063</v>
      </c>
      <c r="C1510" t="s">
        <v>2173</v>
      </c>
      <c r="D1510" t="s">
        <v>2174</v>
      </c>
      <c r="E1510" t="s">
        <v>2279</v>
      </c>
      <c r="F1510" t="s">
        <v>14</v>
      </c>
      <c r="G1510" t="s">
        <v>21</v>
      </c>
      <c r="H1510" t="s">
        <v>22</v>
      </c>
      <c r="I1510" t="s">
        <v>2292</v>
      </c>
      <c r="J1510" t="s">
        <v>2201</v>
      </c>
      <c r="K1510" t="str">
        <f t="shared" si="207"/>
        <v>1259.0</v>
      </c>
      <c r="N1510" t="str">
        <f t="shared" si="208"/>
        <v>HOLDING REGISTER</v>
      </c>
      <c r="O1510" t="str">
        <f t="shared" si="209"/>
        <v>BOOL</v>
      </c>
      <c r="P1510" t="str">
        <f t="shared" si="210"/>
        <v>JETFAN V4DX</v>
      </c>
      <c r="R1510" t="str">
        <f t="shared" si="211"/>
        <v>Incluso Da Scada</v>
      </c>
      <c r="U1510" t="str">
        <f t="shared" si="212"/>
        <v>Stato</v>
      </c>
      <c r="V1510" t="str">
        <f t="shared" si="213"/>
        <v>GALLERIA</v>
      </c>
      <c r="W1510" t="str">
        <f t="shared" si="214"/>
        <v>GALLERIA SAN GIULIANO</v>
      </c>
      <c r="Z1510" t="str">
        <f t="shared" si="215"/>
        <v>10.220.80.16</v>
      </c>
    </row>
    <row r="1511" spans="1:26" x14ac:dyDescent="0.25">
      <c r="A1511" t="s">
        <v>10</v>
      </c>
      <c r="B1511" t="s">
        <v>1063</v>
      </c>
      <c r="C1511" t="s">
        <v>2173</v>
      </c>
      <c r="D1511" t="s">
        <v>2174</v>
      </c>
      <c r="E1511" t="s">
        <v>2279</v>
      </c>
      <c r="F1511" t="s">
        <v>14</v>
      </c>
      <c r="G1511" t="s">
        <v>21</v>
      </c>
      <c r="H1511" t="s">
        <v>22</v>
      </c>
      <c r="I1511" t="s">
        <v>2293</v>
      </c>
      <c r="J1511" t="s">
        <v>2203</v>
      </c>
      <c r="K1511" t="str">
        <f t="shared" si="207"/>
        <v>1259.1</v>
      </c>
      <c r="N1511" t="str">
        <f t="shared" si="208"/>
        <v>HOLDING REGISTER</v>
      </c>
      <c r="O1511" t="str">
        <f t="shared" si="209"/>
        <v>BOOL</v>
      </c>
      <c r="P1511" t="str">
        <f t="shared" si="210"/>
        <v>JETFAN V4DX</v>
      </c>
      <c r="R1511" t="str">
        <f t="shared" si="211"/>
        <v>In Manuale Da Scada</v>
      </c>
      <c r="U1511" t="str">
        <f t="shared" si="212"/>
        <v>Stato</v>
      </c>
      <c r="V1511" t="str">
        <f t="shared" si="213"/>
        <v>GALLERIA</v>
      </c>
      <c r="W1511" t="str">
        <f t="shared" si="214"/>
        <v>GALLERIA SAN GIULIANO</v>
      </c>
      <c r="Z1511" t="str">
        <f t="shared" si="215"/>
        <v>10.220.80.16</v>
      </c>
    </row>
    <row r="1512" spans="1:26" x14ac:dyDescent="0.25">
      <c r="A1512" t="s">
        <v>10</v>
      </c>
      <c r="B1512" t="s">
        <v>1063</v>
      </c>
      <c r="C1512" t="s">
        <v>2173</v>
      </c>
      <c r="D1512" t="s">
        <v>2174</v>
      </c>
      <c r="E1512" t="s">
        <v>2294</v>
      </c>
      <c r="F1512" t="s">
        <v>14</v>
      </c>
      <c r="G1512" t="s">
        <v>28</v>
      </c>
      <c r="H1512" t="s">
        <v>22</v>
      </c>
      <c r="I1512" t="s">
        <v>2295</v>
      </c>
      <c r="J1512" t="s">
        <v>2177</v>
      </c>
      <c r="K1512" t="str">
        <f t="shared" si="207"/>
        <v>1259.2</v>
      </c>
      <c r="N1512" t="str">
        <f t="shared" si="208"/>
        <v>HOLDING REGISTER</v>
      </c>
      <c r="O1512" t="str">
        <f t="shared" si="209"/>
        <v>BOOL</v>
      </c>
      <c r="P1512" t="str">
        <f t="shared" si="210"/>
        <v>JETFAN V4SX</v>
      </c>
      <c r="R1512" t="str">
        <f t="shared" si="211"/>
        <v>Intervento Protezione Motore</v>
      </c>
      <c r="U1512" t="str">
        <f t="shared" si="212"/>
        <v>Allarme</v>
      </c>
      <c r="V1512" t="str">
        <f t="shared" si="213"/>
        <v>GALLERIA</v>
      </c>
      <c r="W1512" t="str">
        <f t="shared" si="214"/>
        <v>GALLERIA SAN GIULIANO</v>
      </c>
      <c r="Z1512" t="str">
        <f t="shared" si="215"/>
        <v>10.220.80.16</v>
      </c>
    </row>
    <row r="1513" spans="1:26" x14ac:dyDescent="0.25">
      <c r="A1513" t="s">
        <v>10</v>
      </c>
      <c r="B1513" t="s">
        <v>1063</v>
      </c>
      <c r="C1513" t="s">
        <v>2173</v>
      </c>
      <c r="D1513" t="s">
        <v>2174</v>
      </c>
      <c r="E1513" t="s">
        <v>2294</v>
      </c>
      <c r="F1513" t="s">
        <v>14</v>
      </c>
      <c r="G1513" t="s">
        <v>28</v>
      </c>
      <c r="H1513" t="s">
        <v>22</v>
      </c>
      <c r="I1513" t="s">
        <v>2296</v>
      </c>
      <c r="J1513" t="s">
        <v>2179</v>
      </c>
      <c r="K1513" t="str">
        <f t="shared" si="207"/>
        <v>1259.3</v>
      </c>
      <c r="N1513" t="str">
        <f t="shared" si="208"/>
        <v>HOLDING REGISTER</v>
      </c>
      <c r="O1513" t="str">
        <f t="shared" si="209"/>
        <v>BOOL</v>
      </c>
      <c r="P1513" t="str">
        <f t="shared" si="210"/>
        <v>JETFAN V4SX</v>
      </c>
      <c r="R1513" t="str">
        <f t="shared" si="211"/>
        <v>Allarme Alimentazione</v>
      </c>
      <c r="U1513" t="str">
        <f t="shared" si="212"/>
        <v>Allarme</v>
      </c>
      <c r="V1513" t="str">
        <f t="shared" si="213"/>
        <v>GALLERIA</v>
      </c>
      <c r="W1513" t="str">
        <f t="shared" si="214"/>
        <v>GALLERIA SAN GIULIANO</v>
      </c>
      <c r="Z1513" t="str">
        <f t="shared" si="215"/>
        <v>10.220.80.16</v>
      </c>
    </row>
    <row r="1514" spans="1:26" x14ac:dyDescent="0.25">
      <c r="A1514" t="s">
        <v>10</v>
      </c>
      <c r="B1514" t="s">
        <v>1063</v>
      </c>
      <c r="C1514" t="s">
        <v>2173</v>
      </c>
      <c r="D1514" t="s">
        <v>2174</v>
      </c>
      <c r="E1514" t="s">
        <v>2294</v>
      </c>
      <c r="F1514" t="s">
        <v>14</v>
      </c>
      <c r="G1514" t="s">
        <v>28</v>
      </c>
      <c r="H1514" t="s">
        <v>22</v>
      </c>
      <c r="I1514" t="s">
        <v>2297</v>
      </c>
      <c r="J1514" t="s">
        <v>2181</v>
      </c>
      <c r="K1514" t="str">
        <f t="shared" si="207"/>
        <v>1259.4</v>
      </c>
      <c r="N1514" t="str">
        <f t="shared" si="208"/>
        <v>HOLDING REGISTER</v>
      </c>
      <c r="O1514" t="str">
        <f t="shared" si="209"/>
        <v>BOOL</v>
      </c>
      <c r="P1514" t="str">
        <f t="shared" si="210"/>
        <v>JETFAN V4SX</v>
      </c>
      <c r="R1514" t="str">
        <f t="shared" si="211"/>
        <v>Time Out Avviam. Dir. Nord</v>
      </c>
      <c r="U1514" t="str">
        <f t="shared" si="212"/>
        <v>Allarme</v>
      </c>
      <c r="V1514" t="str">
        <f t="shared" si="213"/>
        <v>GALLERIA</v>
      </c>
      <c r="W1514" t="str">
        <f t="shared" si="214"/>
        <v>GALLERIA SAN GIULIANO</v>
      </c>
      <c r="Z1514" t="str">
        <f t="shared" si="215"/>
        <v>10.220.80.16</v>
      </c>
    </row>
    <row r="1515" spans="1:26" x14ac:dyDescent="0.25">
      <c r="A1515" t="s">
        <v>10</v>
      </c>
      <c r="B1515" t="s">
        <v>1063</v>
      </c>
      <c r="C1515" t="s">
        <v>2173</v>
      </c>
      <c r="D1515" t="s">
        <v>2174</v>
      </c>
      <c r="E1515" t="s">
        <v>2294</v>
      </c>
      <c r="F1515" t="s">
        <v>14</v>
      </c>
      <c r="G1515" t="s">
        <v>28</v>
      </c>
      <c r="H1515" t="s">
        <v>22</v>
      </c>
      <c r="I1515" t="s">
        <v>2298</v>
      </c>
      <c r="J1515" t="s">
        <v>2183</v>
      </c>
      <c r="K1515" t="str">
        <f t="shared" si="207"/>
        <v>1259.5</v>
      </c>
      <c r="N1515" t="str">
        <f t="shared" si="208"/>
        <v>HOLDING REGISTER</v>
      </c>
      <c r="O1515" t="str">
        <f t="shared" si="209"/>
        <v>BOOL</v>
      </c>
      <c r="P1515" t="str">
        <f t="shared" si="210"/>
        <v>JETFAN V4SX</v>
      </c>
      <c r="R1515" t="str">
        <f t="shared" si="211"/>
        <v>Time Out Avviam. Dir. Sud</v>
      </c>
      <c r="U1515" t="str">
        <f t="shared" si="212"/>
        <v>Allarme</v>
      </c>
      <c r="V1515" t="str">
        <f t="shared" si="213"/>
        <v>GALLERIA</v>
      </c>
      <c r="W1515" t="str">
        <f t="shared" si="214"/>
        <v>GALLERIA SAN GIULIANO</v>
      </c>
      <c r="Z1515" t="str">
        <f t="shared" si="215"/>
        <v>10.220.80.16</v>
      </c>
    </row>
    <row r="1516" spans="1:26" x14ac:dyDescent="0.25">
      <c r="A1516" t="s">
        <v>10</v>
      </c>
      <c r="B1516" t="s">
        <v>1063</v>
      </c>
      <c r="C1516" t="s">
        <v>2173</v>
      </c>
      <c r="D1516" t="s">
        <v>2174</v>
      </c>
      <c r="E1516" t="s">
        <v>2294</v>
      </c>
      <c r="F1516" t="s">
        <v>14</v>
      </c>
      <c r="G1516" t="s">
        <v>28</v>
      </c>
      <c r="H1516" t="s">
        <v>22</v>
      </c>
      <c r="I1516" t="s">
        <v>2299</v>
      </c>
      <c r="J1516" t="s">
        <v>2185</v>
      </c>
      <c r="K1516" t="str">
        <f t="shared" si="207"/>
        <v>1259.6</v>
      </c>
      <c r="N1516" t="str">
        <f t="shared" si="208"/>
        <v>HOLDING REGISTER</v>
      </c>
      <c r="O1516" t="str">
        <f t="shared" si="209"/>
        <v>BOOL</v>
      </c>
      <c r="P1516" t="str">
        <f t="shared" si="210"/>
        <v>JETFAN V4SX</v>
      </c>
      <c r="R1516" t="str">
        <f t="shared" si="211"/>
        <v>Allarme Softstart/Differensiale</v>
      </c>
      <c r="U1516" t="str">
        <f t="shared" si="212"/>
        <v>Allarme</v>
      </c>
      <c r="V1516" t="str">
        <f t="shared" si="213"/>
        <v>GALLERIA</v>
      </c>
      <c r="W1516" t="str">
        <f t="shared" si="214"/>
        <v>GALLERIA SAN GIULIANO</v>
      </c>
      <c r="Z1516" t="str">
        <f t="shared" si="215"/>
        <v>10.220.80.16</v>
      </c>
    </row>
    <row r="1517" spans="1:26" x14ac:dyDescent="0.25">
      <c r="A1517" t="s">
        <v>10</v>
      </c>
      <c r="B1517" t="s">
        <v>1063</v>
      </c>
      <c r="C1517" t="s">
        <v>2173</v>
      </c>
      <c r="D1517" t="s">
        <v>2174</v>
      </c>
      <c r="E1517" t="s">
        <v>2294</v>
      </c>
      <c r="F1517" t="s">
        <v>14</v>
      </c>
      <c r="G1517" t="s">
        <v>28</v>
      </c>
      <c r="H1517" t="s">
        <v>22</v>
      </c>
      <c r="I1517" t="s">
        <v>2300</v>
      </c>
      <c r="J1517" t="s">
        <v>2187</v>
      </c>
      <c r="K1517" t="str">
        <f t="shared" si="207"/>
        <v>1259.7</v>
      </c>
      <c r="N1517" t="str">
        <f t="shared" si="208"/>
        <v>HOLDING REGISTER</v>
      </c>
      <c r="O1517" t="str">
        <f t="shared" si="209"/>
        <v>BOOL</v>
      </c>
      <c r="P1517" t="str">
        <f t="shared" si="210"/>
        <v>JETFAN V4SX</v>
      </c>
      <c r="R1517" t="str">
        <f t="shared" si="211"/>
        <v>Preallarme Vibrazione</v>
      </c>
      <c r="U1517" t="str">
        <f t="shared" si="212"/>
        <v>Allarme</v>
      </c>
      <c r="V1517" t="str">
        <f t="shared" si="213"/>
        <v>GALLERIA</v>
      </c>
      <c r="W1517" t="str">
        <f t="shared" si="214"/>
        <v>GALLERIA SAN GIULIANO</v>
      </c>
      <c r="Z1517" t="str">
        <f t="shared" si="215"/>
        <v>10.220.80.16</v>
      </c>
    </row>
    <row r="1518" spans="1:26" x14ac:dyDescent="0.25">
      <c r="A1518" t="s">
        <v>10</v>
      </c>
      <c r="B1518" t="s">
        <v>1063</v>
      </c>
      <c r="C1518" t="s">
        <v>2173</v>
      </c>
      <c r="D1518" t="s">
        <v>2174</v>
      </c>
      <c r="E1518" t="s">
        <v>2294</v>
      </c>
      <c r="F1518" t="s">
        <v>14</v>
      </c>
      <c r="G1518" t="s">
        <v>28</v>
      </c>
      <c r="H1518" t="s">
        <v>22</v>
      </c>
      <c r="I1518" t="s">
        <v>2301</v>
      </c>
      <c r="J1518" t="s">
        <v>2189</v>
      </c>
      <c r="K1518" t="str">
        <f t="shared" si="207"/>
        <v>1259.8</v>
      </c>
      <c r="N1518" t="str">
        <f t="shared" si="208"/>
        <v>HOLDING REGISTER</v>
      </c>
      <c r="O1518" t="str">
        <f t="shared" si="209"/>
        <v>BOOL</v>
      </c>
      <c r="P1518" t="str">
        <f t="shared" si="210"/>
        <v>JETFAN V4SX</v>
      </c>
      <c r="R1518" t="str">
        <f t="shared" si="211"/>
        <v>Allarme Vibrazione</v>
      </c>
      <c r="U1518" t="str">
        <f t="shared" si="212"/>
        <v>Allarme</v>
      </c>
      <c r="V1518" t="str">
        <f t="shared" si="213"/>
        <v>GALLERIA</v>
      </c>
      <c r="W1518" t="str">
        <f t="shared" si="214"/>
        <v>GALLERIA SAN GIULIANO</v>
      </c>
      <c r="Z1518" t="str">
        <f t="shared" si="215"/>
        <v>10.220.80.16</v>
      </c>
    </row>
    <row r="1519" spans="1:26" x14ac:dyDescent="0.25">
      <c r="A1519" t="s">
        <v>10</v>
      </c>
      <c r="B1519" t="s">
        <v>1063</v>
      </c>
      <c r="C1519" t="s">
        <v>2173</v>
      </c>
      <c r="D1519" t="s">
        <v>2174</v>
      </c>
      <c r="E1519" t="s">
        <v>2294</v>
      </c>
      <c r="F1519" t="s">
        <v>14</v>
      </c>
      <c r="G1519" t="s">
        <v>28</v>
      </c>
      <c r="H1519" t="s">
        <v>22</v>
      </c>
      <c r="I1519" t="s">
        <v>2302</v>
      </c>
      <c r="J1519" t="s">
        <v>2191</v>
      </c>
      <c r="K1519" t="str">
        <f t="shared" si="207"/>
        <v>1259.9</v>
      </c>
      <c r="N1519" t="str">
        <f t="shared" si="208"/>
        <v>HOLDING REGISTER</v>
      </c>
      <c r="O1519" t="str">
        <f t="shared" si="209"/>
        <v>BOOL</v>
      </c>
      <c r="P1519" t="str">
        <f t="shared" si="210"/>
        <v>JETFAN V4SX</v>
      </c>
      <c r="R1519" t="str">
        <f t="shared" si="211"/>
        <v>Sensore Vibrazioni Scollegato</v>
      </c>
      <c r="U1519" t="str">
        <f t="shared" si="212"/>
        <v>Allarme</v>
      </c>
      <c r="V1519" t="str">
        <f t="shared" si="213"/>
        <v>GALLERIA</v>
      </c>
      <c r="W1519" t="str">
        <f t="shared" si="214"/>
        <v>GALLERIA SAN GIULIANO</v>
      </c>
      <c r="Z1519" t="str">
        <f t="shared" si="215"/>
        <v>10.220.80.16</v>
      </c>
    </row>
    <row r="1520" spans="1:26" x14ac:dyDescent="0.25">
      <c r="A1520" t="s">
        <v>10</v>
      </c>
      <c r="B1520" t="s">
        <v>1063</v>
      </c>
      <c r="C1520" t="s">
        <v>2173</v>
      </c>
      <c r="D1520" t="s">
        <v>2174</v>
      </c>
      <c r="E1520" t="s">
        <v>2294</v>
      </c>
      <c r="F1520" t="s">
        <v>14</v>
      </c>
      <c r="G1520" t="s">
        <v>28</v>
      </c>
      <c r="H1520" t="s">
        <v>22</v>
      </c>
      <c r="I1520" t="s">
        <v>2303</v>
      </c>
      <c r="J1520" t="s">
        <v>2193</v>
      </c>
      <c r="K1520" t="str">
        <f t="shared" si="207"/>
        <v>1259.10</v>
      </c>
      <c r="N1520" t="str">
        <f t="shared" si="208"/>
        <v>HOLDING REGISTER</v>
      </c>
      <c r="O1520" t="str">
        <f t="shared" si="209"/>
        <v>BOOL</v>
      </c>
      <c r="P1520" t="str">
        <f t="shared" si="210"/>
        <v>JETFAN V4SX</v>
      </c>
      <c r="R1520" t="str">
        <f t="shared" si="211"/>
        <v>Allarme Orizzontalita'</v>
      </c>
      <c r="U1520" t="str">
        <f t="shared" si="212"/>
        <v>Allarme</v>
      </c>
      <c r="V1520" t="str">
        <f t="shared" si="213"/>
        <v>GALLERIA</v>
      </c>
      <c r="W1520" t="str">
        <f t="shared" si="214"/>
        <v>GALLERIA SAN GIULIANO</v>
      </c>
      <c r="Z1520" t="str">
        <f t="shared" si="215"/>
        <v>10.220.80.16</v>
      </c>
    </row>
    <row r="1521" spans="1:26" x14ac:dyDescent="0.25">
      <c r="A1521" t="s">
        <v>10</v>
      </c>
      <c r="B1521" t="s">
        <v>1063</v>
      </c>
      <c r="C1521" t="s">
        <v>2173</v>
      </c>
      <c r="D1521" t="s">
        <v>2174</v>
      </c>
      <c r="E1521" t="s">
        <v>2294</v>
      </c>
      <c r="F1521" t="s">
        <v>14</v>
      </c>
      <c r="G1521" t="s">
        <v>21</v>
      </c>
      <c r="H1521" t="s">
        <v>22</v>
      </c>
      <c r="I1521" t="s">
        <v>2304</v>
      </c>
      <c r="J1521" t="s">
        <v>2195</v>
      </c>
      <c r="K1521" t="str">
        <f t="shared" si="207"/>
        <v>1259.11</v>
      </c>
      <c r="N1521" t="str">
        <f t="shared" si="208"/>
        <v>HOLDING REGISTER</v>
      </c>
      <c r="O1521" t="str">
        <f t="shared" si="209"/>
        <v>BOOL</v>
      </c>
      <c r="P1521" t="str">
        <f t="shared" si="210"/>
        <v>JETFAN V4SX</v>
      </c>
      <c r="R1521" t="str">
        <f t="shared" si="211"/>
        <v>In Avviamento</v>
      </c>
      <c r="U1521" t="str">
        <f t="shared" si="212"/>
        <v>Stato</v>
      </c>
      <c r="V1521" t="str">
        <f t="shared" si="213"/>
        <v>GALLERIA</v>
      </c>
      <c r="W1521" t="str">
        <f t="shared" si="214"/>
        <v>GALLERIA SAN GIULIANO</v>
      </c>
      <c r="Z1521" t="str">
        <f t="shared" si="215"/>
        <v>10.220.80.16</v>
      </c>
    </row>
    <row r="1522" spans="1:26" x14ac:dyDescent="0.25">
      <c r="A1522" t="s">
        <v>10</v>
      </c>
      <c r="B1522" t="s">
        <v>1063</v>
      </c>
      <c r="C1522" t="s">
        <v>2173</v>
      </c>
      <c r="D1522" t="s">
        <v>2174</v>
      </c>
      <c r="E1522" t="s">
        <v>2294</v>
      </c>
      <c r="F1522" t="s">
        <v>14</v>
      </c>
      <c r="G1522" t="s">
        <v>21</v>
      </c>
      <c r="H1522" t="s">
        <v>22</v>
      </c>
      <c r="I1522" t="s">
        <v>2305</v>
      </c>
      <c r="J1522" t="s">
        <v>2197</v>
      </c>
      <c r="K1522" t="str">
        <f t="shared" si="207"/>
        <v>1259.12</v>
      </c>
      <c r="N1522" t="str">
        <f t="shared" si="208"/>
        <v>HOLDING REGISTER</v>
      </c>
      <c r="O1522" t="str">
        <f t="shared" si="209"/>
        <v>BOOL</v>
      </c>
      <c r="P1522" t="str">
        <f t="shared" si="210"/>
        <v>JETFAN V4SX</v>
      </c>
      <c r="R1522" t="str">
        <f t="shared" si="211"/>
        <v>In Marcia</v>
      </c>
      <c r="U1522" t="str">
        <f t="shared" si="212"/>
        <v>Stato</v>
      </c>
      <c r="V1522" t="str">
        <f t="shared" si="213"/>
        <v>GALLERIA</v>
      </c>
      <c r="W1522" t="str">
        <f t="shared" si="214"/>
        <v>GALLERIA SAN GIULIANO</v>
      </c>
      <c r="Z1522" t="str">
        <f t="shared" si="215"/>
        <v>10.220.80.16</v>
      </c>
    </row>
    <row r="1523" spans="1:26" x14ac:dyDescent="0.25">
      <c r="A1523" t="s">
        <v>10</v>
      </c>
      <c r="B1523" t="s">
        <v>1063</v>
      </c>
      <c r="C1523" t="s">
        <v>2173</v>
      </c>
      <c r="D1523" t="s">
        <v>2174</v>
      </c>
      <c r="E1523" t="s">
        <v>2294</v>
      </c>
      <c r="F1523" t="s">
        <v>14</v>
      </c>
      <c r="G1523" t="s">
        <v>21</v>
      </c>
      <c r="H1523" t="s">
        <v>22</v>
      </c>
      <c r="I1523" t="s">
        <v>2306</v>
      </c>
      <c r="J1523" t="s">
        <v>2199</v>
      </c>
      <c r="K1523" t="str">
        <f t="shared" si="207"/>
        <v>1259.13</v>
      </c>
      <c r="N1523" t="str">
        <f t="shared" si="208"/>
        <v>HOLDING REGISTER</v>
      </c>
      <c r="O1523" t="str">
        <f t="shared" si="209"/>
        <v>BOOL</v>
      </c>
      <c r="P1523" t="str">
        <f t="shared" si="210"/>
        <v>JETFAN V4SX</v>
      </c>
      <c r="R1523" t="str">
        <f t="shared" si="211"/>
        <v>In Arresto</v>
      </c>
      <c r="U1523" t="str">
        <f t="shared" si="212"/>
        <v>Stato</v>
      </c>
      <c r="V1523" t="str">
        <f t="shared" si="213"/>
        <v>GALLERIA</v>
      </c>
      <c r="W1523" t="str">
        <f t="shared" si="214"/>
        <v>GALLERIA SAN GIULIANO</v>
      </c>
      <c r="Z1523" t="str">
        <f t="shared" si="215"/>
        <v>10.220.80.16</v>
      </c>
    </row>
    <row r="1524" spans="1:26" x14ac:dyDescent="0.25">
      <c r="A1524" t="s">
        <v>10</v>
      </c>
      <c r="B1524" t="s">
        <v>1063</v>
      </c>
      <c r="C1524" t="s">
        <v>2173</v>
      </c>
      <c r="D1524" t="s">
        <v>2174</v>
      </c>
      <c r="E1524" t="s">
        <v>2294</v>
      </c>
      <c r="F1524" t="s">
        <v>14</v>
      </c>
      <c r="G1524" t="s">
        <v>21</v>
      </c>
      <c r="H1524" t="s">
        <v>22</v>
      </c>
      <c r="I1524" t="s">
        <v>2307</v>
      </c>
      <c r="J1524" t="s">
        <v>2201</v>
      </c>
      <c r="K1524" t="str">
        <f t="shared" si="207"/>
        <v>1259.14</v>
      </c>
      <c r="N1524" t="str">
        <f t="shared" si="208"/>
        <v>HOLDING REGISTER</v>
      </c>
      <c r="O1524" t="str">
        <f t="shared" si="209"/>
        <v>BOOL</v>
      </c>
      <c r="P1524" t="str">
        <f t="shared" si="210"/>
        <v>JETFAN V4SX</v>
      </c>
      <c r="R1524" t="str">
        <f t="shared" si="211"/>
        <v>Incluso Da Scada</v>
      </c>
      <c r="U1524" t="str">
        <f t="shared" si="212"/>
        <v>Stato</v>
      </c>
      <c r="V1524" t="str">
        <f t="shared" si="213"/>
        <v>GALLERIA</v>
      </c>
      <c r="W1524" t="str">
        <f t="shared" si="214"/>
        <v>GALLERIA SAN GIULIANO</v>
      </c>
      <c r="Z1524" t="str">
        <f t="shared" si="215"/>
        <v>10.220.80.16</v>
      </c>
    </row>
    <row r="1525" spans="1:26" x14ac:dyDescent="0.25">
      <c r="A1525" t="s">
        <v>10</v>
      </c>
      <c r="B1525" t="s">
        <v>1063</v>
      </c>
      <c r="C1525" t="s">
        <v>2173</v>
      </c>
      <c r="D1525" t="s">
        <v>2174</v>
      </c>
      <c r="E1525" t="s">
        <v>2294</v>
      </c>
      <c r="F1525" t="s">
        <v>14</v>
      </c>
      <c r="G1525" t="s">
        <v>21</v>
      </c>
      <c r="H1525" t="s">
        <v>22</v>
      </c>
      <c r="I1525" t="s">
        <v>2308</v>
      </c>
      <c r="J1525" t="s">
        <v>2203</v>
      </c>
      <c r="K1525" t="str">
        <f t="shared" si="207"/>
        <v>1259.15</v>
      </c>
      <c r="N1525" t="str">
        <f t="shared" si="208"/>
        <v>HOLDING REGISTER</v>
      </c>
      <c r="O1525" t="str">
        <f t="shared" si="209"/>
        <v>BOOL</v>
      </c>
      <c r="P1525" t="str">
        <f t="shared" si="210"/>
        <v>JETFAN V4SX</v>
      </c>
      <c r="R1525" t="str">
        <f t="shared" si="211"/>
        <v>In Manuale Da Scada</v>
      </c>
      <c r="U1525" t="str">
        <f t="shared" si="212"/>
        <v>Stato</v>
      </c>
      <c r="V1525" t="str">
        <f t="shared" si="213"/>
        <v>GALLERIA</v>
      </c>
      <c r="W1525" t="str">
        <f t="shared" si="214"/>
        <v>GALLERIA SAN GIULIANO</v>
      </c>
      <c r="Z1525" t="str">
        <f t="shared" si="215"/>
        <v>10.220.80.16</v>
      </c>
    </row>
    <row r="1526" spans="1:26" x14ac:dyDescent="0.25">
      <c r="A1526" t="s">
        <v>10</v>
      </c>
      <c r="B1526" t="s">
        <v>1063</v>
      </c>
      <c r="C1526" t="s">
        <v>2173</v>
      </c>
      <c r="D1526" t="s">
        <v>2174</v>
      </c>
      <c r="E1526" t="s">
        <v>2175</v>
      </c>
      <c r="F1526" t="s">
        <v>14</v>
      </c>
      <c r="G1526" t="s">
        <v>15</v>
      </c>
      <c r="H1526" t="s">
        <v>1295</v>
      </c>
      <c r="I1526">
        <v>1260</v>
      </c>
      <c r="J1526" t="s">
        <v>2309</v>
      </c>
      <c r="K1526">
        <f t="shared" si="207"/>
        <v>1260</v>
      </c>
      <c r="N1526" t="str">
        <f t="shared" si="208"/>
        <v>HOLDING REGISTER</v>
      </c>
      <c r="O1526" t="str">
        <f t="shared" si="209"/>
        <v>REAL</v>
      </c>
      <c r="P1526" t="str">
        <f t="shared" si="210"/>
        <v>JETFAN V1DX</v>
      </c>
      <c r="R1526" t="str">
        <f t="shared" si="211"/>
        <v>Misura Vibrazioni Motore</v>
      </c>
      <c r="U1526" t="str">
        <f t="shared" si="212"/>
        <v>Misura</v>
      </c>
      <c r="V1526" t="str">
        <f t="shared" si="213"/>
        <v>GALLERIA</v>
      </c>
      <c r="W1526" t="str">
        <f t="shared" si="214"/>
        <v>GALLERIA SAN GIULIANO</v>
      </c>
      <c r="Z1526" t="str">
        <f t="shared" si="215"/>
        <v>10.220.80.16</v>
      </c>
    </row>
    <row r="1527" spans="1:26" x14ac:dyDescent="0.25">
      <c r="A1527" t="s">
        <v>10</v>
      </c>
      <c r="B1527" t="s">
        <v>1063</v>
      </c>
      <c r="C1527" t="s">
        <v>2173</v>
      </c>
      <c r="D1527" t="s">
        <v>2174</v>
      </c>
      <c r="E1527" t="s">
        <v>2204</v>
      </c>
      <c r="F1527" t="s">
        <v>14</v>
      </c>
      <c r="G1527" t="s">
        <v>15</v>
      </c>
      <c r="H1527" t="s">
        <v>1295</v>
      </c>
      <c r="I1527">
        <v>1262</v>
      </c>
      <c r="J1527" t="s">
        <v>2309</v>
      </c>
      <c r="K1527">
        <f t="shared" si="207"/>
        <v>1262</v>
      </c>
      <c r="N1527" t="str">
        <f t="shared" si="208"/>
        <v>HOLDING REGISTER</v>
      </c>
      <c r="O1527" t="str">
        <f t="shared" si="209"/>
        <v>REAL</v>
      </c>
      <c r="P1527" t="str">
        <f t="shared" si="210"/>
        <v>JETFAN V1SX</v>
      </c>
      <c r="R1527" t="str">
        <f t="shared" si="211"/>
        <v>Misura Vibrazioni Motore</v>
      </c>
      <c r="U1527" t="str">
        <f t="shared" si="212"/>
        <v>Misura</v>
      </c>
      <c r="V1527" t="str">
        <f t="shared" si="213"/>
        <v>GALLERIA</v>
      </c>
      <c r="W1527" t="str">
        <f t="shared" si="214"/>
        <v>GALLERIA SAN GIULIANO</v>
      </c>
      <c r="Z1527" t="str">
        <f t="shared" si="215"/>
        <v>10.220.80.16</v>
      </c>
    </row>
    <row r="1528" spans="1:26" x14ac:dyDescent="0.25">
      <c r="A1528" t="s">
        <v>10</v>
      </c>
      <c r="B1528" t="s">
        <v>1063</v>
      </c>
      <c r="C1528" t="s">
        <v>2173</v>
      </c>
      <c r="D1528" t="s">
        <v>2174</v>
      </c>
      <c r="E1528" t="s">
        <v>2219</v>
      </c>
      <c r="F1528" t="s">
        <v>14</v>
      </c>
      <c r="G1528" t="s">
        <v>15</v>
      </c>
      <c r="H1528" t="s">
        <v>1295</v>
      </c>
      <c r="I1528">
        <v>1264</v>
      </c>
      <c r="J1528" t="s">
        <v>2309</v>
      </c>
      <c r="K1528">
        <f t="shared" si="207"/>
        <v>1264</v>
      </c>
      <c r="N1528" t="str">
        <f t="shared" si="208"/>
        <v>HOLDING REGISTER</v>
      </c>
      <c r="O1528" t="str">
        <f t="shared" si="209"/>
        <v>REAL</v>
      </c>
      <c r="P1528" t="str">
        <f t="shared" si="210"/>
        <v>JETFAN V2DX</v>
      </c>
      <c r="R1528" t="str">
        <f t="shared" si="211"/>
        <v>Misura Vibrazioni Motore</v>
      </c>
      <c r="U1528" t="str">
        <f t="shared" si="212"/>
        <v>Misura</v>
      </c>
      <c r="V1528" t="str">
        <f t="shared" si="213"/>
        <v>GALLERIA</v>
      </c>
      <c r="W1528" t="str">
        <f t="shared" si="214"/>
        <v>GALLERIA SAN GIULIANO</v>
      </c>
      <c r="Z1528" t="str">
        <f t="shared" si="215"/>
        <v>10.220.80.16</v>
      </c>
    </row>
    <row r="1529" spans="1:26" x14ac:dyDescent="0.25">
      <c r="A1529" t="s">
        <v>10</v>
      </c>
      <c r="B1529" t="s">
        <v>1063</v>
      </c>
      <c r="C1529" t="s">
        <v>2173</v>
      </c>
      <c r="D1529" t="s">
        <v>2174</v>
      </c>
      <c r="E1529" t="s">
        <v>2234</v>
      </c>
      <c r="F1529" t="s">
        <v>14</v>
      </c>
      <c r="G1529" t="s">
        <v>15</v>
      </c>
      <c r="H1529" t="s">
        <v>1295</v>
      </c>
      <c r="I1529">
        <v>1266</v>
      </c>
      <c r="J1529" t="s">
        <v>2309</v>
      </c>
      <c r="K1529">
        <f t="shared" si="207"/>
        <v>1266</v>
      </c>
      <c r="N1529" t="str">
        <f t="shared" si="208"/>
        <v>HOLDING REGISTER</v>
      </c>
      <c r="O1529" t="str">
        <f t="shared" si="209"/>
        <v>REAL</v>
      </c>
      <c r="P1529" t="str">
        <f t="shared" si="210"/>
        <v>JETFAN V2SX</v>
      </c>
      <c r="R1529" t="str">
        <f t="shared" si="211"/>
        <v>Misura Vibrazioni Motore</v>
      </c>
      <c r="U1529" t="str">
        <f t="shared" si="212"/>
        <v>Misura</v>
      </c>
      <c r="V1529" t="str">
        <f t="shared" si="213"/>
        <v>GALLERIA</v>
      </c>
      <c r="W1529" t="str">
        <f t="shared" si="214"/>
        <v>GALLERIA SAN GIULIANO</v>
      </c>
      <c r="Z1529" t="str">
        <f t="shared" si="215"/>
        <v>10.220.80.16</v>
      </c>
    </row>
    <row r="1530" spans="1:26" x14ac:dyDescent="0.25">
      <c r="A1530" t="s">
        <v>10</v>
      </c>
      <c r="B1530" t="s">
        <v>1063</v>
      </c>
      <c r="C1530" t="s">
        <v>2173</v>
      </c>
      <c r="D1530" t="s">
        <v>2174</v>
      </c>
      <c r="E1530" t="s">
        <v>2249</v>
      </c>
      <c r="F1530" t="s">
        <v>14</v>
      </c>
      <c r="G1530" t="s">
        <v>15</v>
      </c>
      <c r="H1530" t="s">
        <v>1295</v>
      </c>
      <c r="I1530">
        <v>1268</v>
      </c>
      <c r="J1530" t="s">
        <v>2309</v>
      </c>
      <c r="K1530">
        <f t="shared" si="207"/>
        <v>1268</v>
      </c>
      <c r="N1530" t="str">
        <f t="shared" si="208"/>
        <v>HOLDING REGISTER</v>
      </c>
      <c r="O1530" t="str">
        <f t="shared" si="209"/>
        <v>REAL</v>
      </c>
      <c r="P1530" t="str">
        <f t="shared" si="210"/>
        <v>JETFAN V3DX</v>
      </c>
      <c r="R1530" t="str">
        <f t="shared" si="211"/>
        <v>Misura Vibrazioni Motore</v>
      </c>
      <c r="U1530" t="str">
        <f t="shared" si="212"/>
        <v>Misura</v>
      </c>
      <c r="V1530" t="str">
        <f t="shared" si="213"/>
        <v>GALLERIA</v>
      </c>
      <c r="W1530" t="str">
        <f t="shared" si="214"/>
        <v>GALLERIA SAN GIULIANO</v>
      </c>
      <c r="Z1530" t="str">
        <f t="shared" si="215"/>
        <v>10.220.80.16</v>
      </c>
    </row>
    <row r="1531" spans="1:26" x14ac:dyDescent="0.25">
      <c r="A1531" t="s">
        <v>10</v>
      </c>
      <c r="B1531" t="s">
        <v>1063</v>
      </c>
      <c r="C1531" t="s">
        <v>2173</v>
      </c>
      <c r="D1531" t="s">
        <v>2174</v>
      </c>
      <c r="E1531" t="s">
        <v>2264</v>
      </c>
      <c r="F1531" t="s">
        <v>14</v>
      </c>
      <c r="G1531" t="s">
        <v>15</v>
      </c>
      <c r="H1531" t="s">
        <v>1295</v>
      </c>
      <c r="I1531">
        <v>1270</v>
      </c>
      <c r="J1531" t="s">
        <v>2309</v>
      </c>
      <c r="K1531">
        <f t="shared" si="207"/>
        <v>1270</v>
      </c>
      <c r="N1531" t="str">
        <f t="shared" si="208"/>
        <v>HOLDING REGISTER</v>
      </c>
      <c r="O1531" t="str">
        <f t="shared" si="209"/>
        <v>REAL</v>
      </c>
      <c r="P1531" t="str">
        <f t="shared" si="210"/>
        <v>JETFAN V3SX</v>
      </c>
      <c r="R1531" t="str">
        <f t="shared" si="211"/>
        <v>Misura Vibrazioni Motore</v>
      </c>
      <c r="U1531" t="str">
        <f t="shared" si="212"/>
        <v>Misura</v>
      </c>
      <c r="V1531" t="str">
        <f t="shared" si="213"/>
        <v>GALLERIA</v>
      </c>
      <c r="W1531" t="str">
        <f t="shared" si="214"/>
        <v>GALLERIA SAN GIULIANO</v>
      </c>
      <c r="Z1531" t="str">
        <f t="shared" si="215"/>
        <v>10.220.80.16</v>
      </c>
    </row>
    <row r="1532" spans="1:26" x14ac:dyDescent="0.25">
      <c r="A1532" t="s">
        <v>10</v>
      </c>
      <c r="B1532" t="s">
        <v>1063</v>
      </c>
      <c r="C1532" t="s">
        <v>2173</v>
      </c>
      <c r="D1532" t="s">
        <v>2174</v>
      </c>
      <c r="E1532" t="s">
        <v>2279</v>
      </c>
      <c r="F1532" t="s">
        <v>14</v>
      </c>
      <c r="G1532" t="s">
        <v>15</v>
      </c>
      <c r="H1532" t="s">
        <v>1295</v>
      </c>
      <c r="I1532">
        <v>1272</v>
      </c>
      <c r="J1532" t="s">
        <v>2309</v>
      </c>
      <c r="K1532">
        <f t="shared" si="207"/>
        <v>1272</v>
      </c>
      <c r="N1532" t="str">
        <f t="shared" si="208"/>
        <v>HOLDING REGISTER</v>
      </c>
      <c r="O1532" t="str">
        <f t="shared" si="209"/>
        <v>REAL</v>
      </c>
      <c r="P1532" t="str">
        <f t="shared" si="210"/>
        <v>JETFAN V4DX</v>
      </c>
      <c r="R1532" t="str">
        <f t="shared" si="211"/>
        <v>Misura Vibrazioni Motore</v>
      </c>
      <c r="U1532" t="str">
        <f t="shared" si="212"/>
        <v>Misura</v>
      </c>
      <c r="V1532" t="str">
        <f t="shared" si="213"/>
        <v>GALLERIA</v>
      </c>
      <c r="W1532" t="str">
        <f t="shared" si="214"/>
        <v>GALLERIA SAN GIULIANO</v>
      </c>
      <c r="Z1532" t="str">
        <f t="shared" si="215"/>
        <v>10.220.80.16</v>
      </c>
    </row>
    <row r="1533" spans="1:26" x14ac:dyDescent="0.25">
      <c r="A1533" t="s">
        <v>10</v>
      </c>
      <c r="B1533" t="s">
        <v>1063</v>
      </c>
      <c r="C1533" t="s">
        <v>2173</v>
      </c>
      <c r="D1533" t="s">
        <v>2174</v>
      </c>
      <c r="E1533" t="s">
        <v>2294</v>
      </c>
      <c r="F1533" t="s">
        <v>14</v>
      </c>
      <c r="G1533" t="s">
        <v>15</v>
      </c>
      <c r="H1533" t="s">
        <v>1295</v>
      </c>
      <c r="I1533">
        <v>1274</v>
      </c>
      <c r="J1533" t="s">
        <v>2309</v>
      </c>
      <c r="K1533">
        <f t="shared" si="207"/>
        <v>1274</v>
      </c>
      <c r="N1533" t="str">
        <f t="shared" si="208"/>
        <v>HOLDING REGISTER</v>
      </c>
      <c r="O1533" t="str">
        <f t="shared" si="209"/>
        <v>REAL</v>
      </c>
      <c r="P1533" t="str">
        <f t="shared" si="210"/>
        <v>JETFAN V4SX</v>
      </c>
      <c r="R1533" t="str">
        <f t="shared" si="211"/>
        <v>Misura Vibrazioni Motore</v>
      </c>
      <c r="U1533" t="str">
        <f t="shared" si="212"/>
        <v>Misura</v>
      </c>
      <c r="V1533" t="str">
        <f t="shared" si="213"/>
        <v>GALLERIA</v>
      </c>
      <c r="W1533" t="str">
        <f t="shared" si="214"/>
        <v>GALLERIA SAN GIULIANO</v>
      </c>
      <c r="Z1533" t="str">
        <f t="shared" si="215"/>
        <v>10.220.80.16</v>
      </c>
    </row>
    <row r="1534" spans="1:26" x14ac:dyDescent="0.25">
      <c r="A1534" t="s">
        <v>10</v>
      </c>
      <c r="B1534" t="s">
        <v>1063</v>
      </c>
      <c r="C1534" t="s">
        <v>2173</v>
      </c>
      <c r="D1534" t="s">
        <v>2174</v>
      </c>
      <c r="E1534" t="s">
        <v>2175</v>
      </c>
      <c r="F1534" t="s">
        <v>14</v>
      </c>
      <c r="G1534" t="s">
        <v>15</v>
      </c>
      <c r="H1534" t="s">
        <v>16</v>
      </c>
      <c r="I1534">
        <v>1276</v>
      </c>
      <c r="J1534" t="s">
        <v>2310</v>
      </c>
      <c r="K1534">
        <f t="shared" si="207"/>
        <v>1276</v>
      </c>
      <c r="N1534" t="str">
        <f t="shared" si="208"/>
        <v>HOLDING REGISTER</v>
      </c>
      <c r="O1534" t="str">
        <f t="shared" si="209"/>
        <v>INT</v>
      </c>
      <c r="P1534" t="str">
        <f t="shared" si="210"/>
        <v>JETFAN V1DX</v>
      </c>
      <c r="R1534" t="str">
        <f t="shared" si="211"/>
        <v>Ore Attivo</v>
      </c>
      <c r="U1534" t="str">
        <f t="shared" si="212"/>
        <v>Misura</v>
      </c>
      <c r="V1534" t="str">
        <f t="shared" si="213"/>
        <v>GALLERIA</v>
      </c>
      <c r="W1534" t="str">
        <f t="shared" si="214"/>
        <v>GALLERIA SAN GIULIANO</v>
      </c>
      <c r="Z1534" t="str">
        <f t="shared" si="215"/>
        <v>10.220.80.16</v>
      </c>
    </row>
    <row r="1535" spans="1:26" x14ac:dyDescent="0.25">
      <c r="A1535" t="s">
        <v>10</v>
      </c>
      <c r="B1535" t="s">
        <v>1063</v>
      </c>
      <c r="C1535" t="s">
        <v>2173</v>
      </c>
      <c r="D1535" t="s">
        <v>2174</v>
      </c>
      <c r="E1535" t="s">
        <v>2175</v>
      </c>
      <c r="F1535" t="s">
        <v>14</v>
      </c>
      <c r="G1535" t="s">
        <v>15</v>
      </c>
      <c r="H1535" t="s">
        <v>16</v>
      </c>
      <c r="I1535">
        <v>1277</v>
      </c>
      <c r="J1535" t="s">
        <v>2311</v>
      </c>
      <c r="K1535">
        <f t="shared" si="207"/>
        <v>1277</v>
      </c>
      <c r="N1535" t="str">
        <f t="shared" si="208"/>
        <v>HOLDING REGISTER</v>
      </c>
      <c r="O1535" t="str">
        <f t="shared" si="209"/>
        <v>INT</v>
      </c>
      <c r="P1535" t="str">
        <f t="shared" si="210"/>
        <v>JETFAN V1DX</v>
      </c>
      <c r="R1535" t="str">
        <f t="shared" si="211"/>
        <v>Ore Inattivo</v>
      </c>
      <c r="U1535" t="str">
        <f t="shared" si="212"/>
        <v>Misura</v>
      </c>
      <c r="V1535" t="str">
        <f t="shared" si="213"/>
        <v>GALLERIA</v>
      </c>
      <c r="W1535" t="str">
        <f t="shared" si="214"/>
        <v>GALLERIA SAN GIULIANO</v>
      </c>
      <c r="Z1535" t="str">
        <f t="shared" si="215"/>
        <v>10.220.80.16</v>
      </c>
    </row>
    <row r="1536" spans="1:26" x14ac:dyDescent="0.25">
      <c r="A1536" t="s">
        <v>10</v>
      </c>
      <c r="B1536" t="s">
        <v>1063</v>
      </c>
      <c r="C1536" t="s">
        <v>2173</v>
      </c>
      <c r="D1536" t="s">
        <v>2174</v>
      </c>
      <c r="E1536" t="s">
        <v>2175</v>
      </c>
      <c r="F1536" t="s">
        <v>14</v>
      </c>
      <c r="G1536" t="s">
        <v>15</v>
      </c>
      <c r="H1536" t="s">
        <v>16</v>
      </c>
      <c r="I1536">
        <v>1278</v>
      </c>
      <c r="J1536" t="s">
        <v>2312</v>
      </c>
      <c r="K1536">
        <f t="shared" si="207"/>
        <v>1278</v>
      </c>
      <c r="N1536" t="str">
        <f t="shared" si="208"/>
        <v>HOLDING REGISTER</v>
      </c>
      <c r="O1536" t="str">
        <f t="shared" si="209"/>
        <v>INT</v>
      </c>
      <c r="P1536" t="str">
        <f t="shared" si="210"/>
        <v>JETFAN V1DX</v>
      </c>
      <c r="R1536" t="str">
        <f t="shared" si="211"/>
        <v>Num. Avviamenti</v>
      </c>
      <c r="U1536" t="str">
        <f t="shared" si="212"/>
        <v>Misura</v>
      </c>
      <c r="V1536" t="str">
        <f t="shared" si="213"/>
        <v>GALLERIA</v>
      </c>
      <c r="W1536" t="str">
        <f t="shared" si="214"/>
        <v>GALLERIA SAN GIULIANO</v>
      </c>
      <c r="Z1536" t="str">
        <f t="shared" si="215"/>
        <v>10.220.80.16</v>
      </c>
    </row>
    <row r="1537" spans="1:26" x14ac:dyDescent="0.25">
      <c r="A1537" t="s">
        <v>10</v>
      </c>
      <c r="B1537" t="s">
        <v>1063</v>
      </c>
      <c r="C1537" t="s">
        <v>2173</v>
      </c>
      <c r="D1537" t="s">
        <v>2174</v>
      </c>
      <c r="E1537" t="s">
        <v>2204</v>
      </c>
      <c r="F1537" t="s">
        <v>14</v>
      </c>
      <c r="G1537" t="s">
        <v>15</v>
      </c>
      <c r="H1537" t="s">
        <v>16</v>
      </c>
      <c r="I1537">
        <v>1279</v>
      </c>
      <c r="J1537" t="s">
        <v>2310</v>
      </c>
      <c r="K1537">
        <f t="shared" si="207"/>
        <v>1279</v>
      </c>
      <c r="N1537" t="str">
        <f t="shared" si="208"/>
        <v>HOLDING REGISTER</v>
      </c>
      <c r="O1537" t="str">
        <f t="shared" si="209"/>
        <v>INT</v>
      </c>
      <c r="P1537" t="str">
        <f t="shared" si="210"/>
        <v>JETFAN V1SX</v>
      </c>
      <c r="R1537" t="str">
        <f t="shared" si="211"/>
        <v>Ore Attivo</v>
      </c>
      <c r="U1537" t="str">
        <f t="shared" si="212"/>
        <v>Misura</v>
      </c>
      <c r="V1537" t="str">
        <f t="shared" si="213"/>
        <v>GALLERIA</v>
      </c>
      <c r="W1537" t="str">
        <f t="shared" si="214"/>
        <v>GALLERIA SAN GIULIANO</v>
      </c>
      <c r="Z1537" t="str">
        <f t="shared" si="215"/>
        <v>10.220.80.16</v>
      </c>
    </row>
    <row r="1538" spans="1:26" x14ac:dyDescent="0.25">
      <c r="A1538" t="s">
        <v>10</v>
      </c>
      <c r="B1538" t="s">
        <v>1063</v>
      </c>
      <c r="C1538" t="s">
        <v>2173</v>
      </c>
      <c r="D1538" t="s">
        <v>2174</v>
      </c>
      <c r="E1538" t="s">
        <v>2204</v>
      </c>
      <c r="F1538" t="s">
        <v>14</v>
      </c>
      <c r="G1538" t="s">
        <v>15</v>
      </c>
      <c r="H1538" t="s">
        <v>16</v>
      </c>
      <c r="I1538">
        <v>1280</v>
      </c>
      <c r="J1538" t="s">
        <v>2311</v>
      </c>
      <c r="K1538">
        <f t="shared" si="207"/>
        <v>1280</v>
      </c>
      <c r="N1538" t="str">
        <f t="shared" si="208"/>
        <v>HOLDING REGISTER</v>
      </c>
      <c r="O1538" t="str">
        <f t="shared" si="209"/>
        <v>INT</v>
      </c>
      <c r="P1538" t="str">
        <f t="shared" si="210"/>
        <v>JETFAN V1SX</v>
      </c>
      <c r="R1538" t="str">
        <f t="shared" si="211"/>
        <v>Ore Inattivo</v>
      </c>
      <c r="U1538" t="str">
        <f t="shared" si="212"/>
        <v>Misura</v>
      </c>
      <c r="V1538" t="str">
        <f t="shared" si="213"/>
        <v>GALLERIA</v>
      </c>
      <c r="W1538" t="str">
        <f t="shared" si="214"/>
        <v>GALLERIA SAN GIULIANO</v>
      </c>
      <c r="Z1538" t="str">
        <f t="shared" si="215"/>
        <v>10.220.80.16</v>
      </c>
    </row>
    <row r="1539" spans="1:26" x14ac:dyDescent="0.25">
      <c r="A1539" t="s">
        <v>10</v>
      </c>
      <c r="B1539" t="s">
        <v>1063</v>
      </c>
      <c r="C1539" t="s">
        <v>2173</v>
      </c>
      <c r="D1539" t="s">
        <v>2174</v>
      </c>
      <c r="E1539" t="s">
        <v>2204</v>
      </c>
      <c r="F1539" t="s">
        <v>14</v>
      </c>
      <c r="G1539" t="s">
        <v>15</v>
      </c>
      <c r="H1539" t="s">
        <v>16</v>
      </c>
      <c r="I1539">
        <v>1281</v>
      </c>
      <c r="J1539" t="s">
        <v>2312</v>
      </c>
      <c r="K1539">
        <f t="shared" ref="K1539:K1602" si="216">IF(I1539="","",I1539)</f>
        <v>1281</v>
      </c>
      <c r="N1539" t="str">
        <f t="shared" ref="N1539:N1602" si="217">IF(F1539="","",F1539)</f>
        <v>HOLDING REGISTER</v>
      </c>
      <c r="O1539" t="str">
        <f t="shared" ref="O1539:O1602" si="218">IF(H1539="","",H1539)</f>
        <v>INT</v>
      </c>
      <c r="P1539" t="str">
        <f t="shared" ref="P1539:P1602" si="219">_xlfn.CONCAT(D1539," ",E1539)</f>
        <v>JETFAN V1SX</v>
      </c>
      <c r="R1539" t="str">
        <f t="shared" ref="R1539:R1602" si="220">IF(J1539="","",J1539)</f>
        <v>Num. Avviamenti</v>
      </c>
      <c r="U1539" t="str">
        <f t="shared" ref="U1539:U1602" si="221">IF(G1539="","",G1539)</f>
        <v>Misura</v>
      </c>
      <c r="V1539" t="str">
        <f t="shared" ref="V1539:V1602" si="222">IF(C1539="","",C1539)</f>
        <v>GALLERIA</v>
      </c>
      <c r="W1539" t="str">
        <f t="shared" ref="W1539:W1602" si="223">IF(B1539="","",B1539)</f>
        <v>GALLERIA SAN GIULIANO</v>
      </c>
      <c r="Z1539" t="str">
        <f t="shared" ref="Z1539:Z1602" si="224">IF(A1539="","",A1539)</f>
        <v>10.220.80.16</v>
      </c>
    </row>
    <row r="1540" spans="1:26" x14ac:dyDescent="0.25">
      <c r="A1540" t="s">
        <v>10</v>
      </c>
      <c r="B1540" t="s">
        <v>1063</v>
      </c>
      <c r="C1540" t="s">
        <v>2173</v>
      </c>
      <c r="D1540" t="s">
        <v>2174</v>
      </c>
      <c r="E1540" t="s">
        <v>2219</v>
      </c>
      <c r="F1540" t="s">
        <v>14</v>
      </c>
      <c r="G1540" t="s">
        <v>15</v>
      </c>
      <c r="H1540" t="s">
        <v>16</v>
      </c>
      <c r="I1540">
        <v>1282</v>
      </c>
      <c r="J1540" t="s">
        <v>2310</v>
      </c>
      <c r="K1540">
        <f t="shared" si="216"/>
        <v>1282</v>
      </c>
      <c r="N1540" t="str">
        <f t="shared" si="217"/>
        <v>HOLDING REGISTER</v>
      </c>
      <c r="O1540" t="str">
        <f t="shared" si="218"/>
        <v>INT</v>
      </c>
      <c r="P1540" t="str">
        <f t="shared" si="219"/>
        <v>JETFAN V2DX</v>
      </c>
      <c r="R1540" t="str">
        <f t="shared" si="220"/>
        <v>Ore Attivo</v>
      </c>
      <c r="U1540" t="str">
        <f t="shared" si="221"/>
        <v>Misura</v>
      </c>
      <c r="V1540" t="str">
        <f t="shared" si="222"/>
        <v>GALLERIA</v>
      </c>
      <c r="W1540" t="str">
        <f t="shared" si="223"/>
        <v>GALLERIA SAN GIULIANO</v>
      </c>
      <c r="Z1540" t="str">
        <f t="shared" si="224"/>
        <v>10.220.80.16</v>
      </c>
    </row>
    <row r="1541" spans="1:26" x14ac:dyDescent="0.25">
      <c r="A1541" t="s">
        <v>10</v>
      </c>
      <c r="B1541" t="s">
        <v>1063</v>
      </c>
      <c r="C1541" t="s">
        <v>2173</v>
      </c>
      <c r="D1541" t="s">
        <v>2174</v>
      </c>
      <c r="E1541" t="s">
        <v>2219</v>
      </c>
      <c r="F1541" t="s">
        <v>14</v>
      </c>
      <c r="G1541" t="s">
        <v>15</v>
      </c>
      <c r="H1541" t="s">
        <v>16</v>
      </c>
      <c r="I1541">
        <v>1283</v>
      </c>
      <c r="J1541" t="s">
        <v>2311</v>
      </c>
      <c r="K1541">
        <f t="shared" si="216"/>
        <v>1283</v>
      </c>
      <c r="N1541" t="str">
        <f t="shared" si="217"/>
        <v>HOLDING REGISTER</v>
      </c>
      <c r="O1541" t="str">
        <f t="shared" si="218"/>
        <v>INT</v>
      </c>
      <c r="P1541" t="str">
        <f t="shared" si="219"/>
        <v>JETFAN V2DX</v>
      </c>
      <c r="R1541" t="str">
        <f t="shared" si="220"/>
        <v>Ore Inattivo</v>
      </c>
      <c r="U1541" t="str">
        <f t="shared" si="221"/>
        <v>Misura</v>
      </c>
      <c r="V1541" t="str">
        <f t="shared" si="222"/>
        <v>GALLERIA</v>
      </c>
      <c r="W1541" t="str">
        <f t="shared" si="223"/>
        <v>GALLERIA SAN GIULIANO</v>
      </c>
      <c r="Z1541" t="str">
        <f t="shared" si="224"/>
        <v>10.220.80.16</v>
      </c>
    </row>
    <row r="1542" spans="1:26" x14ac:dyDescent="0.25">
      <c r="A1542" t="s">
        <v>10</v>
      </c>
      <c r="B1542" t="s">
        <v>1063</v>
      </c>
      <c r="C1542" t="s">
        <v>2173</v>
      </c>
      <c r="D1542" t="s">
        <v>2174</v>
      </c>
      <c r="E1542" t="s">
        <v>2219</v>
      </c>
      <c r="F1542" t="s">
        <v>14</v>
      </c>
      <c r="G1542" t="s">
        <v>15</v>
      </c>
      <c r="H1542" t="s">
        <v>16</v>
      </c>
      <c r="I1542">
        <v>1284</v>
      </c>
      <c r="J1542" t="s">
        <v>2312</v>
      </c>
      <c r="K1542">
        <f t="shared" si="216"/>
        <v>1284</v>
      </c>
      <c r="N1542" t="str">
        <f t="shared" si="217"/>
        <v>HOLDING REGISTER</v>
      </c>
      <c r="O1542" t="str">
        <f t="shared" si="218"/>
        <v>INT</v>
      </c>
      <c r="P1542" t="str">
        <f t="shared" si="219"/>
        <v>JETFAN V2DX</v>
      </c>
      <c r="R1542" t="str">
        <f t="shared" si="220"/>
        <v>Num. Avviamenti</v>
      </c>
      <c r="U1542" t="str">
        <f t="shared" si="221"/>
        <v>Misura</v>
      </c>
      <c r="V1542" t="str">
        <f t="shared" si="222"/>
        <v>GALLERIA</v>
      </c>
      <c r="W1542" t="str">
        <f t="shared" si="223"/>
        <v>GALLERIA SAN GIULIANO</v>
      </c>
      <c r="Z1542" t="str">
        <f t="shared" si="224"/>
        <v>10.220.80.16</v>
      </c>
    </row>
    <row r="1543" spans="1:26" x14ac:dyDescent="0.25">
      <c r="A1543" t="s">
        <v>10</v>
      </c>
      <c r="B1543" t="s">
        <v>1063</v>
      </c>
      <c r="C1543" t="s">
        <v>2173</v>
      </c>
      <c r="D1543" t="s">
        <v>2174</v>
      </c>
      <c r="E1543" t="s">
        <v>2234</v>
      </c>
      <c r="F1543" t="s">
        <v>14</v>
      </c>
      <c r="G1543" t="s">
        <v>15</v>
      </c>
      <c r="H1543" t="s">
        <v>16</v>
      </c>
      <c r="I1543">
        <v>1285</v>
      </c>
      <c r="J1543" t="s">
        <v>2310</v>
      </c>
      <c r="K1543">
        <f t="shared" si="216"/>
        <v>1285</v>
      </c>
      <c r="N1543" t="str">
        <f t="shared" si="217"/>
        <v>HOLDING REGISTER</v>
      </c>
      <c r="O1543" t="str">
        <f t="shared" si="218"/>
        <v>INT</v>
      </c>
      <c r="P1543" t="str">
        <f t="shared" si="219"/>
        <v>JETFAN V2SX</v>
      </c>
      <c r="R1543" t="str">
        <f t="shared" si="220"/>
        <v>Ore Attivo</v>
      </c>
      <c r="U1543" t="str">
        <f t="shared" si="221"/>
        <v>Misura</v>
      </c>
      <c r="V1543" t="str">
        <f t="shared" si="222"/>
        <v>GALLERIA</v>
      </c>
      <c r="W1543" t="str">
        <f t="shared" si="223"/>
        <v>GALLERIA SAN GIULIANO</v>
      </c>
      <c r="Z1543" t="str">
        <f t="shared" si="224"/>
        <v>10.220.80.16</v>
      </c>
    </row>
    <row r="1544" spans="1:26" x14ac:dyDescent="0.25">
      <c r="A1544" t="s">
        <v>10</v>
      </c>
      <c r="B1544" t="s">
        <v>1063</v>
      </c>
      <c r="C1544" t="s">
        <v>2173</v>
      </c>
      <c r="D1544" t="s">
        <v>2174</v>
      </c>
      <c r="E1544" t="s">
        <v>2234</v>
      </c>
      <c r="F1544" t="s">
        <v>14</v>
      </c>
      <c r="G1544" t="s">
        <v>15</v>
      </c>
      <c r="H1544" t="s">
        <v>16</v>
      </c>
      <c r="I1544">
        <v>1286</v>
      </c>
      <c r="J1544" t="s">
        <v>2311</v>
      </c>
      <c r="K1544">
        <f t="shared" si="216"/>
        <v>1286</v>
      </c>
      <c r="N1544" t="str">
        <f t="shared" si="217"/>
        <v>HOLDING REGISTER</v>
      </c>
      <c r="O1544" t="str">
        <f t="shared" si="218"/>
        <v>INT</v>
      </c>
      <c r="P1544" t="str">
        <f t="shared" si="219"/>
        <v>JETFAN V2SX</v>
      </c>
      <c r="R1544" t="str">
        <f t="shared" si="220"/>
        <v>Ore Inattivo</v>
      </c>
      <c r="U1544" t="str">
        <f t="shared" si="221"/>
        <v>Misura</v>
      </c>
      <c r="V1544" t="str">
        <f t="shared" si="222"/>
        <v>GALLERIA</v>
      </c>
      <c r="W1544" t="str">
        <f t="shared" si="223"/>
        <v>GALLERIA SAN GIULIANO</v>
      </c>
      <c r="Z1544" t="str">
        <f t="shared" si="224"/>
        <v>10.220.80.16</v>
      </c>
    </row>
    <row r="1545" spans="1:26" x14ac:dyDescent="0.25">
      <c r="A1545" t="s">
        <v>10</v>
      </c>
      <c r="B1545" t="s">
        <v>1063</v>
      </c>
      <c r="C1545" t="s">
        <v>2173</v>
      </c>
      <c r="D1545" t="s">
        <v>2174</v>
      </c>
      <c r="E1545" t="s">
        <v>2234</v>
      </c>
      <c r="F1545" t="s">
        <v>14</v>
      </c>
      <c r="G1545" t="s">
        <v>15</v>
      </c>
      <c r="H1545" t="s">
        <v>16</v>
      </c>
      <c r="I1545">
        <v>1287</v>
      </c>
      <c r="J1545" t="s">
        <v>2312</v>
      </c>
      <c r="K1545">
        <f t="shared" si="216"/>
        <v>1287</v>
      </c>
      <c r="N1545" t="str">
        <f t="shared" si="217"/>
        <v>HOLDING REGISTER</v>
      </c>
      <c r="O1545" t="str">
        <f t="shared" si="218"/>
        <v>INT</v>
      </c>
      <c r="P1545" t="str">
        <f t="shared" si="219"/>
        <v>JETFAN V2SX</v>
      </c>
      <c r="R1545" t="str">
        <f t="shared" si="220"/>
        <v>Num. Avviamenti</v>
      </c>
      <c r="U1545" t="str">
        <f t="shared" si="221"/>
        <v>Misura</v>
      </c>
      <c r="V1545" t="str">
        <f t="shared" si="222"/>
        <v>GALLERIA</v>
      </c>
      <c r="W1545" t="str">
        <f t="shared" si="223"/>
        <v>GALLERIA SAN GIULIANO</v>
      </c>
      <c r="Z1545" t="str">
        <f t="shared" si="224"/>
        <v>10.220.80.16</v>
      </c>
    </row>
    <row r="1546" spans="1:26" x14ac:dyDescent="0.25">
      <c r="A1546" t="s">
        <v>10</v>
      </c>
      <c r="B1546" t="s">
        <v>1063</v>
      </c>
      <c r="C1546" t="s">
        <v>2173</v>
      </c>
      <c r="D1546" t="s">
        <v>2174</v>
      </c>
      <c r="E1546" t="s">
        <v>2249</v>
      </c>
      <c r="F1546" t="s">
        <v>14</v>
      </c>
      <c r="G1546" t="s">
        <v>15</v>
      </c>
      <c r="H1546" t="s">
        <v>16</v>
      </c>
      <c r="I1546">
        <v>1288</v>
      </c>
      <c r="J1546" t="s">
        <v>2310</v>
      </c>
      <c r="K1546">
        <f t="shared" si="216"/>
        <v>1288</v>
      </c>
      <c r="N1546" t="str">
        <f t="shared" si="217"/>
        <v>HOLDING REGISTER</v>
      </c>
      <c r="O1546" t="str">
        <f t="shared" si="218"/>
        <v>INT</v>
      </c>
      <c r="P1546" t="str">
        <f t="shared" si="219"/>
        <v>JETFAN V3DX</v>
      </c>
      <c r="R1546" t="str">
        <f t="shared" si="220"/>
        <v>Ore Attivo</v>
      </c>
      <c r="U1546" t="str">
        <f t="shared" si="221"/>
        <v>Misura</v>
      </c>
      <c r="V1546" t="str">
        <f t="shared" si="222"/>
        <v>GALLERIA</v>
      </c>
      <c r="W1546" t="str">
        <f t="shared" si="223"/>
        <v>GALLERIA SAN GIULIANO</v>
      </c>
      <c r="Z1546" t="str">
        <f t="shared" si="224"/>
        <v>10.220.80.16</v>
      </c>
    </row>
    <row r="1547" spans="1:26" x14ac:dyDescent="0.25">
      <c r="A1547" t="s">
        <v>10</v>
      </c>
      <c r="B1547" t="s">
        <v>1063</v>
      </c>
      <c r="C1547" t="s">
        <v>2173</v>
      </c>
      <c r="D1547" t="s">
        <v>2174</v>
      </c>
      <c r="E1547" t="s">
        <v>2249</v>
      </c>
      <c r="F1547" t="s">
        <v>14</v>
      </c>
      <c r="G1547" t="s">
        <v>15</v>
      </c>
      <c r="H1547" t="s">
        <v>16</v>
      </c>
      <c r="I1547">
        <v>1289</v>
      </c>
      <c r="J1547" t="s">
        <v>2311</v>
      </c>
      <c r="K1547">
        <f t="shared" si="216"/>
        <v>1289</v>
      </c>
      <c r="N1547" t="str">
        <f t="shared" si="217"/>
        <v>HOLDING REGISTER</v>
      </c>
      <c r="O1547" t="str">
        <f t="shared" si="218"/>
        <v>INT</v>
      </c>
      <c r="P1547" t="str">
        <f t="shared" si="219"/>
        <v>JETFAN V3DX</v>
      </c>
      <c r="R1547" t="str">
        <f t="shared" si="220"/>
        <v>Ore Inattivo</v>
      </c>
      <c r="U1547" t="str">
        <f t="shared" si="221"/>
        <v>Misura</v>
      </c>
      <c r="V1547" t="str">
        <f t="shared" si="222"/>
        <v>GALLERIA</v>
      </c>
      <c r="W1547" t="str">
        <f t="shared" si="223"/>
        <v>GALLERIA SAN GIULIANO</v>
      </c>
      <c r="Z1547" t="str">
        <f t="shared" si="224"/>
        <v>10.220.80.16</v>
      </c>
    </row>
    <row r="1548" spans="1:26" x14ac:dyDescent="0.25">
      <c r="A1548" t="s">
        <v>10</v>
      </c>
      <c r="B1548" t="s">
        <v>1063</v>
      </c>
      <c r="C1548" t="s">
        <v>2173</v>
      </c>
      <c r="D1548" t="s">
        <v>2174</v>
      </c>
      <c r="E1548" t="s">
        <v>2249</v>
      </c>
      <c r="F1548" t="s">
        <v>14</v>
      </c>
      <c r="G1548" t="s">
        <v>15</v>
      </c>
      <c r="H1548" t="s">
        <v>16</v>
      </c>
      <c r="I1548">
        <v>1290</v>
      </c>
      <c r="J1548" t="s">
        <v>2312</v>
      </c>
      <c r="K1548">
        <f t="shared" si="216"/>
        <v>1290</v>
      </c>
      <c r="N1548" t="str">
        <f t="shared" si="217"/>
        <v>HOLDING REGISTER</v>
      </c>
      <c r="O1548" t="str">
        <f t="shared" si="218"/>
        <v>INT</v>
      </c>
      <c r="P1548" t="str">
        <f t="shared" si="219"/>
        <v>JETFAN V3DX</v>
      </c>
      <c r="R1548" t="str">
        <f t="shared" si="220"/>
        <v>Num. Avviamenti</v>
      </c>
      <c r="U1548" t="str">
        <f t="shared" si="221"/>
        <v>Misura</v>
      </c>
      <c r="V1548" t="str">
        <f t="shared" si="222"/>
        <v>GALLERIA</v>
      </c>
      <c r="W1548" t="str">
        <f t="shared" si="223"/>
        <v>GALLERIA SAN GIULIANO</v>
      </c>
      <c r="Z1548" t="str">
        <f t="shared" si="224"/>
        <v>10.220.80.16</v>
      </c>
    </row>
    <row r="1549" spans="1:26" x14ac:dyDescent="0.25">
      <c r="A1549" t="s">
        <v>10</v>
      </c>
      <c r="B1549" t="s">
        <v>1063</v>
      </c>
      <c r="C1549" t="s">
        <v>2173</v>
      </c>
      <c r="D1549" t="s">
        <v>2174</v>
      </c>
      <c r="E1549" t="s">
        <v>2264</v>
      </c>
      <c r="F1549" t="s">
        <v>14</v>
      </c>
      <c r="G1549" t="s">
        <v>15</v>
      </c>
      <c r="H1549" t="s">
        <v>16</v>
      </c>
      <c r="I1549">
        <v>1291</v>
      </c>
      <c r="J1549" t="s">
        <v>2310</v>
      </c>
      <c r="K1549">
        <f t="shared" si="216"/>
        <v>1291</v>
      </c>
      <c r="N1549" t="str">
        <f t="shared" si="217"/>
        <v>HOLDING REGISTER</v>
      </c>
      <c r="O1549" t="str">
        <f t="shared" si="218"/>
        <v>INT</v>
      </c>
      <c r="P1549" t="str">
        <f t="shared" si="219"/>
        <v>JETFAN V3SX</v>
      </c>
      <c r="R1549" t="str">
        <f t="shared" si="220"/>
        <v>Ore Attivo</v>
      </c>
      <c r="U1549" t="str">
        <f t="shared" si="221"/>
        <v>Misura</v>
      </c>
      <c r="V1549" t="str">
        <f t="shared" si="222"/>
        <v>GALLERIA</v>
      </c>
      <c r="W1549" t="str">
        <f t="shared" si="223"/>
        <v>GALLERIA SAN GIULIANO</v>
      </c>
      <c r="Z1549" t="str">
        <f t="shared" si="224"/>
        <v>10.220.80.16</v>
      </c>
    </row>
    <row r="1550" spans="1:26" x14ac:dyDescent="0.25">
      <c r="A1550" t="s">
        <v>10</v>
      </c>
      <c r="B1550" t="s">
        <v>1063</v>
      </c>
      <c r="C1550" t="s">
        <v>2173</v>
      </c>
      <c r="D1550" t="s">
        <v>2174</v>
      </c>
      <c r="E1550" t="s">
        <v>2264</v>
      </c>
      <c r="F1550" t="s">
        <v>14</v>
      </c>
      <c r="G1550" t="s">
        <v>15</v>
      </c>
      <c r="H1550" t="s">
        <v>16</v>
      </c>
      <c r="I1550">
        <v>1292</v>
      </c>
      <c r="J1550" t="s">
        <v>2311</v>
      </c>
      <c r="K1550">
        <f t="shared" si="216"/>
        <v>1292</v>
      </c>
      <c r="N1550" t="str">
        <f t="shared" si="217"/>
        <v>HOLDING REGISTER</v>
      </c>
      <c r="O1550" t="str">
        <f t="shared" si="218"/>
        <v>INT</v>
      </c>
      <c r="P1550" t="str">
        <f t="shared" si="219"/>
        <v>JETFAN V3SX</v>
      </c>
      <c r="R1550" t="str">
        <f t="shared" si="220"/>
        <v>Ore Inattivo</v>
      </c>
      <c r="U1550" t="str">
        <f t="shared" si="221"/>
        <v>Misura</v>
      </c>
      <c r="V1550" t="str">
        <f t="shared" si="222"/>
        <v>GALLERIA</v>
      </c>
      <c r="W1550" t="str">
        <f t="shared" si="223"/>
        <v>GALLERIA SAN GIULIANO</v>
      </c>
      <c r="Z1550" t="str">
        <f t="shared" si="224"/>
        <v>10.220.80.16</v>
      </c>
    </row>
    <row r="1551" spans="1:26" x14ac:dyDescent="0.25">
      <c r="A1551" t="s">
        <v>10</v>
      </c>
      <c r="B1551" t="s">
        <v>1063</v>
      </c>
      <c r="C1551" t="s">
        <v>2173</v>
      </c>
      <c r="D1551" t="s">
        <v>2174</v>
      </c>
      <c r="E1551" t="s">
        <v>2264</v>
      </c>
      <c r="F1551" t="s">
        <v>14</v>
      </c>
      <c r="G1551" t="s">
        <v>15</v>
      </c>
      <c r="H1551" t="s">
        <v>16</v>
      </c>
      <c r="I1551">
        <v>1293</v>
      </c>
      <c r="J1551" t="s">
        <v>2312</v>
      </c>
      <c r="K1551">
        <f t="shared" si="216"/>
        <v>1293</v>
      </c>
      <c r="N1551" t="str">
        <f t="shared" si="217"/>
        <v>HOLDING REGISTER</v>
      </c>
      <c r="O1551" t="str">
        <f t="shared" si="218"/>
        <v>INT</v>
      </c>
      <c r="P1551" t="str">
        <f t="shared" si="219"/>
        <v>JETFAN V3SX</v>
      </c>
      <c r="R1551" t="str">
        <f t="shared" si="220"/>
        <v>Num. Avviamenti</v>
      </c>
      <c r="U1551" t="str">
        <f t="shared" si="221"/>
        <v>Misura</v>
      </c>
      <c r="V1551" t="str">
        <f t="shared" si="222"/>
        <v>GALLERIA</v>
      </c>
      <c r="W1551" t="str">
        <f t="shared" si="223"/>
        <v>GALLERIA SAN GIULIANO</v>
      </c>
      <c r="Z1551" t="str">
        <f t="shared" si="224"/>
        <v>10.220.80.16</v>
      </c>
    </row>
    <row r="1552" spans="1:26" x14ac:dyDescent="0.25">
      <c r="A1552" t="s">
        <v>10</v>
      </c>
      <c r="B1552" t="s">
        <v>1063</v>
      </c>
      <c r="C1552" t="s">
        <v>2173</v>
      </c>
      <c r="D1552" t="s">
        <v>2174</v>
      </c>
      <c r="E1552" t="s">
        <v>2279</v>
      </c>
      <c r="F1552" t="s">
        <v>14</v>
      </c>
      <c r="G1552" t="s">
        <v>15</v>
      </c>
      <c r="H1552" t="s">
        <v>16</v>
      </c>
      <c r="I1552">
        <v>1294</v>
      </c>
      <c r="J1552" t="s">
        <v>2310</v>
      </c>
      <c r="K1552">
        <f t="shared" si="216"/>
        <v>1294</v>
      </c>
      <c r="N1552" t="str">
        <f t="shared" si="217"/>
        <v>HOLDING REGISTER</v>
      </c>
      <c r="O1552" t="str">
        <f t="shared" si="218"/>
        <v>INT</v>
      </c>
      <c r="P1552" t="str">
        <f t="shared" si="219"/>
        <v>JETFAN V4DX</v>
      </c>
      <c r="R1552" t="str">
        <f t="shared" si="220"/>
        <v>Ore Attivo</v>
      </c>
      <c r="U1552" t="str">
        <f t="shared" si="221"/>
        <v>Misura</v>
      </c>
      <c r="V1552" t="str">
        <f t="shared" si="222"/>
        <v>GALLERIA</v>
      </c>
      <c r="W1552" t="str">
        <f t="shared" si="223"/>
        <v>GALLERIA SAN GIULIANO</v>
      </c>
      <c r="Z1552" t="str">
        <f t="shared" si="224"/>
        <v>10.220.80.16</v>
      </c>
    </row>
    <row r="1553" spans="1:26" x14ac:dyDescent="0.25">
      <c r="A1553" t="s">
        <v>10</v>
      </c>
      <c r="B1553" t="s">
        <v>1063</v>
      </c>
      <c r="C1553" t="s">
        <v>2173</v>
      </c>
      <c r="D1553" t="s">
        <v>2174</v>
      </c>
      <c r="E1553" t="s">
        <v>2279</v>
      </c>
      <c r="F1553" t="s">
        <v>14</v>
      </c>
      <c r="G1553" t="s">
        <v>15</v>
      </c>
      <c r="H1553" t="s">
        <v>16</v>
      </c>
      <c r="I1553">
        <v>1295</v>
      </c>
      <c r="J1553" t="s">
        <v>2311</v>
      </c>
      <c r="K1553">
        <f t="shared" si="216"/>
        <v>1295</v>
      </c>
      <c r="N1553" t="str">
        <f t="shared" si="217"/>
        <v>HOLDING REGISTER</v>
      </c>
      <c r="O1553" t="str">
        <f t="shared" si="218"/>
        <v>INT</v>
      </c>
      <c r="P1553" t="str">
        <f t="shared" si="219"/>
        <v>JETFAN V4DX</v>
      </c>
      <c r="R1553" t="str">
        <f t="shared" si="220"/>
        <v>Ore Inattivo</v>
      </c>
      <c r="U1553" t="str">
        <f t="shared" si="221"/>
        <v>Misura</v>
      </c>
      <c r="V1553" t="str">
        <f t="shared" si="222"/>
        <v>GALLERIA</v>
      </c>
      <c r="W1553" t="str">
        <f t="shared" si="223"/>
        <v>GALLERIA SAN GIULIANO</v>
      </c>
      <c r="Z1553" t="str">
        <f t="shared" si="224"/>
        <v>10.220.80.16</v>
      </c>
    </row>
    <row r="1554" spans="1:26" x14ac:dyDescent="0.25">
      <c r="A1554" t="s">
        <v>10</v>
      </c>
      <c r="B1554" t="s">
        <v>1063</v>
      </c>
      <c r="C1554" t="s">
        <v>2173</v>
      </c>
      <c r="D1554" t="s">
        <v>2174</v>
      </c>
      <c r="E1554" t="s">
        <v>2279</v>
      </c>
      <c r="F1554" t="s">
        <v>14</v>
      </c>
      <c r="G1554" t="s">
        <v>15</v>
      </c>
      <c r="H1554" t="s">
        <v>16</v>
      </c>
      <c r="I1554">
        <v>1296</v>
      </c>
      <c r="J1554" t="s">
        <v>2312</v>
      </c>
      <c r="K1554">
        <f t="shared" si="216"/>
        <v>1296</v>
      </c>
      <c r="N1554" t="str">
        <f t="shared" si="217"/>
        <v>HOLDING REGISTER</v>
      </c>
      <c r="O1554" t="str">
        <f t="shared" si="218"/>
        <v>INT</v>
      </c>
      <c r="P1554" t="str">
        <f t="shared" si="219"/>
        <v>JETFAN V4DX</v>
      </c>
      <c r="R1554" t="str">
        <f t="shared" si="220"/>
        <v>Num. Avviamenti</v>
      </c>
      <c r="U1554" t="str">
        <f t="shared" si="221"/>
        <v>Misura</v>
      </c>
      <c r="V1554" t="str">
        <f t="shared" si="222"/>
        <v>GALLERIA</v>
      </c>
      <c r="W1554" t="str">
        <f t="shared" si="223"/>
        <v>GALLERIA SAN GIULIANO</v>
      </c>
      <c r="Z1554" t="str">
        <f t="shared" si="224"/>
        <v>10.220.80.16</v>
      </c>
    </row>
    <row r="1555" spans="1:26" x14ac:dyDescent="0.25">
      <c r="A1555" t="s">
        <v>10</v>
      </c>
      <c r="B1555" t="s">
        <v>1063</v>
      </c>
      <c r="C1555" t="s">
        <v>2173</v>
      </c>
      <c r="D1555" t="s">
        <v>2174</v>
      </c>
      <c r="E1555" t="s">
        <v>2294</v>
      </c>
      <c r="F1555" t="s">
        <v>14</v>
      </c>
      <c r="G1555" t="s">
        <v>15</v>
      </c>
      <c r="H1555" t="s">
        <v>16</v>
      </c>
      <c r="I1555">
        <v>1297</v>
      </c>
      <c r="J1555" t="s">
        <v>2310</v>
      </c>
      <c r="K1555">
        <f t="shared" si="216"/>
        <v>1297</v>
      </c>
      <c r="N1555" t="str">
        <f t="shared" si="217"/>
        <v>HOLDING REGISTER</v>
      </c>
      <c r="O1555" t="str">
        <f t="shared" si="218"/>
        <v>INT</v>
      </c>
      <c r="P1555" t="str">
        <f t="shared" si="219"/>
        <v>JETFAN V4SX</v>
      </c>
      <c r="R1555" t="str">
        <f t="shared" si="220"/>
        <v>Ore Attivo</v>
      </c>
      <c r="U1555" t="str">
        <f t="shared" si="221"/>
        <v>Misura</v>
      </c>
      <c r="V1555" t="str">
        <f t="shared" si="222"/>
        <v>GALLERIA</v>
      </c>
      <c r="W1555" t="str">
        <f t="shared" si="223"/>
        <v>GALLERIA SAN GIULIANO</v>
      </c>
      <c r="Z1555" t="str">
        <f t="shared" si="224"/>
        <v>10.220.80.16</v>
      </c>
    </row>
    <row r="1556" spans="1:26" x14ac:dyDescent="0.25">
      <c r="A1556" t="s">
        <v>10</v>
      </c>
      <c r="B1556" t="s">
        <v>1063</v>
      </c>
      <c r="C1556" t="s">
        <v>2173</v>
      </c>
      <c r="D1556" t="s">
        <v>2174</v>
      </c>
      <c r="E1556" t="s">
        <v>2294</v>
      </c>
      <c r="F1556" t="s">
        <v>14</v>
      </c>
      <c r="G1556" t="s">
        <v>15</v>
      </c>
      <c r="H1556" t="s">
        <v>16</v>
      </c>
      <c r="I1556">
        <v>1298</v>
      </c>
      <c r="J1556" t="s">
        <v>2311</v>
      </c>
      <c r="K1556">
        <f t="shared" si="216"/>
        <v>1298</v>
      </c>
      <c r="N1556" t="str">
        <f t="shared" si="217"/>
        <v>HOLDING REGISTER</v>
      </c>
      <c r="O1556" t="str">
        <f t="shared" si="218"/>
        <v>INT</v>
      </c>
      <c r="P1556" t="str">
        <f t="shared" si="219"/>
        <v>JETFAN V4SX</v>
      </c>
      <c r="R1556" t="str">
        <f t="shared" si="220"/>
        <v>Ore Inattivo</v>
      </c>
      <c r="U1556" t="str">
        <f t="shared" si="221"/>
        <v>Misura</v>
      </c>
      <c r="V1556" t="str">
        <f t="shared" si="222"/>
        <v>GALLERIA</v>
      </c>
      <c r="W1556" t="str">
        <f t="shared" si="223"/>
        <v>GALLERIA SAN GIULIANO</v>
      </c>
      <c r="Z1556" t="str">
        <f t="shared" si="224"/>
        <v>10.220.80.16</v>
      </c>
    </row>
    <row r="1557" spans="1:26" x14ac:dyDescent="0.25">
      <c r="A1557" t="s">
        <v>10</v>
      </c>
      <c r="B1557" t="s">
        <v>1063</v>
      </c>
      <c r="C1557" t="s">
        <v>2173</v>
      </c>
      <c r="D1557" t="s">
        <v>2174</v>
      </c>
      <c r="E1557" t="s">
        <v>2294</v>
      </c>
      <c r="F1557" t="s">
        <v>14</v>
      </c>
      <c r="G1557" t="s">
        <v>15</v>
      </c>
      <c r="H1557" t="s">
        <v>16</v>
      </c>
      <c r="I1557">
        <v>1299</v>
      </c>
      <c r="J1557" t="s">
        <v>2312</v>
      </c>
      <c r="K1557">
        <f t="shared" si="216"/>
        <v>1299</v>
      </c>
      <c r="N1557" t="str">
        <f t="shared" si="217"/>
        <v>HOLDING REGISTER</v>
      </c>
      <c r="O1557" t="str">
        <f t="shared" si="218"/>
        <v>INT</v>
      </c>
      <c r="P1557" t="str">
        <f t="shared" si="219"/>
        <v>JETFAN V4SX</v>
      </c>
      <c r="R1557" t="str">
        <f t="shared" si="220"/>
        <v>Num. Avviamenti</v>
      </c>
      <c r="U1557" t="str">
        <f t="shared" si="221"/>
        <v>Misura</v>
      </c>
      <c r="V1557" t="str">
        <f t="shared" si="222"/>
        <v>GALLERIA</v>
      </c>
      <c r="W1557" t="str">
        <f t="shared" si="223"/>
        <v>GALLERIA SAN GIULIANO</v>
      </c>
      <c r="Z1557" t="str">
        <f t="shared" si="224"/>
        <v>10.220.80.16</v>
      </c>
    </row>
    <row r="1558" spans="1:26" x14ac:dyDescent="0.25">
      <c r="A1558" t="s">
        <v>10</v>
      </c>
      <c r="B1558" t="s">
        <v>1063</v>
      </c>
      <c r="C1558" t="s">
        <v>2173</v>
      </c>
      <c r="D1558" t="s">
        <v>2313</v>
      </c>
      <c r="E1558" t="s">
        <v>2313</v>
      </c>
      <c r="F1558" t="s">
        <v>14</v>
      </c>
      <c r="G1558" t="s">
        <v>28</v>
      </c>
      <c r="H1558" t="s">
        <v>22</v>
      </c>
      <c r="I1558" t="s">
        <v>2314</v>
      </c>
      <c r="J1558" t="s">
        <v>2315</v>
      </c>
      <c r="K1558" t="str">
        <f t="shared" si="216"/>
        <v>1300.0</v>
      </c>
      <c r="N1558" t="str">
        <f t="shared" si="217"/>
        <v>HOLDING REGISTER</v>
      </c>
      <c r="O1558" t="str">
        <f t="shared" si="218"/>
        <v>BOOL</v>
      </c>
      <c r="P1558" t="str">
        <f t="shared" si="219"/>
        <v>SOGLIE INQUINANTI SOGLIE INQUINANTI</v>
      </c>
      <c r="R1558" t="str">
        <f t="shared" si="220"/>
        <v>SOGLIA ATTIVA 1</v>
      </c>
      <c r="U1558" t="str">
        <f t="shared" si="221"/>
        <v>Allarme</v>
      </c>
      <c r="V1558" t="str">
        <f t="shared" si="222"/>
        <v>GALLERIA</v>
      </c>
      <c r="W1558" t="str">
        <f t="shared" si="223"/>
        <v>GALLERIA SAN GIULIANO</v>
      </c>
      <c r="Z1558" t="str">
        <f t="shared" si="224"/>
        <v>10.220.80.16</v>
      </c>
    </row>
    <row r="1559" spans="1:26" x14ac:dyDescent="0.25">
      <c r="A1559" t="s">
        <v>10</v>
      </c>
      <c r="B1559" t="s">
        <v>1063</v>
      </c>
      <c r="C1559" t="s">
        <v>2173</v>
      </c>
      <c r="D1559" t="s">
        <v>2313</v>
      </c>
      <c r="E1559" t="s">
        <v>2313</v>
      </c>
      <c r="F1559" t="s">
        <v>14</v>
      </c>
      <c r="G1559" t="s">
        <v>28</v>
      </c>
      <c r="H1559" t="s">
        <v>22</v>
      </c>
      <c r="I1559" t="s">
        <v>2316</v>
      </c>
      <c r="J1559" t="s">
        <v>2317</v>
      </c>
      <c r="K1559" t="str">
        <f t="shared" si="216"/>
        <v>1300.1</v>
      </c>
      <c r="N1559" t="str">
        <f t="shared" si="217"/>
        <v>HOLDING REGISTER</v>
      </c>
      <c r="O1559" t="str">
        <f t="shared" si="218"/>
        <v>BOOL</v>
      </c>
      <c r="P1559" t="str">
        <f t="shared" si="219"/>
        <v>SOGLIE INQUINANTI SOGLIE INQUINANTI</v>
      </c>
      <c r="R1559" t="str">
        <f t="shared" si="220"/>
        <v>SOGLIA ATTIVA 2</v>
      </c>
      <c r="U1559" t="str">
        <f t="shared" si="221"/>
        <v>Allarme</v>
      </c>
      <c r="V1559" t="str">
        <f t="shared" si="222"/>
        <v>GALLERIA</v>
      </c>
      <c r="W1559" t="str">
        <f t="shared" si="223"/>
        <v>GALLERIA SAN GIULIANO</v>
      </c>
      <c r="Z1559" t="str">
        <f t="shared" si="224"/>
        <v>10.220.80.16</v>
      </c>
    </row>
    <row r="1560" spans="1:26" x14ac:dyDescent="0.25">
      <c r="A1560" t="s">
        <v>10</v>
      </c>
      <c r="B1560" t="s">
        <v>1063</v>
      </c>
      <c r="C1560" t="s">
        <v>2173</v>
      </c>
      <c r="D1560" t="s">
        <v>2313</v>
      </c>
      <c r="E1560" t="s">
        <v>2313</v>
      </c>
      <c r="F1560" t="s">
        <v>14</v>
      </c>
      <c r="G1560" t="s">
        <v>28</v>
      </c>
      <c r="H1560" t="s">
        <v>22</v>
      </c>
      <c r="I1560" t="s">
        <v>2318</v>
      </c>
      <c r="J1560" t="s">
        <v>2319</v>
      </c>
      <c r="K1560" t="str">
        <f t="shared" si="216"/>
        <v>1300.2</v>
      </c>
      <c r="N1560" t="str">
        <f t="shared" si="217"/>
        <v>HOLDING REGISTER</v>
      </c>
      <c r="O1560" t="str">
        <f t="shared" si="218"/>
        <v>BOOL</v>
      </c>
      <c r="P1560" t="str">
        <f t="shared" si="219"/>
        <v>SOGLIE INQUINANTI SOGLIE INQUINANTI</v>
      </c>
      <c r="R1560" t="str">
        <f t="shared" si="220"/>
        <v>SOGLIA ATTIVA 3</v>
      </c>
      <c r="U1560" t="str">
        <f t="shared" si="221"/>
        <v>Allarme</v>
      </c>
      <c r="V1560" t="str">
        <f t="shared" si="222"/>
        <v>GALLERIA</v>
      </c>
      <c r="W1560" t="str">
        <f t="shared" si="223"/>
        <v>GALLERIA SAN GIULIANO</v>
      </c>
      <c r="Z1560" t="str">
        <f t="shared" si="224"/>
        <v>10.220.80.16</v>
      </c>
    </row>
    <row r="1561" spans="1:26" x14ac:dyDescent="0.25">
      <c r="A1561" t="s">
        <v>10</v>
      </c>
      <c r="B1561" t="s">
        <v>1063</v>
      </c>
      <c r="C1561" t="s">
        <v>2173</v>
      </c>
      <c r="D1561" t="s">
        <v>2320</v>
      </c>
      <c r="E1561" t="s">
        <v>2320</v>
      </c>
      <c r="F1561" t="s">
        <v>14</v>
      </c>
      <c r="G1561" t="s">
        <v>21</v>
      </c>
      <c r="H1561" t="s">
        <v>22</v>
      </c>
      <c r="I1561" t="s">
        <v>2321</v>
      </c>
      <c r="J1561" t="s">
        <v>2322</v>
      </c>
      <c r="K1561" t="str">
        <f t="shared" si="216"/>
        <v>1300.3</v>
      </c>
      <c r="N1561" t="str">
        <f t="shared" si="217"/>
        <v>HOLDING REGISTER</v>
      </c>
      <c r="O1561" t="str">
        <f t="shared" si="218"/>
        <v>BOOL</v>
      </c>
      <c r="P1561" t="str">
        <f t="shared" si="219"/>
        <v>DIREZIONE VENTO DIREZIONE VENTO</v>
      </c>
      <c r="R1561" t="str">
        <f t="shared" si="220"/>
        <v>DIREZIONE VENTO (Nord=0 – Sud=1)</v>
      </c>
      <c r="U1561" t="str">
        <f t="shared" si="221"/>
        <v>Stato</v>
      </c>
      <c r="V1561" t="str">
        <f t="shared" si="222"/>
        <v>GALLERIA</v>
      </c>
      <c r="W1561" t="str">
        <f t="shared" si="223"/>
        <v>GALLERIA SAN GIULIANO</v>
      </c>
      <c r="Z1561" t="str">
        <f t="shared" si="224"/>
        <v>10.220.80.16</v>
      </c>
    </row>
    <row r="1562" spans="1:26" x14ac:dyDescent="0.25">
      <c r="A1562" t="s">
        <v>10</v>
      </c>
      <c r="B1562" t="s">
        <v>1063</v>
      </c>
      <c r="C1562" t="s">
        <v>2173</v>
      </c>
      <c r="D1562" t="s">
        <v>2323</v>
      </c>
      <c r="E1562" t="s">
        <v>2323</v>
      </c>
      <c r="F1562" t="s">
        <v>14</v>
      </c>
      <c r="G1562" t="s">
        <v>28</v>
      </c>
      <c r="H1562" t="s">
        <v>22</v>
      </c>
      <c r="I1562" t="s">
        <v>2324</v>
      </c>
      <c r="J1562" t="s">
        <v>2325</v>
      </c>
      <c r="K1562" t="str">
        <f t="shared" si="216"/>
        <v>1300.4</v>
      </c>
      <c r="N1562" t="str">
        <f t="shared" si="217"/>
        <v>HOLDING REGISTER</v>
      </c>
      <c r="O1562" t="str">
        <f t="shared" si="218"/>
        <v>BOOL</v>
      </c>
      <c r="P1562" t="str">
        <f t="shared" si="219"/>
        <v>CONTROLLO JETFAN CONTROLLO JETFAN</v>
      </c>
      <c r="R1562" t="str">
        <f t="shared" si="220"/>
        <v>NUMERO INSUFFICIENTE DI VENTILATORI DA AVVIARE</v>
      </c>
      <c r="U1562" t="str">
        <f t="shared" si="221"/>
        <v>Allarme</v>
      </c>
      <c r="V1562" t="str">
        <f t="shared" si="222"/>
        <v>GALLERIA</v>
      </c>
      <c r="W1562" t="str">
        <f t="shared" si="223"/>
        <v>GALLERIA SAN GIULIANO</v>
      </c>
      <c r="Z1562" t="str">
        <f t="shared" si="224"/>
        <v>10.220.80.16</v>
      </c>
    </row>
    <row r="1563" spans="1:26" x14ac:dyDescent="0.25">
      <c r="A1563" t="s">
        <v>10</v>
      </c>
      <c r="B1563" t="s">
        <v>1063</v>
      </c>
      <c r="C1563" t="s">
        <v>2326</v>
      </c>
      <c r="D1563" t="s">
        <v>555</v>
      </c>
      <c r="E1563" t="s">
        <v>2327</v>
      </c>
      <c r="F1563" t="s">
        <v>14</v>
      </c>
      <c r="G1563" t="s">
        <v>21</v>
      </c>
      <c r="H1563" t="s">
        <v>22</v>
      </c>
      <c r="I1563" t="s">
        <v>2328</v>
      </c>
      <c r="J1563" t="s">
        <v>2329</v>
      </c>
      <c r="K1563" t="str">
        <f t="shared" si="216"/>
        <v>1300.5</v>
      </c>
      <c r="N1563" t="str">
        <f t="shared" si="217"/>
        <v>HOLDING REGISTER</v>
      </c>
      <c r="O1563" t="str">
        <f t="shared" si="218"/>
        <v>BOOL</v>
      </c>
      <c r="P1563" t="str">
        <f t="shared" si="219"/>
        <v>SELETTORE QVF NORD</v>
      </c>
      <c r="R1563" t="str">
        <f t="shared" si="220"/>
        <v>QVF IN LOCALE</v>
      </c>
      <c r="U1563" t="str">
        <f t="shared" si="221"/>
        <v>Stato</v>
      </c>
      <c r="V1563" t="str">
        <f t="shared" si="222"/>
        <v>QVF</v>
      </c>
      <c r="W1563" t="str">
        <f t="shared" si="223"/>
        <v>GALLERIA SAN GIULIANO</v>
      </c>
      <c r="Z1563" t="str">
        <f t="shared" si="224"/>
        <v>10.220.80.16</v>
      </c>
    </row>
    <row r="1564" spans="1:26" x14ac:dyDescent="0.25">
      <c r="A1564" t="s">
        <v>10</v>
      </c>
      <c r="B1564" t="s">
        <v>1063</v>
      </c>
      <c r="C1564" t="s">
        <v>2326</v>
      </c>
      <c r="D1564" t="s">
        <v>555</v>
      </c>
      <c r="E1564" t="s">
        <v>2327</v>
      </c>
      <c r="F1564" t="s">
        <v>14</v>
      </c>
      <c r="G1564" t="s">
        <v>21</v>
      </c>
      <c r="H1564" t="s">
        <v>22</v>
      </c>
      <c r="I1564" t="s">
        <v>2330</v>
      </c>
      <c r="J1564" t="s">
        <v>1761</v>
      </c>
      <c r="K1564" t="str">
        <f t="shared" si="216"/>
        <v>1300.6</v>
      </c>
      <c r="N1564" t="str">
        <f t="shared" si="217"/>
        <v>HOLDING REGISTER</v>
      </c>
      <c r="O1564" t="str">
        <f t="shared" si="218"/>
        <v>BOOL</v>
      </c>
      <c r="P1564" t="str">
        <f t="shared" si="219"/>
        <v>SELETTORE QVF NORD</v>
      </c>
      <c r="R1564" t="str">
        <f t="shared" si="220"/>
        <v>DIREZIONE NORD</v>
      </c>
      <c r="U1564" t="str">
        <f t="shared" si="221"/>
        <v>Stato</v>
      </c>
      <c r="V1564" t="str">
        <f t="shared" si="222"/>
        <v>QVF</v>
      </c>
      <c r="W1564" t="str">
        <f t="shared" si="223"/>
        <v>GALLERIA SAN GIULIANO</v>
      </c>
      <c r="Z1564" t="str">
        <f t="shared" si="224"/>
        <v>10.220.80.16</v>
      </c>
    </row>
    <row r="1565" spans="1:26" x14ac:dyDescent="0.25">
      <c r="A1565" t="s">
        <v>10</v>
      </c>
      <c r="B1565" t="s">
        <v>1063</v>
      </c>
      <c r="C1565" t="s">
        <v>2326</v>
      </c>
      <c r="D1565" t="s">
        <v>555</v>
      </c>
      <c r="E1565" t="s">
        <v>2327</v>
      </c>
      <c r="F1565" t="s">
        <v>14</v>
      </c>
      <c r="G1565" t="s">
        <v>21</v>
      </c>
      <c r="H1565" t="s">
        <v>22</v>
      </c>
      <c r="I1565" t="s">
        <v>2331</v>
      </c>
      <c r="J1565" t="s">
        <v>1618</v>
      </c>
      <c r="K1565" t="str">
        <f t="shared" si="216"/>
        <v>1300.7</v>
      </c>
      <c r="N1565" t="str">
        <f t="shared" si="217"/>
        <v>HOLDING REGISTER</v>
      </c>
      <c r="O1565" t="str">
        <f t="shared" si="218"/>
        <v>BOOL</v>
      </c>
      <c r="P1565" t="str">
        <f t="shared" si="219"/>
        <v>SELETTORE QVF NORD</v>
      </c>
      <c r="R1565" t="str">
        <f t="shared" si="220"/>
        <v>DIREZIONE SUD</v>
      </c>
      <c r="U1565" t="str">
        <f t="shared" si="221"/>
        <v>Stato</v>
      </c>
      <c r="V1565" t="str">
        <f t="shared" si="222"/>
        <v>QVF</v>
      </c>
      <c r="W1565" t="str">
        <f t="shared" si="223"/>
        <v>GALLERIA SAN GIULIANO</v>
      </c>
      <c r="Z1565" t="str">
        <f t="shared" si="224"/>
        <v>10.220.80.16</v>
      </c>
    </row>
    <row r="1566" spans="1:26" x14ac:dyDescent="0.25">
      <c r="A1566" t="s">
        <v>10</v>
      </c>
      <c r="B1566" t="s">
        <v>1063</v>
      </c>
      <c r="C1566" t="s">
        <v>2326</v>
      </c>
      <c r="D1566" t="s">
        <v>555</v>
      </c>
      <c r="E1566" t="s">
        <v>2327</v>
      </c>
      <c r="F1566" t="s">
        <v>14</v>
      </c>
      <c r="G1566" t="s">
        <v>21</v>
      </c>
      <c r="H1566" t="s">
        <v>22</v>
      </c>
      <c r="I1566" t="s">
        <v>2332</v>
      </c>
      <c r="J1566" t="s">
        <v>2333</v>
      </c>
      <c r="K1566" t="str">
        <f t="shared" si="216"/>
        <v>1300.8</v>
      </c>
      <c r="N1566" t="str">
        <f t="shared" si="217"/>
        <v>HOLDING REGISTER</v>
      </c>
      <c r="O1566" t="str">
        <f t="shared" si="218"/>
        <v>BOOL</v>
      </c>
      <c r="P1566" t="str">
        <f t="shared" si="219"/>
        <v>SELETTORE QVF NORD</v>
      </c>
      <c r="R1566" t="str">
        <f t="shared" si="220"/>
        <v>V1 VENT. ON</v>
      </c>
      <c r="U1566" t="str">
        <f t="shared" si="221"/>
        <v>Stato</v>
      </c>
      <c r="V1566" t="str">
        <f t="shared" si="222"/>
        <v>QVF</v>
      </c>
      <c r="W1566" t="str">
        <f t="shared" si="223"/>
        <v>GALLERIA SAN GIULIANO</v>
      </c>
      <c r="Z1566" t="str">
        <f t="shared" si="224"/>
        <v>10.220.80.16</v>
      </c>
    </row>
    <row r="1567" spans="1:26" x14ac:dyDescent="0.25">
      <c r="A1567" t="s">
        <v>10</v>
      </c>
      <c r="B1567" t="s">
        <v>1063</v>
      </c>
      <c r="C1567" t="s">
        <v>2326</v>
      </c>
      <c r="D1567" t="s">
        <v>555</v>
      </c>
      <c r="E1567" t="s">
        <v>2327</v>
      </c>
      <c r="F1567" t="s">
        <v>14</v>
      </c>
      <c r="G1567" t="s">
        <v>21</v>
      </c>
      <c r="H1567" t="s">
        <v>22</v>
      </c>
      <c r="I1567" t="s">
        <v>2334</v>
      </c>
      <c r="J1567" t="s">
        <v>2335</v>
      </c>
      <c r="K1567" t="str">
        <f t="shared" si="216"/>
        <v>1300.9</v>
      </c>
      <c r="N1567" t="str">
        <f t="shared" si="217"/>
        <v>HOLDING REGISTER</v>
      </c>
      <c r="O1567" t="str">
        <f t="shared" si="218"/>
        <v>BOOL</v>
      </c>
      <c r="P1567" t="str">
        <f t="shared" si="219"/>
        <v>SELETTORE QVF NORD</v>
      </c>
      <c r="R1567" t="str">
        <f t="shared" si="220"/>
        <v>V2 VENT. ON</v>
      </c>
      <c r="U1567" t="str">
        <f t="shared" si="221"/>
        <v>Stato</v>
      </c>
      <c r="V1567" t="str">
        <f t="shared" si="222"/>
        <v>QVF</v>
      </c>
      <c r="W1567" t="str">
        <f t="shared" si="223"/>
        <v>GALLERIA SAN GIULIANO</v>
      </c>
      <c r="Z1567" t="str">
        <f t="shared" si="224"/>
        <v>10.220.80.16</v>
      </c>
    </row>
    <row r="1568" spans="1:26" x14ac:dyDescent="0.25">
      <c r="A1568" t="s">
        <v>10</v>
      </c>
      <c r="B1568" t="s">
        <v>1063</v>
      </c>
      <c r="C1568" t="s">
        <v>2326</v>
      </c>
      <c r="D1568" t="s">
        <v>555</v>
      </c>
      <c r="E1568" t="s">
        <v>2327</v>
      </c>
      <c r="F1568" t="s">
        <v>14</v>
      </c>
      <c r="G1568" t="s">
        <v>21</v>
      </c>
      <c r="H1568" t="s">
        <v>22</v>
      </c>
      <c r="I1568" t="s">
        <v>2336</v>
      </c>
      <c r="J1568" t="s">
        <v>2337</v>
      </c>
      <c r="K1568" t="str">
        <f t="shared" si="216"/>
        <v>1300.10</v>
      </c>
      <c r="N1568" t="str">
        <f t="shared" si="217"/>
        <v>HOLDING REGISTER</v>
      </c>
      <c r="O1568" t="str">
        <f t="shared" si="218"/>
        <v>BOOL</v>
      </c>
      <c r="P1568" t="str">
        <f t="shared" si="219"/>
        <v>SELETTORE QVF NORD</v>
      </c>
      <c r="R1568" t="str">
        <f t="shared" si="220"/>
        <v>V3 VENT. ON</v>
      </c>
      <c r="U1568" t="str">
        <f t="shared" si="221"/>
        <v>Stato</v>
      </c>
      <c r="V1568" t="str">
        <f t="shared" si="222"/>
        <v>QVF</v>
      </c>
      <c r="W1568" t="str">
        <f t="shared" si="223"/>
        <v>GALLERIA SAN GIULIANO</v>
      </c>
      <c r="Z1568" t="str">
        <f t="shared" si="224"/>
        <v>10.220.80.16</v>
      </c>
    </row>
    <row r="1569" spans="1:26" x14ac:dyDescent="0.25">
      <c r="A1569" t="s">
        <v>10</v>
      </c>
      <c r="B1569" t="s">
        <v>1063</v>
      </c>
      <c r="C1569" t="s">
        <v>2326</v>
      </c>
      <c r="D1569" t="s">
        <v>555</v>
      </c>
      <c r="E1569" t="s">
        <v>2327</v>
      </c>
      <c r="F1569" t="s">
        <v>14</v>
      </c>
      <c r="G1569" t="s">
        <v>21</v>
      </c>
      <c r="H1569" t="s">
        <v>22</v>
      </c>
      <c r="I1569" t="s">
        <v>2338</v>
      </c>
      <c r="J1569" t="s">
        <v>2339</v>
      </c>
      <c r="K1569" t="str">
        <f t="shared" si="216"/>
        <v>1300.11</v>
      </c>
      <c r="N1569" t="str">
        <f t="shared" si="217"/>
        <v>HOLDING REGISTER</v>
      </c>
      <c r="O1569" t="str">
        <f t="shared" si="218"/>
        <v>BOOL</v>
      </c>
      <c r="P1569" t="str">
        <f t="shared" si="219"/>
        <v>SELETTORE QVF NORD</v>
      </c>
      <c r="R1569" t="str">
        <f t="shared" si="220"/>
        <v>V4 VENT. ON</v>
      </c>
      <c r="U1569" t="str">
        <f t="shared" si="221"/>
        <v>Stato</v>
      </c>
      <c r="V1569" t="str">
        <f t="shared" si="222"/>
        <v>QVF</v>
      </c>
      <c r="W1569" t="str">
        <f t="shared" si="223"/>
        <v>GALLERIA SAN GIULIANO</v>
      </c>
      <c r="Z1569" t="str">
        <f t="shared" si="224"/>
        <v>10.220.80.16</v>
      </c>
    </row>
    <row r="1570" spans="1:26" x14ac:dyDescent="0.25">
      <c r="A1570" t="s">
        <v>10</v>
      </c>
      <c r="B1570" t="s">
        <v>1063</v>
      </c>
      <c r="C1570" t="s">
        <v>2326</v>
      </c>
      <c r="D1570" t="s">
        <v>2340</v>
      </c>
      <c r="E1570" t="s">
        <v>2327</v>
      </c>
      <c r="F1570" t="s">
        <v>14</v>
      </c>
      <c r="G1570" t="s">
        <v>21</v>
      </c>
      <c r="H1570" t="s">
        <v>22</v>
      </c>
      <c r="I1570" t="s">
        <v>2341</v>
      </c>
      <c r="J1570" t="s">
        <v>2342</v>
      </c>
      <c r="K1570" t="str">
        <f t="shared" si="216"/>
        <v>1037.10</v>
      </c>
      <c r="N1570" t="str">
        <f t="shared" si="217"/>
        <v>HOLDING REGISTER</v>
      </c>
      <c r="O1570" t="str">
        <f t="shared" si="218"/>
        <v>BOOL</v>
      </c>
      <c r="P1570" t="str">
        <f t="shared" si="219"/>
        <v>PRESA COMANDI QVF NORD</v>
      </c>
      <c r="R1570" t="str">
        <f t="shared" si="220"/>
        <v>QUADRO ATTIVO</v>
      </c>
      <c r="U1570" t="str">
        <f t="shared" si="221"/>
        <v>Stato</v>
      </c>
      <c r="V1570" t="str">
        <f t="shared" si="222"/>
        <v>QVF</v>
      </c>
      <c r="W1570" t="str">
        <f t="shared" si="223"/>
        <v>GALLERIA SAN GIULIANO</v>
      </c>
      <c r="Z1570" t="str">
        <f t="shared" si="224"/>
        <v>10.220.80.16</v>
      </c>
    </row>
    <row r="1571" spans="1:26" x14ac:dyDescent="0.25">
      <c r="A1571" t="s">
        <v>10</v>
      </c>
      <c r="B1571" t="s">
        <v>1063</v>
      </c>
      <c r="C1571" t="s">
        <v>2326</v>
      </c>
      <c r="D1571" t="s">
        <v>12</v>
      </c>
      <c r="E1571" t="s">
        <v>2327</v>
      </c>
      <c r="F1571" t="s">
        <v>14</v>
      </c>
      <c r="G1571" t="s">
        <v>28</v>
      </c>
      <c r="H1571" t="s">
        <v>22</v>
      </c>
      <c r="I1571" t="s">
        <v>2343</v>
      </c>
      <c r="J1571" t="s">
        <v>1381</v>
      </c>
      <c r="K1571" t="str">
        <f t="shared" si="216"/>
        <v>1037.11</v>
      </c>
      <c r="N1571" t="str">
        <f t="shared" si="217"/>
        <v>HOLDING REGISTER</v>
      </c>
      <c r="O1571" t="str">
        <f t="shared" si="218"/>
        <v>BOOL</v>
      </c>
      <c r="P1571" t="str">
        <f t="shared" si="219"/>
        <v>PLC QVF NORD</v>
      </c>
      <c r="R1571" t="str">
        <f t="shared" si="220"/>
        <v>PLC IN STOP</v>
      </c>
      <c r="U1571" t="str">
        <f t="shared" si="221"/>
        <v>Allarme</v>
      </c>
      <c r="V1571" t="str">
        <f t="shared" si="222"/>
        <v>QVF</v>
      </c>
      <c r="W1571" t="str">
        <f t="shared" si="223"/>
        <v>GALLERIA SAN GIULIANO</v>
      </c>
      <c r="Z1571" t="str">
        <f t="shared" si="224"/>
        <v>10.220.80.16</v>
      </c>
    </row>
    <row r="1572" spans="1:26" x14ac:dyDescent="0.25">
      <c r="A1572" t="s">
        <v>10</v>
      </c>
      <c r="B1572" t="s">
        <v>1063</v>
      </c>
      <c r="C1572" t="s">
        <v>2326</v>
      </c>
      <c r="D1572" t="s">
        <v>12</v>
      </c>
      <c r="E1572" t="s">
        <v>2327</v>
      </c>
      <c r="F1572" t="s">
        <v>14</v>
      </c>
      <c r="G1572" t="s">
        <v>28</v>
      </c>
      <c r="H1572" t="s">
        <v>22</v>
      </c>
      <c r="I1572" t="s">
        <v>2344</v>
      </c>
      <c r="J1572" t="s">
        <v>1383</v>
      </c>
      <c r="K1572" t="str">
        <f t="shared" si="216"/>
        <v>1037.12</v>
      </c>
      <c r="N1572" t="str">
        <f t="shared" si="217"/>
        <v>HOLDING REGISTER</v>
      </c>
      <c r="O1572" t="str">
        <f t="shared" si="218"/>
        <v>BOOL</v>
      </c>
      <c r="P1572" t="str">
        <f t="shared" si="219"/>
        <v>PLC QVF NORD</v>
      </c>
      <c r="R1572" t="str">
        <f t="shared" si="220"/>
        <v>FAULT COMUNICAZIONE ETHERNET</v>
      </c>
      <c r="U1572" t="str">
        <f t="shared" si="221"/>
        <v>Allarme</v>
      </c>
      <c r="V1572" t="str">
        <f t="shared" si="222"/>
        <v>QVF</v>
      </c>
      <c r="W1572" t="str">
        <f t="shared" si="223"/>
        <v>GALLERIA SAN GIULIANO</v>
      </c>
      <c r="Z1572" t="str">
        <f t="shared" si="224"/>
        <v>10.220.80.16</v>
      </c>
    </row>
    <row r="1573" spans="1:26" x14ac:dyDescent="0.25">
      <c r="A1573" t="s">
        <v>10</v>
      </c>
      <c r="B1573" t="s">
        <v>1063</v>
      </c>
      <c r="C1573" t="s">
        <v>2326</v>
      </c>
      <c r="D1573" t="s">
        <v>555</v>
      </c>
      <c r="E1573" t="s">
        <v>2345</v>
      </c>
      <c r="F1573" t="s">
        <v>14</v>
      </c>
      <c r="G1573" t="s">
        <v>21</v>
      </c>
      <c r="H1573" t="s">
        <v>22</v>
      </c>
      <c r="I1573" t="s">
        <v>2346</v>
      </c>
      <c r="J1573" t="s">
        <v>2329</v>
      </c>
      <c r="K1573" t="str">
        <f t="shared" si="216"/>
        <v>1300.12</v>
      </c>
      <c r="N1573" t="str">
        <f t="shared" si="217"/>
        <v>HOLDING REGISTER</v>
      </c>
      <c r="O1573" t="str">
        <f t="shared" si="218"/>
        <v>BOOL</v>
      </c>
      <c r="P1573" t="str">
        <f t="shared" si="219"/>
        <v>SELETTORE QVF SUD</v>
      </c>
      <c r="R1573" t="str">
        <f t="shared" si="220"/>
        <v>QVF IN LOCALE</v>
      </c>
      <c r="U1573" t="str">
        <f t="shared" si="221"/>
        <v>Stato</v>
      </c>
      <c r="V1573" t="str">
        <f t="shared" si="222"/>
        <v>QVF</v>
      </c>
      <c r="W1573" t="str">
        <f t="shared" si="223"/>
        <v>GALLERIA SAN GIULIANO</v>
      </c>
      <c r="Z1573" t="str">
        <f t="shared" si="224"/>
        <v>10.220.80.16</v>
      </c>
    </row>
    <row r="1574" spans="1:26" x14ac:dyDescent="0.25">
      <c r="A1574" t="s">
        <v>10</v>
      </c>
      <c r="B1574" t="s">
        <v>1063</v>
      </c>
      <c r="C1574" t="s">
        <v>2326</v>
      </c>
      <c r="D1574" t="s">
        <v>555</v>
      </c>
      <c r="E1574" t="s">
        <v>2345</v>
      </c>
      <c r="F1574" t="s">
        <v>14</v>
      </c>
      <c r="G1574" t="s">
        <v>21</v>
      </c>
      <c r="H1574" t="s">
        <v>22</v>
      </c>
      <c r="I1574" t="s">
        <v>2347</v>
      </c>
      <c r="J1574" t="s">
        <v>1761</v>
      </c>
      <c r="K1574" t="str">
        <f t="shared" si="216"/>
        <v>1300.13</v>
      </c>
      <c r="N1574" t="str">
        <f t="shared" si="217"/>
        <v>HOLDING REGISTER</v>
      </c>
      <c r="O1574" t="str">
        <f t="shared" si="218"/>
        <v>BOOL</v>
      </c>
      <c r="P1574" t="str">
        <f t="shared" si="219"/>
        <v>SELETTORE QVF SUD</v>
      </c>
      <c r="R1574" t="str">
        <f t="shared" si="220"/>
        <v>DIREZIONE NORD</v>
      </c>
      <c r="U1574" t="str">
        <f t="shared" si="221"/>
        <v>Stato</v>
      </c>
      <c r="V1574" t="str">
        <f t="shared" si="222"/>
        <v>QVF</v>
      </c>
      <c r="W1574" t="str">
        <f t="shared" si="223"/>
        <v>GALLERIA SAN GIULIANO</v>
      </c>
      <c r="Z1574" t="str">
        <f t="shared" si="224"/>
        <v>10.220.80.16</v>
      </c>
    </row>
    <row r="1575" spans="1:26" x14ac:dyDescent="0.25">
      <c r="A1575" t="s">
        <v>10</v>
      </c>
      <c r="B1575" t="s">
        <v>1063</v>
      </c>
      <c r="C1575" t="s">
        <v>2326</v>
      </c>
      <c r="D1575" t="s">
        <v>555</v>
      </c>
      <c r="E1575" t="s">
        <v>2345</v>
      </c>
      <c r="F1575" t="s">
        <v>14</v>
      </c>
      <c r="G1575" t="s">
        <v>21</v>
      </c>
      <c r="H1575" t="s">
        <v>22</v>
      </c>
      <c r="I1575" t="s">
        <v>2348</v>
      </c>
      <c r="J1575" t="s">
        <v>1618</v>
      </c>
      <c r="K1575" t="str">
        <f t="shared" si="216"/>
        <v>1300.14</v>
      </c>
      <c r="N1575" t="str">
        <f t="shared" si="217"/>
        <v>HOLDING REGISTER</v>
      </c>
      <c r="O1575" t="str">
        <f t="shared" si="218"/>
        <v>BOOL</v>
      </c>
      <c r="P1575" t="str">
        <f t="shared" si="219"/>
        <v>SELETTORE QVF SUD</v>
      </c>
      <c r="R1575" t="str">
        <f t="shared" si="220"/>
        <v>DIREZIONE SUD</v>
      </c>
      <c r="U1575" t="str">
        <f t="shared" si="221"/>
        <v>Stato</v>
      </c>
      <c r="V1575" t="str">
        <f t="shared" si="222"/>
        <v>QVF</v>
      </c>
      <c r="W1575" t="str">
        <f t="shared" si="223"/>
        <v>GALLERIA SAN GIULIANO</v>
      </c>
      <c r="Z1575" t="str">
        <f t="shared" si="224"/>
        <v>10.220.80.16</v>
      </c>
    </row>
    <row r="1576" spans="1:26" x14ac:dyDescent="0.25">
      <c r="A1576" t="s">
        <v>10</v>
      </c>
      <c r="B1576" t="s">
        <v>1063</v>
      </c>
      <c r="C1576" t="s">
        <v>2326</v>
      </c>
      <c r="D1576" t="s">
        <v>555</v>
      </c>
      <c r="E1576" t="s">
        <v>2345</v>
      </c>
      <c r="F1576" t="s">
        <v>14</v>
      </c>
      <c r="G1576" t="s">
        <v>21</v>
      </c>
      <c r="H1576" t="s">
        <v>22</v>
      </c>
      <c r="I1576" t="s">
        <v>2349</v>
      </c>
      <c r="J1576" t="s">
        <v>2333</v>
      </c>
      <c r="K1576" t="str">
        <f t="shared" si="216"/>
        <v>1300.15</v>
      </c>
      <c r="N1576" t="str">
        <f t="shared" si="217"/>
        <v>HOLDING REGISTER</v>
      </c>
      <c r="O1576" t="str">
        <f t="shared" si="218"/>
        <v>BOOL</v>
      </c>
      <c r="P1576" t="str">
        <f t="shared" si="219"/>
        <v>SELETTORE QVF SUD</v>
      </c>
      <c r="R1576" t="str">
        <f t="shared" si="220"/>
        <v>V1 VENT. ON</v>
      </c>
      <c r="U1576" t="str">
        <f t="shared" si="221"/>
        <v>Stato</v>
      </c>
      <c r="V1576" t="str">
        <f t="shared" si="222"/>
        <v>QVF</v>
      </c>
      <c r="W1576" t="str">
        <f t="shared" si="223"/>
        <v>GALLERIA SAN GIULIANO</v>
      </c>
      <c r="Z1576" t="str">
        <f t="shared" si="224"/>
        <v>10.220.80.16</v>
      </c>
    </row>
    <row r="1577" spans="1:26" x14ac:dyDescent="0.25">
      <c r="A1577" t="s">
        <v>10</v>
      </c>
      <c r="B1577" t="s">
        <v>1063</v>
      </c>
      <c r="C1577" t="s">
        <v>2326</v>
      </c>
      <c r="D1577" t="s">
        <v>555</v>
      </c>
      <c r="E1577" t="s">
        <v>2345</v>
      </c>
      <c r="F1577" t="s">
        <v>14</v>
      </c>
      <c r="G1577" t="s">
        <v>21</v>
      </c>
      <c r="H1577" t="s">
        <v>22</v>
      </c>
      <c r="I1577" t="s">
        <v>2350</v>
      </c>
      <c r="J1577" t="s">
        <v>2335</v>
      </c>
      <c r="K1577" t="str">
        <f t="shared" si="216"/>
        <v>1301.0</v>
      </c>
      <c r="N1577" t="str">
        <f t="shared" si="217"/>
        <v>HOLDING REGISTER</v>
      </c>
      <c r="O1577" t="str">
        <f t="shared" si="218"/>
        <v>BOOL</v>
      </c>
      <c r="P1577" t="str">
        <f t="shared" si="219"/>
        <v>SELETTORE QVF SUD</v>
      </c>
      <c r="R1577" t="str">
        <f t="shared" si="220"/>
        <v>V2 VENT. ON</v>
      </c>
      <c r="U1577" t="str">
        <f t="shared" si="221"/>
        <v>Stato</v>
      </c>
      <c r="V1577" t="str">
        <f t="shared" si="222"/>
        <v>QVF</v>
      </c>
      <c r="W1577" t="str">
        <f t="shared" si="223"/>
        <v>GALLERIA SAN GIULIANO</v>
      </c>
      <c r="Z1577" t="str">
        <f t="shared" si="224"/>
        <v>10.220.80.16</v>
      </c>
    </row>
    <row r="1578" spans="1:26" x14ac:dyDescent="0.25">
      <c r="A1578" t="s">
        <v>10</v>
      </c>
      <c r="B1578" t="s">
        <v>1063</v>
      </c>
      <c r="C1578" t="s">
        <v>2326</v>
      </c>
      <c r="D1578" t="s">
        <v>555</v>
      </c>
      <c r="E1578" t="s">
        <v>2345</v>
      </c>
      <c r="F1578" t="s">
        <v>14</v>
      </c>
      <c r="G1578" t="s">
        <v>21</v>
      </c>
      <c r="H1578" t="s">
        <v>22</v>
      </c>
      <c r="I1578" t="s">
        <v>2351</v>
      </c>
      <c r="J1578" t="s">
        <v>2337</v>
      </c>
      <c r="K1578" t="str">
        <f t="shared" si="216"/>
        <v>1301.1</v>
      </c>
      <c r="N1578" t="str">
        <f t="shared" si="217"/>
        <v>HOLDING REGISTER</v>
      </c>
      <c r="O1578" t="str">
        <f t="shared" si="218"/>
        <v>BOOL</v>
      </c>
      <c r="P1578" t="str">
        <f t="shared" si="219"/>
        <v>SELETTORE QVF SUD</v>
      </c>
      <c r="R1578" t="str">
        <f t="shared" si="220"/>
        <v>V3 VENT. ON</v>
      </c>
      <c r="U1578" t="str">
        <f t="shared" si="221"/>
        <v>Stato</v>
      </c>
      <c r="V1578" t="str">
        <f t="shared" si="222"/>
        <v>QVF</v>
      </c>
      <c r="W1578" t="str">
        <f t="shared" si="223"/>
        <v>GALLERIA SAN GIULIANO</v>
      </c>
      <c r="Z1578" t="str">
        <f t="shared" si="224"/>
        <v>10.220.80.16</v>
      </c>
    </row>
    <row r="1579" spans="1:26" x14ac:dyDescent="0.25">
      <c r="A1579" t="s">
        <v>10</v>
      </c>
      <c r="B1579" t="s">
        <v>1063</v>
      </c>
      <c r="C1579" t="s">
        <v>2326</v>
      </c>
      <c r="D1579" t="s">
        <v>555</v>
      </c>
      <c r="E1579" t="s">
        <v>2345</v>
      </c>
      <c r="F1579" t="s">
        <v>14</v>
      </c>
      <c r="G1579" t="s">
        <v>21</v>
      </c>
      <c r="H1579" t="s">
        <v>22</v>
      </c>
      <c r="I1579" t="s">
        <v>2352</v>
      </c>
      <c r="J1579" t="s">
        <v>2339</v>
      </c>
      <c r="K1579" t="str">
        <f t="shared" si="216"/>
        <v>1301.2</v>
      </c>
      <c r="N1579" t="str">
        <f t="shared" si="217"/>
        <v>HOLDING REGISTER</v>
      </c>
      <c r="O1579" t="str">
        <f t="shared" si="218"/>
        <v>BOOL</v>
      </c>
      <c r="P1579" t="str">
        <f t="shared" si="219"/>
        <v>SELETTORE QVF SUD</v>
      </c>
      <c r="R1579" t="str">
        <f t="shared" si="220"/>
        <v>V4 VENT. ON</v>
      </c>
      <c r="U1579" t="str">
        <f t="shared" si="221"/>
        <v>Stato</v>
      </c>
      <c r="V1579" t="str">
        <f t="shared" si="222"/>
        <v>QVF</v>
      </c>
      <c r="W1579" t="str">
        <f t="shared" si="223"/>
        <v>GALLERIA SAN GIULIANO</v>
      </c>
      <c r="Z1579" t="str">
        <f t="shared" si="224"/>
        <v>10.220.80.16</v>
      </c>
    </row>
    <row r="1580" spans="1:26" x14ac:dyDescent="0.25">
      <c r="A1580" t="s">
        <v>10</v>
      </c>
      <c r="B1580" t="s">
        <v>1063</v>
      </c>
      <c r="C1580" t="s">
        <v>2326</v>
      </c>
      <c r="D1580" t="s">
        <v>2340</v>
      </c>
      <c r="E1580" t="s">
        <v>2345</v>
      </c>
      <c r="F1580" t="s">
        <v>14</v>
      </c>
      <c r="G1580" t="s">
        <v>21</v>
      </c>
      <c r="H1580" t="s">
        <v>22</v>
      </c>
      <c r="I1580" t="s">
        <v>2353</v>
      </c>
      <c r="J1580" t="s">
        <v>2342</v>
      </c>
      <c r="K1580" t="str">
        <f t="shared" si="216"/>
        <v>1037.13</v>
      </c>
      <c r="N1580" t="str">
        <f t="shared" si="217"/>
        <v>HOLDING REGISTER</v>
      </c>
      <c r="O1580" t="str">
        <f t="shared" si="218"/>
        <v>BOOL</v>
      </c>
      <c r="P1580" t="str">
        <f t="shared" si="219"/>
        <v>PRESA COMANDI QVF SUD</v>
      </c>
      <c r="R1580" t="str">
        <f t="shared" si="220"/>
        <v>QUADRO ATTIVO</v>
      </c>
      <c r="U1580" t="str">
        <f t="shared" si="221"/>
        <v>Stato</v>
      </c>
      <c r="V1580" t="str">
        <f t="shared" si="222"/>
        <v>QVF</v>
      </c>
      <c r="W1580" t="str">
        <f t="shared" si="223"/>
        <v>GALLERIA SAN GIULIANO</v>
      </c>
      <c r="Z1580" t="str">
        <f t="shared" si="224"/>
        <v>10.220.80.16</v>
      </c>
    </row>
    <row r="1581" spans="1:26" x14ac:dyDescent="0.25">
      <c r="A1581" t="s">
        <v>10</v>
      </c>
      <c r="B1581" t="s">
        <v>1063</v>
      </c>
      <c r="C1581" t="s">
        <v>2326</v>
      </c>
      <c r="D1581" t="s">
        <v>12</v>
      </c>
      <c r="E1581" t="s">
        <v>2345</v>
      </c>
      <c r="F1581" t="s">
        <v>14</v>
      </c>
      <c r="G1581" t="s">
        <v>28</v>
      </c>
      <c r="H1581" t="s">
        <v>22</v>
      </c>
      <c r="I1581" t="s">
        <v>2354</v>
      </c>
      <c r="J1581" t="s">
        <v>1381</v>
      </c>
      <c r="K1581" t="str">
        <f t="shared" si="216"/>
        <v>1037.14</v>
      </c>
      <c r="N1581" t="str">
        <f t="shared" si="217"/>
        <v>HOLDING REGISTER</v>
      </c>
      <c r="O1581" t="str">
        <f t="shared" si="218"/>
        <v>BOOL</v>
      </c>
      <c r="P1581" t="str">
        <f t="shared" si="219"/>
        <v>PLC QVF SUD</v>
      </c>
      <c r="R1581" t="str">
        <f t="shared" si="220"/>
        <v>PLC IN STOP</v>
      </c>
      <c r="U1581" t="str">
        <f t="shared" si="221"/>
        <v>Allarme</v>
      </c>
      <c r="V1581" t="str">
        <f t="shared" si="222"/>
        <v>QVF</v>
      </c>
      <c r="W1581" t="str">
        <f t="shared" si="223"/>
        <v>GALLERIA SAN GIULIANO</v>
      </c>
      <c r="Z1581" t="str">
        <f t="shared" si="224"/>
        <v>10.220.80.16</v>
      </c>
    </row>
    <row r="1582" spans="1:26" x14ac:dyDescent="0.25">
      <c r="A1582" t="s">
        <v>10</v>
      </c>
      <c r="B1582" t="s">
        <v>1063</v>
      </c>
      <c r="C1582" t="s">
        <v>2326</v>
      </c>
      <c r="D1582" t="s">
        <v>12</v>
      </c>
      <c r="E1582" t="s">
        <v>2345</v>
      </c>
      <c r="F1582" t="s">
        <v>14</v>
      </c>
      <c r="G1582" t="s">
        <v>28</v>
      </c>
      <c r="H1582" t="s">
        <v>22</v>
      </c>
      <c r="I1582" t="s">
        <v>2355</v>
      </c>
      <c r="J1582" t="s">
        <v>1383</v>
      </c>
      <c r="K1582" t="str">
        <f t="shared" si="216"/>
        <v>1037.15</v>
      </c>
      <c r="N1582" t="str">
        <f t="shared" si="217"/>
        <v>HOLDING REGISTER</v>
      </c>
      <c r="O1582" t="str">
        <f t="shared" si="218"/>
        <v>BOOL</v>
      </c>
      <c r="P1582" t="str">
        <f t="shared" si="219"/>
        <v>PLC QVF SUD</v>
      </c>
      <c r="R1582" t="str">
        <f t="shared" si="220"/>
        <v>FAULT COMUNICAZIONE ETHERNET</v>
      </c>
      <c r="U1582" t="str">
        <f t="shared" si="221"/>
        <v>Allarme</v>
      </c>
      <c r="V1582" t="str">
        <f t="shared" si="222"/>
        <v>QVF</v>
      </c>
      <c r="W1582" t="str">
        <f t="shared" si="223"/>
        <v>GALLERIA SAN GIULIANO</v>
      </c>
      <c r="Z1582" t="str">
        <f t="shared" si="224"/>
        <v>10.220.80.16</v>
      </c>
    </row>
    <row r="1583" spans="1:26" x14ac:dyDescent="0.25">
      <c r="A1583" t="s">
        <v>10</v>
      </c>
      <c r="B1583" t="s">
        <v>1063</v>
      </c>
      <c r="C1583" t="s">
        <v>2173</v>
      </c>
      <c r="D1583" t="s">
        <v>2356</v>
      </c>
      <c r="E1583" t="s">
        <v>2356</v>
      </c>
      <c r="F1583" t="s">
        <v>14</v>
      </c>
      <c r="G1583" t="s">
        <v>21</v>
      </c>
      <c r="H1583" t="s">
        <v>22</v>
      </c>
      <c r="I1583" t="s">
        <v>2357</v>
      </c>
      <c r="J1583" t="s">
        <v>2358</v>
      </c>
      <c r="K1583" t="str">
        <f t="shared" si="216"/>
        <v>1301.3</v>
      </c>
      <c r="N1583" t="str">
        <f t="shared" si="217"/>
        <v>HOLDING REGISTER</v>
      </c>
      <c r="O1583" t="str">
        <f t="shared" si="218"/>
        <v>BOOL</v>
      </c>
      <c r="P1583" t="str">
        <f t="shared" si="219"/>
        <v>STATO VENTILAZIONE STATO VENTILAZIONE</v>
      </c>
      <c r="R1583" t="str">
        <f t="shared" si="220"/>
        <v>Stato Ventilazione : Sanitaria</v>
      </c>
      <c r="U1583" t="str">
        <f t="shared" si="221"/>
        <v>Stato</v>
      </c>
      <c r="V1583" t="str">
        <f t="shared" si="222"/>
        <v>GALLERIA</v>
      </c>
      <c r="W1583" t="str">
        <f t="shared" si="223"/>
        <v>GALLERIA SAN GIULIANO</v>
      </c>
      <c r="Z1583" t="str">
        <f t="shared" si="224"/>
        <v>10.220.80.16</v>
      </c>
    </row>
    <row r="1584" spans="1:26" x14ac:dyDescent="0.25">
      <c r="A1584" t="s">
        <v>10</v>
      </c>
      <c r="B1584" t="s">
        <v>1063</v>
      </c>
      <c r="C1584" t="s">
        <v>2173</v>
      </c>
      <c r="D1584" t="s">
        <v>2356</v>
      </c>
      <c r="E1584" t="s">
        <v>2356</v>
      </c>
      <c r="F1584" t="s">
        <v>14</v>
      </c>
      <c r="G1584" t="s">
        <v>21</v>
      </c>
      <c r="H1584" t="s">
        <v>22</v>
      </c>
      <c r="I1584" t="s">
        <v>2359</v>
      </c>
      <c r="J1584" t="s">
        <v>2360</v>
      </c>
      <c r="K1584" t="str">
        <f t="shared" si="216"/>
        <v>1301.4</v>
      </c>
      <c r="N1584" t="str">
        <f t="shared" si="217"/>
        <v>HOLDING REGISTER</v>
      </c>
      <c r="O1584" t="str">
        <f t="shared" si="218"/>
        <v>BOOL</v>
      </c>
      <c r="P1584" t="str">
        <f t="shared" si="219"/>
        <v>STATO VENTILAZIONE STATO VENTILAZIONE</v>
      </c>
      <c r="R1584" t="str">
        <f t="shared" si="220"/>
        <v>Stato Ventilazione : attesa stratificazione</v>
      </c>
      <c r="U1584" t="str">
        <f t="shared" si="221"/>
        <v>Stato</v>
      </c>
      <c r="V1584" t="str">
        <f t="shared" si="222"/>
        <v>GALLERIA</v>
      </c>
      <c r="W1584" t="str">
        <f t="shared" si="223"/>
        <v>GALLERIA SAN GIULIANO</v>
      </c>
      <c r="Z1584" t="str">
        <f t="shared" si="224"/>
        <v>10.220.80.16</v>
      </c>
    </row>
    <row r="1585" spans="1:26" x14ac:dyDescent="0.25">
      <c r="A1585" t="s">
        <v>10</v>
      </c>
      <c r="B1585" t="s">
        <v>1063</v>
      </c>
      <c r="C1585" t="s">
        <v>2173</v>
      </c>
      <c r="D1585" t="s">
        <v>2356</v>
      </c>
      <c r="E1585" t="s">
        <v>2356</v>
      </c>
      <c r="F1585" t="s">
        <v>14</v>
      </c>
      <c r="G1585" t="s">
        <v>21</v>
      </c>
      <c r="H1585" t="s">
        <v>22</v>
      </c>
      <c r="I1585" t="s">
        <v>2361</v>
      </c>
      <c r="J1585" t="s">
        <v>2362</v>
      </c>
      <c r="K1585" t="str">
        <f t="shared" si="216"/>
        <v>1301.5</v>
      </c>
      <c r="N1585" t="str">
        <f t="shared" si="217"/>
        <v>HOLDING REGISTER</v>
      </c>
      <c r="O1585" t="str">
        <f t="shared" si="218"/>
        <v>BOOL</v>
      </c>
      <c r="P1585" t="str">
        <f t="shared" si="219"/>
        <v>STATO VENTILAZIONE STATO VENTILAZIONE</v>
      </c>
      <c r="R1585" t="str">
        <f t="shared" si="220"/>
        <v>Stato Ventilazione : stratificazione</v>
      </c>
      <c r="U1585" t="str">
        <f t="shared" si="221"/>
        <v>Stato</v>
      </c>
      <c r="V1585" t="str">
        <f t="shared" si="222"/>
        <v>GALLERIA</v>
      </c>
      <c r="W1585" t="str">
        <f t="shared" si="223"/>
        <v>GALLERIA SAN GIULIANO</v>
      </c>
      <c r="Z1585" t="str">
        <f t="shared" si="224"/>
        <v>10.220.80.16</v>
      </c>
    </row>
    <row r="1586" spans="1:26" x14ac:dyDescent="0.25">
      <c r="A1586" t="s">
        <v>10</v>
      </c>
      <c r="B1586" t="s">
        <v>1063</v>
      </c>
      <c r="C1586" t="s">
        <v>2173</v>
      </c>
      <c r="D1586" t="s">
        <v>2356</v>
      </c>
      <c r="E1586" t="s">
        <v>2356</v>
      </c>
      <c r="F1586" t="s">
        <v>14</v>
      </c>
      <c r="G1586" t="s">
        <v>21</v>
      </c>
      <c r="H1586" t="s">
        <v>22</v>
      </c>
      <c r="I1586" t="s">
        <v>2363</v>
      </c>
      <c r="J1586" t="s">
        <v>2364</v>
      </c>
      <c r="K1586" t="str">
        <f t="shared" si="216"/>
        <v>1301.6</v>
      </c>
      <c r="N1586" t="str">
        <f t="shared" si="217"/>
        <v>HOLDING REGISTER</v>
      </c>
      <c r="O1586" t="str">
        <f t="shared" si="218"/>
        <v>BOOL</v>
      </c>
      <c r="P1586" t="str">
        <f t="shared" si="219"/>
        <v>STATO VENTILAZIONE STATO VENTILAZIONE</v>
      </c>
      <c r="R1586" t="str">
        <f t="shared" si="220"/>
        <v xml:space="preserve">Stato Ventilazione : attesa lavaggio </v>
      </c>
      <c r="U1586" t="str">
        <f t="shared" si="221"/>
        <v>Stato</v>
      </c>
      <c r="V1586" t="str">
        <f t="shared" si="222"/>
        <v>GALLERIA</v>
      </c>
      <c r="W1586" t="str">
        <f t="shared" si="223"/>
        <v>GALLERIA SAN GIULIANO</v>
      </c>
      <c r="Z1586" t="str">
        <f t="shared" si="224"/>
        <v>10.220.80.16</v>
      </c>
    </row>
    <row r="1587" spans="1:26" x14ac:dyDescent="0.25">
      <c r="A1587" t="s">
        <v>10</v>
      </c>
      <c r="B1587" t="s">
        <v>1063</v>
      </c>
      <c r="C1587" t="s">
        <v>2173</v>
      </c>
      <c r="D1587" t="s">
        <v>2356</v>
      </c>
      <c r="E1587" t="s">
        <v>2356</v>
      </c>
      <c r="F1587" t="s">
        <v>14</v>
      </c>
      <c r="G1587" t="s">
        <v>21</v>
      </c>
      <c r="H1587" t="s">
        <v>22</v>
      </c>
      <c r="I1587" t="s">
        <v>2365</v>
      </c>
      <c r="J1587" t="s">
        <v>2366</v>
      </c>
      <c r="K1587" t="str">
        <f t="shared" si="216"/>
        <v>1301.7</v>
      </c>
      <c r="N1587" t="str">
        <f t="shared" si="217"/>
        <v>HOLDING REGISTER</v>
      </c>
      <c r="O1587" t="str">
        <f t="shared" si="218"/>
        <v>BOOL</v>
      </c>
      <c r="P1587" t="str">
        <f t="shared" si="219"/>
        <v>STATO VENTILAZIONE STATO VENTILAZIONE</v>
      </c>
      <c r="R1587" t="str">
        <f t="shared" si="220"/>
        <v xml:space="preserve">Stato Ventilazione : lavaggio </v>
      </c>
      <c r="U1587" t="str">
        <f t="shared" si="221"/>
        <v>Stato</v>
      </c>
      <c r="V1587" t="str">
        <f t="shared" si="222"/>
        <v>GALLERIA</v>
      </c>
      <c r="W1587" t="str">
        <f t="shared" si="223"/>
        <v>GALLERIA SAN GIULIANO</v>
      </c>
      <c r="Z1587" t="str">
        <f t="shared" si="224"/>
        <v>10.220.80.16</v>
      </c>
    </row>
    <row r="1588" spans="1:26" x14ac:dyDescent="0.25">
      <c r="A1588" t="s">
        <v>10</v>
      </c>
      <c r="B1588" t="s">
        <v>1063</v>
      </c>
      <c r="C1588" t="s">
        <v>2173</v>
      </c>
      <c r="D1588" t="s">
        <v>2356</v>
      </c>
      <c r="E1588" t="s">
        <v>2356</v>
      </c>
      <c r="F1588" t="s">
        <v>14</v>
      </c>
      <c r="G1588" t="s">
        <v>21</v>
      </c>
      <c r="H1588" t="s">
        <v>22</v>
      </c>
      <c r="I1588" t="s">
        <v>2367</v>
      </c>
      <c r="J1588" t="s">
        <v>2368</v>
      </c>
      <c r="K1588" t="str">
        <f t="shared" si="216"/>
        <v>1301.8</v>
      </c>
      <c r="N1588" t="str">
        <f t="shared" si="217"/>
        <v>HOLDING REGISTER</v>
      </c>
      <c r="O1588" t="str">
        <f t="shared" si="218"/>
        <v>BOOL</v>
      </c>
      <c r="P1588" t="str">
        <f t="shared" si="219"/>
        <v>STATO VENTILAZIONE STATO VENTILAZIONE</v>
      </c>
      <c r="R1588" t="str">
        <f t="shared" si="220"/>
        <v>Stato Ventilazione : attesa arresto ventilazione dopo presa comandi VVF</v>
      </c>
      <c r="U1588" t="str">
        <f t="shared" si="221"/>
        <v>Stato</v>
      </c>
      <c r="V1588" t="str">
        <f t="shared" si="222"/>
        <v>GALLERIA</v>
      </c>
      <c r="W1588" t="str">
        <f t="shared" si="223"/>
        <v>GALLERIA SAN GIULIANO</v>
      </c>
      <c r="Z1588" t="str">
        <f t="shared" si="224"/>
        <v>10.220.80.16</v>
      </c>
    </row>
    <row r="1589" spans="1:26" x14ac:dyDescent="0.25">
      <c r="A1589" t="s">
        <v>10</v>
      </c>
      <c r="B1589" t="s">
        <v>1063</v>
      </c>
      <c r="C1589" t="s">
        <v>2173</v>
      </c>
      <c r="D1589" t="s">
        <v>2356</v>
      </c>
      <c r="E1589" t="s">
        <v>2356</v>
      </c>
      <c r="F1589" t="s">
        <v>14</v>
      </c>
      <c r="G1589" t="s">
        <v>21</v>
      </c>
      <c r="H1589" t="s">
        <v>22</v>
      </c>
      <c r="I1589" t="s">
        <v>2369</v>
      </c>
      <c r="J1589" t="s">
        <v>2370</v>
      </c>
      <c r="K1589" t="str">
        <f t="shared" si="216"/>
        <v>1301.9</v>
      </c>
      <c r="N1589" t="str">
        <f t="shared" si="217"/>
        <v>HOLDING REGISTER</v>
      </c>
      <c r="O1589" t="str">
        <f t="shared" si="218"/>
        <v>BOOL</v>
      </c>
      <c r="P1589" t="str">
        <f t="shared" si="219"/>
        <v>STATO VENTILAZIONE STATO VENTILAZIONE</v>
      </c>
      <c r="R1589" t="str">
        <f t="shared" si="220"/>
        <v>Stato Ventilazione : comandi VVF attivi</v>
      </c>
      <c r="U1589" t="str">
        <f t="shared" si="221"/>
        <v>Stato</v>
      </c>
      <c r="V1589" t="str">
        <f t="shared" si="222"/>
        <v>GALLERIA</v>
      </c>
      <c r="W1589" t="str">
        <f t="shared" si="223"/>
        <v>GALLERIA SAN GIULIANO</v>
      </c>
      <c r="Z1589" t="str">
        <f t="shared" si="224"/>
        <v>10.220.80.16</v>
      </c>
    </row>
    <row r="1590" spans="1:26" x14ac:dyDescent="0.25">
      <c r="A1590" t="s">
        <v>10</v>
      </c>
      <c r="B1590" t="s">
        <v>1063</v>
      </c>
      <c r="C1590" t="s">
        <v>2173</v>
      </c>
      <c r="D1590" t="s">
        <v>2371</v>
      </c>
      <c r="E1590" t="s">
        <v>2372</v>
      </c>
      <c r="F1590" t="s">
        <v>14</v>
      </c>
      <c r="G1590" t="s">
        <v>21</v>
      </c>
      <c r="H1590" t="s">
        <v>22</v>
      </c>
      <c r="I1590" t="s">
        <v>2373</v>
      </c>
      <c r="J1590" t="s">
        <v>2374</v>
      </c>
      <c r="K1590" t="str">
        <f t="shared" si="216"/>
        <v>1301.10</v>
      </c>
      <c r="N1590" t="str">
        <f t="shared" si="217"/>
        <v>HOLDING REGISTER</v>
      </c>
      <c r="O1590" t="str">
        <f t="shared" si="218"/>
        <v>BOOL</v>
      </c>
      <c r="P1590" t="str">
        <f t="shared" si="219"/>
        <v>SENSORE CO CO1</v>
      </c>
      <c r="R1590" t="str">
        <f t="shared" si="220"/>
        <v>Sensore ESCLUSO</v>
      </c>
      <c r="U1590" t="str">
        <f t="shared" si="221"/>
        <v>Stato</v>
      </c>
      <c r="V1590" t="str">
        <f t="shared" si="222"/>
        <v>GALLERIA</v>
      </c>
      <c r="W1590" t="str">
        <f t="shared" si="223"/>
        <v>GALLERIA SAN GIULIANO</v>
      </c>
      <c r="Z1590" t="str">
        <f t="shared" si="224"/>
        <v>10.220.80.16</v>
      </c>
    </row>
    <row r="1591" spans="1:26" x14ac:dyDescent="0.25">
      <c r="A1591" t="s">
        <v>10</v>
      </c>
      <c r="B1591" t="s">
        <v>1063</v>
      </c>
      <c r="C1591" t="s">
        <v>2173</v>
      </c>
      <c r="D1591" t="s">
        <v>2375</v>
      </c>
      <c r="E1591" t="s">
        <v>2376</v>
      </c>
      <c r="F1591" t="s">
        <v>14</v>
      </c>
      <c r="G1591" t="s">
        <v>21</v>
      </c>
      <c r="H1591" t="s">
        <v>22</v>
      </c>
      <c r="I1591" t="s">
        <v>2377</v>
      </c>
      <c r="J1591" t="s">
        <v>2374</v>
      </c>
      <c r="K1591" t="str">
        <f t="shared" si="216"/>
        <v>1301.11</v>
      </c>
      <c r="N1591" t="str">
        <f t="shared" si="217"/>
        <v>HOLDING REGISTER</v>
      </c>
      <c r="O1591" t="str">
        <f t="shared" si="218"/>
        <v>BOOL</v>
      </c>
      <c r="P1591" t="str">
        <f t="shared" si="219"/>
        <v>SENSORE OP OP1</v>
      </c>
      <c r="R1591" t="str">
        <f t="shared" si="220"/>
        <v>Sensore ESCLUSO</v>
      </c>
      <c r="U1591" t="str">
        <f t="shared" si="221"/>
        <v>Stato</v>
      </c>
      <c r="V1591" t="str">
        <f t="shared" si="222"/>
        <v>GALLERIA</v>
      </c>
      <c r="W1591" t="str">
        <f t="shared" si="223"/>
        <v>GALLERIA SAN GIULIANO</v>
      </c>
      <c r="Z1591" t="str">
        <f t="shared" si="224"/>
        <v>10.220.80.16</v>
      </c>
    </row>
    <row r="1592" spans="1:26" x14ac:dyDescent="0.25">
      <c r="A1592" t="s">
        <v>10</v>
      </c>
      <c r="B1592" t="s">
        <v>1063</v>
      </c>
      <c r="C1592" t="s">
        <v>2173</v>
      </c>
      <c r="D1592" t="s">
        <v>2371</v>
      </c>
      <c r="E1592" t="s">
        <v>2372</v>
      </c>
      <c r="F1592" t="s">
        <v>14</v>
      </c>
      <c r="G1592" t="s">
        <v>28</v>
      </c>
      <c r="H1592" t="s">
        <v>22</v>
      </c>
      <c r="I1592" t="s">
        <v>2378</v>
      </c>
      <c r="J1592" t="s">
        <v>2379</v>
      </c>
      <c r="K1592" t="str">
        <f t="shared" si="216"/>
        <v>1301.12</v>
      </c>
      <c r="N1592" t="str">
        <f t="shared" si="217"/>
        <v>HOLDING REGISTER</v>
      </c>
      <c r="O1592" t="str">
        <f t="shared" si="218"/>
        <v>BOOL</v>
      </c>
      <c r="P1592" t="str">
        <f t="shared" si="219"/>
        <v>SENSORE CO CO1</v>
      </c>
      <c r="R1592" t="str">
        <f t="shared" si="220"/>
        <v>Sensore OK (Nessun Guasto)</v>
      </c>
      <c r="U1592" t="str">
        <f t="shared" si="221"/>
        <v>Allarme</v>
      </c>
      <c r="V1592" t="str">
        <f t="shared" si="222"/>
        <v>GALLERIA</v>
      </c>
      <c r="W1592" t="str">
        <f t="shared" si="223"/>
        <v>GALLERIA SAN GIULIANO</v>
      </c>
      <c r="Z1592" t="str">
        <f t="shared" si="224"/>
        <v>10.220.80.16</v>
      </c>
    </row>
    <row r="1593" spans="1:26" x14ac:dyDescent="0.25">
      <c r="A1593" t="s">
        <v>10</v>
      </c>
      <c r="B1593" t="s">
        <v>1063</v>
      </c>
      <c r="C1593" t="s">
        <v>2173</v>
      </c>
      <c r="D1593" t="s">
        <v>2375</v>
      </c>
      <c r="E1593" t="s">
        <v>2376</v>
      </c>
      <c r="F1593" t="s">
        <v>14</v>
      </c>
      <c r="G1593" t="s">
        <v>28</v>
      </c>
      <c r="H1593" t="s">
        <v>22</v>
      </c>
      <c r="I1593" t="s">
        <v>2380</v>
      </c>
      <c r="J1593" t="s">
        <v>2379</v>
      </c>
      <c r="K1593" t="str">
        <f t="shared" si="216"/>
        <v>1301.13</v>
      </c>
      <c r="N1593" t="str">
        <f t="shared" si="217"/>
        <v>HOLDING REGISTER</v>
      </c>
      <c r="O1593" t="str">
        <f t="shared" si="218"/>
        <v>BOOL</v>
      </c>
      <c r="P1593" t="str">
        <f t="shared" si="219"/>
        <v>SENSORE OP OP1</v>
      </c>
      <c r="R1593" t="str">
        <f t="shared" si="220"/>
        <v>Sensore OK (Nessun Guasto)</v>
      </c>
      <c r="U1593" t="str">
        <f t="shared" si="221"/>
        <v>Allarme</v>
      </c>
      <c r="V1593" t="str">
        <f t="shared" si="222"/>
        <v>GALLERIA</v>
      </c>
      <c r="W1593" t="str">
        <f t="shared" si="223"/>
        <v>GALLERIA SAN GIULIANO</v>
      </c>
      <c r="Z1593" t="str">
        <f t="shared" si="224"/>
        <v>10.220.80.16</v>
      </c>
    </row>
    <row r="1594" spans="1:26" x14ac:dyDescent="0.25">
      <c r="A1594" t="s">
        <v>10</v>
      </c>
      <c r="B1594" t="s">
        <v>1063</v>
      </c>
      <c r="C1594" t="s">
        <v>2173</v>
      </c>
      <c r="D1594" t="s">
        <v>2381</v>
      </c>
      <c r="E1594" t="s">
        <v>2382</v>
      </c>
      <c r="F1594" t="s">
        <v>14</v>
      </c>
      <c r="G1594" t="s">
        <v>28</v>
      </c>
      <c r="H1594" t="s">
        <v>22</v>
      </c>
      <c r="I1594" t="s">
        <v>2383</v>
      </c>
      <c r="J1594" t="s">
        <v>2379</v>
      </c>
      <c r="K1594" t="str">
        <f t="shared" si="216"/>
        <v>1301.14</v>
      </c>
      <c r="N1594" t="str">
        <f t="shared" si="217"/>
        <v>HOLDING REGISTER</v>
      </c>
      <c r="O1594" t="str">
        <f t="shared" si="218"/>
        <v>BOOL</v>
      </c>
      <c r="P1594" t="str">
        <f t="shared" si="219"/>
        <v>SENSORE AN AN1</v>
      </c>
      <c r="R1594" t="str">
        <f t="shared" si="220"/>
        <v>Sensore OK (Nessun Guasto)</v>
      </c>
      <c r="U1594" t="str">
        <f t="shared" si="221"/>
        <v>Allarme</v>
      </c>
      <c r="V1594" t="str">
        <f t="shared" si="222"/>
        <v>GALLERIA</v>
      </c>
      <c r="W1594" t="str">
        <f t="shared" si="223"/>
        <v>GALLERIA SAN GIULIANO</v>
      </c>
      <c r="Z1594" t="str">
        <f t="shared" si="224"/>
        <v>10.220.80.16</v>
      </c>
    </row>
    <row r="1595" spans="1:26" x14ac:dyDescent="0.25">
      <c r="A1595" t="s">
        <v>10</v>
      </c>
      <c r="B1595" t="s">
        <v>1063</v>
      </c>
      <c r="C1595" t="s">
        <v>2173</v>
      </c>
      <c r="D1595" t="s">
        <v>2371</v>
      </c>
      <c r="E1595" t="s">
        <v>2372</v>
      </c>
      <c r="F1595" t="s">
        <v>14</v>
      </c>
      <c r="G1595" t="s">
        <v>28</v>
      </c>
      <c r="H1595" t="s">
        <v>22</v>
      </c>
      <c r="I1595" t="s">
        <v>2384</v>
      </c>
      <c r="J1595" t="s">
        <v>2385</v>
      </c>
      <c r="K1595" t="str">
        <f t="shared" si="216"/>
        <v>1301.15</v>
      </c>
      <c r="N1595" t="str">
        <f t="shared" si="217"/>
        <v>HOLDING REGISTER</v>
      </c>
      <c r="O1595" t="str">
        <f t="shared" si="218"/>
        <v>BOOL</v>
      </c>
      <c r="P1595" t="str">
        <f t="shared" si="219"/>
        <v>SENSORE CO CO1</v>
      </c>
      <c r="R1595" t="str">
        <f t="shared" si="220"/>
        <v>Sensore Scollegato</v>
      </c>
      <c r="U1595" t="str">
        <f t="shared" si="221"/>
        <v>Allarme</v>
      </c>
      <c r="V1595" t="str">
        <f t="shared" si="222"/>
        <v>GALLERIA</v>
      </c>
      <c r="W1595" t="str">
        <f t="shared" si="223"/>
        <v>GALLERIA SAN GIULIANO</v>
      </c>
      <c r="Z1595" t="str">
        <f t="shared" si="224"/>
        <v>10.220.80.16</v>
      </c>
    </row>
    <row r="1596" spans="1:26" x14ac:dyDescent="0.25">
      <c r="A1596" t="s">
        <v>10</v>
      </c>
      <c r="B1596" t="s">
        <v>1063</v>
      </c>
      <c r="C1596" t="s">
        <v>2173</v>
      </c>
      <c r="D1596" t="s">
        <v>2375</v>
      </c>
      <c r="E1596" t="s">
        <v>2376</v>
      </c>
      <c r="F1596" t="s">
        <v>14</v>
      </c>
      <c r="G1596" t="s">
        <v>28</v>
      </c>
      <c r="H1596" t="s">
        <v>22</v>
      </c>
      <c r="I1596" t="s">
        <v>2386</v>
      </c>
      <c r="J1596" t="s">
        <v>2385</v>
      </c>
      <c r="K1596" t="str">
        <f t="shared" si="216"/>
        <v>1302.0</v>
      </c>
      <c r="N1596" t="str">
        <f t="shared" si="217"/>
        <v>HOLDING REGISTER</v>
      </c>
      <c r="O1596" t="str">
        <f t="shared" si="218"/>
        <v>BOOL</v>
      </c>
      <c r="P1596" t="str">
        <f t="shared" si="219"/>
        <v>SENSORE OP OP1</v>
      </c>
      <c r="R1596" t="str">
        <f t="shared" si="220"/>
        <v>Sensore Scollegato</v>
      </c>
      <c r="U1596" t="str">
        <f t="shared" si="221"/>
        <v>Allarme</v>
      </c>
      <c r="V1596" t="str">
        <f t="shared" si="222"/>
        <v>GALLERIA</v>
      </c>
      <c r="W1596" t="str">
        <f t="shared" si="223"/>
        <v>GALLERIA SAN GIULIANO</v>
      </c>
      <c r="Z1596" t="str">
        <f t="shared" si="224"/>
        <v>10.220.80.16</v>
      </c>
    </row>
    <row r="1597" spans="1:26" x14ac:dyDescent="0.25">
      <c r="A1597" t="s">
        <v>10</v>
      </c>
      <c r="B1597" t="s">
        <v>1063</v>
      </c>
      <c r="C1597" t="s">
        <v>2173</v>
      </c>
      <c r="D1597" t="s">
        <v>2381</v>
      </c>
      <c r="E1597" t="s">
        <v>2382</v>
      </c>
      <c r="F1597" t="s">
        <v>14</v>
      </c>
      <c r="G1597" t="s">
        <v>28</v>
      </c>
      <c r="H1597" t="s">
        <v>22</v>
      </c>
      <c r="I1597" t="s">
        <v>2387</v>
      </c>
      <c r="J1597" t="s">
        <v>2385</v>
      </c>
      <c r="K1597" t="str">
        <f t="shared" si="216"/>
        <v>1302.1</v>
      </c>
      <c r="N1597" t="str">
        <f t="shared" si="217"/>
        <v>HOLDING REGISTER</v>
      </c>
      <c r="O1597" t="str">
        <f t="shared" si="218"/>
        <v>BOOL</v>
      </c>
      <c r="P1597" t="str">
        <f t="shared" si="219"/>
        <v>SENSORE AN AN1</v>
      </c>
      <c r="R1597" t="str">
        <f t="shared" si="220"/>
        <v>Sensore Scollegato</v>
      </c>
      <c r="U1597" t="str">
        <f t="shared" si="221"/>
        <v>Allarme</v>
      </c>
      <c r="V1597" t="str">
        <f t="shared" si="222"/>
        <v>GALLERIA</v>
      </c>
      <c r="W1597" t="str">
        <f t="shared" si="223"/>
        <v>GALLERIA SAN GIULIANO</v>
      </c>
      <c r="Z1597" t="str">
        <f t="shared" si="224"/>
        <v>10.220.80.16</v>
      </c>
    </row>
    <row r="1598" spans="1:26" x14ac:dyDescent="0.25">
      <c r="A1598" t="s">
        <v>10</v>
      </c>
      <c r="B1598" t="s">
        <v>1063</v>
      </c>
      <c r="C1598" t="s">
        <v>2388</v>
      </c>
      <c r="D1598" t="s">
        <v>2371</v>
      </c>
      <c r="E1598" t="s">
        <v>2372</v>
      </c>
      <c r="F1598" t="s">
        <v>14</v>
      </c>
      <c r="G1598" t="s">
        <v>21</v>
      </c>
      <c r="H1598" t="s">
        <v>22</v>
      </c>
      <c r="I1598" t="s">
        <v>2389</v>
      </c>
      <c r="J1598" t="s">
        <v>2374</v>
      </c>
      <c r="K1598" t="str">
        <f t="shared" si="216"/>
        <v>1302.2</v>
      </c>
      <c r="N1598" t="str">
        <f t="shared" si="217"/>
        <v>HOLDING REGISTER</v>
      </c>
      <c r="O1598" t="str">
        <f t="shared" si="218"/>
        <v>BOOL</v>
      </c>
      <c r="P1598" t="str">
        <f t="shared" si="219"/>
        <v>SENSORE CO CO1</v>
      </c>
      <c r="R1598" t="str">
        <f t="shared" si="220"/>
        <v>Sensore ESCLUSO</v>
      </c>
      <c r="U1598" t="str">
        <f t="shared" si="221"/>
        <v>Stato</v>
      </c>
      <c r="V1598" t="str">
        <f t="shared" si="222"/>
        <v>VIA ESODO</v>
      </c>
      <c r="W1598" t="str">
        <f t="shared" si="223"/>
        <v>GALLERIA SAN GIULIANO</v>
      </c>
      <c r="Z1598" t="str">
        <f t="shared" si="224"/>
        <v>10.220.80.16</v>
      </c>
    </row>
    <row r="1599" spans="1:26" x14ac:dyDescent="0.25">
      <c r="A1599" t="s">
        <v>10</v>
      </c>
      <c r="B1599" t="s">
        <v>1063</v>
      </c>
      <c r="C1599" t="s">
        <v>2388</v>
      </c>
      <c r="D1599" t="s">
        <v>2375</v>
      </c>
      <c r="E1599" t="s">
        <v>2376</v>
      </c>
      <c r="F1599" t="s">
        <v>14</v>
      </c>
      <c r="G1599" t="s">
        <v>21</v>
      </c>
      <c r="H1599" t="s">
        <v>22</v>
      </c>
      <c r="I1599" t="s">
        <v>2390</v>
      </c>
      <c r="J1599" t="s">
        <v>2374</v>
      </c>
      <c r="K1599" t="str">
        <f t="shared" si="216"/>
        <v>1302.3</v>
      </c>
      <c r="N1599" t="str">
        <f t="shared" si="217"/>
        <v>HOLDING REGISTER</v>
      </c>
      <c r="O1599" t="str">
        <f t="shared" si="218"/>
        <v>BOOL</v>
      </c>
      <c r="P1599" t="str">
        <f t="shared" si="219"/>
        <v>SENSORE OP OP1</v>
      </c>
      <c r="R1599" t="str">
        <f t="shared" si="220"/>
        <v>Sensore ESCLUSO</v>
      </c>
      <c r="U1599" t="str">
        <f t="shared" si="221"/>
        <v>Stato</v>
      </c>
      <c r="V1599" t="str">
        <f t="shared" si="222"/>
        <v>VIA ESODO</v>
      </c>
      <c r="W1599" t="str">
        <f t="shared" si="223"/>
        <v>GALLERIA SAN GIULIANO</v>
      </c>
      <c r="Z1599" t="str">
        <f t="shared" si="224"/>
        <v>10.220.80.16</v>
      </c>
    </row>
    <row r="1600" spans="1:26" x14ac:dyDescent="0.25">
      <c r="A1600" t="s">
        <v>10</v>
      </c>
      <c r="B1600" t="s">
        <v>1063</v>
      </c>
      <c r="C1600" t="s">
        <v>2388</v>
      </c>
      <c r="D1600" t="s">
        <v>2371</v>
      </c>
      <c r="E1600" t="s">
        <v>2372</v>
      </c>
      <c r="F1600" t="s">
        <v>14</v>
      </c>
      <c r="G1600" t="s">
        <v>28</v>
      </c>
      <c r="H1600" t="s">
        <v>22</v>
      </c>
      <c r="I1600" t="s">
        <v>2391</v>
      </c>
      <c r="J1600" t="s">
        <v>2379</v>
      </c>
      <c r="K1600" t="str">
        <f t="shared" si="216"/>
        <v>1302.4</v>
      </c>
      <c r="N1600" t="str">
        <f t="shared" si="217"/>
        <v>HOLDING REGISTER</v>
      </c>
      <c r="O1600" t="str">
        <f t="shared" si="218"/>
        <v>BOOL</v>
      </c>
      <c r="P1600" t="str">
        <f t="shared" si="219"/>
        <v>SENSORE CO CO1</v>
      </c>
      <c r="R1600" t="str">
        <f t="shared" si="220"/>
        <v>Sensore OK (Nessun Guasto)</v>
      </c>
      <c r="U1600" t="str">
        <f t="shared" si="221"/>
        <v>Allarme</v>
      </c>
      <c r="V1600" t="str">
        <f t="shared" si="222"/>
        <v>VIA ESODO</v>
      </c>
      <c r="W1600" t="str">
        <f t="shared" si="223"/>
        <v>GALLERIA SAN GIULIANO</v>
      </c>
      <c r="Z1600" t="str">
        <f t="shared" si="224"/>
        <v>10.220.80.16</v>
      </c>
    </row>
    <row r="1601" spans="1:26" x14ac:dyDescent="0.25">
      <c r="A1601" t="s">
        <v>10</v>
      </c>
      <c r="B1601" t="s">
        <v>1063</v>
      </c>
      <c r="C1601" t="s">
        <v>2388</v>
      </c>
      <c r="D1601" t="s">
        <v>2375</v>
      </c>
      <c r="E1601" t="s">
        <v>2376</v>
      </c>
      <c r="F1601" t="s">
        <v>14</v>
      </c>
      <c r="G1601" t="s">
        <v>28</v>
      </c>
      <c r="H1601" t="s">
        <v>22</v>
      </c>
      <c r="I1601" t="s">
        <v>2392</v>
      </c>
      <c r="J1601" t="s">
        <v>2379</v>
      </c>
      <c r="K1601" t="str">
        <f t="shared" si="216"/>
        <v>1302.5</v>
      </c>
      <c r="N1601" t="str">
        <f t="shared" si="217"/>
        <v>HOLDING REGISTER</v>
      </c>
      <c r="O1601" t="str">
        <f t="shared" si="218"/>
        <v>BOOL</v>
      </c>
      <c r="P1601" t="str">
        <f t="shared" si="219"/>
        <v>SENSORE OP OP1</v>
      </c>
      <c r="R1601" t="str">
        <f t="shared" si="220"/>
        <v>Sensore OK (Nessun Guasto)</v>
      </c>
      <c r="U1601" t="str">
        <f t="shared" si="221"/>
        <v>Allarme</v>
      </c>
      <c r="V1601" t="str">
        <f t="shared" si="222"/>
        <v>VIA ESODO</v>
      </c>
      <c r="W1601" t="str">
        <f t="shared" si="223"/>
        <v>GALLERIA SAN GIULIANO</v>
      </c>
      <c r="Z1601" t="str">
        <f t="shared" si="224"/>
        <v>10.220.80.16</v>
      </c>
    </row>
    <row r="1602" spans="1:26" x14ac:dyDescent="0.25">
      <c r="A1602" t="s">
        <v>10</v>
      </c>
      <c r="B1602" t="s">
        <v>1063</v>
      </c>
      <c r="C1602" t="s">
        <v>2388</v>
      </c>
      <c r="D1602" t="s">
        <v>2381</v>
      </c>
      <c r="E1602" t="s">
        <v>2382</v>
      </c>
      <c r="F1602" t="s">
        <v>14</v>
      </c>
      <c r="G1602" t="s">
        <v>28</v>
      </c>
      <c r="H1602" t="s">
        <v>22</v>
      </c>
      <c r="I1602" t="s">
        <v>2393</v>
      </c>
      <c r="J1602" t="s">
        <v>2379</v>
      </c>
      <c r="K1602" t="str">
        <f t="shared" si="216"/>
        <v>1302.6</v>
      </c>
      <c r="N1602" t="str">
        <f t="shared" si="217"/>
        <v>HOLDING REGISTER</v>
      </c>
      <c r="O1602" t="str">
        <f t="shared" si="218"/>
        <v>BOOL</v>
      </c>
      <c r="P1602" t="str">
        <f t="shared" si="219"/>
        <v>SENSORE AN AN1</v>
      </c>
      <c r="R1602" t="str">
        <f t="shared" si="220"/>
        <v>Sensore OK (Nessun Guasto)</v>
      </c>
      <c r="U1602" t="str">
        <f t="shared" si="221"/>
        <v>Allarme</v>
      </c>
      <c r="V1602" t="str">
        <f t="shared" si="222"/>
        <v>VIA ESODO</v>
      </c>
      <c r="W1602" t="str">
        <f t="shared" si="223"/>
        <v>GALLERIA SAN GIULIANO</v>
      </c>
      <c r="Z1602" t="str">
        <f t="shared" si="224"/>
        <v>10.220.80.16</v>
      </c>
    </row>
    <row r="1603" spans="1:26" x14ac:dyDescent="0.25">
      <c r="A1603" t="s">
        <v>10</v>
      </c>
      <c r="B1603" t="s">
        <v>1063</v>
      </c>
      <c r="C1603" t="s">
        <v>2388</v>
      </c>
      <c r="D1603" t="s">
        <v>2371</v>
      </c>
      <c r="E1603" t="s">
        <v>2372</v>
      </c>
      <c r="F1603" t="s">
        <v>14</v>
      </c>
      <c r="G1603" t="s">
        <v>28</v>
      </c>
      <c r="H1603" t="s">
        <v>22</v>
      </c>
      <c r="I1603" t="s">
        <v>2394</v>
      </c>
      <c r="J1603" t="s">
        <v>2385</v>
      </c>
      <c r="K1603" t="str">
        <f t="shared" ref="K1603:K1666" si="225">IF(I1603="","",I1603)</f>
        <v>1302.7</v>
      </c>
      <c r="N1603" t="str">
        <f t="shared" ref="N1603:N1666" si="226">IF(F1603="","",F1603)</f>
        <v>HOLDING REGISTER</v>
      </c>
      <c r="O1603" t="str">
        <f t="shared" ref="O1603:O1666" si="227">IF(H1603="","",H1603)</f>
        <v>BOOL</v>
      </c>
      <c r="P1603" t="str">
        <f t="shared" ref="P1603:P1666" si="228">_xlfn.CONCAT(D1603," ",E1603)</f>
        <v>SENSORE CO CO1</v>
      </c>
      <c r="R1603" t="str">
        <f t="shared" ref="R1603:R1666" si="229">IF(J1603="","",J1603)</f>
        <v>Sensore Scollegato</v>
      </c>
      <c r="U1603" t="str">
        <f t="shared" ref="U1603:U1666" si="230">IF(G1603="","",G1603)</f>
        <v>Allarme</v>
      </c>
      <c r="V1603" t="str">
        <f t="shared" ref="V1603:V1666" si="231">IF(C1603="","",C1603)</f>
        <v>VIA ESODO</v>
      </c>
      <c r="W1603" t="str">
        <f t="shared" ref="W1603:W1666" si="232">IF(B1603="","",B1603)</f>
        <v>GALLERIA SAN GIULIANO</v>
      </c>
      <c r="Z1603" t="str">
        <f t="shared" ref="Z1603:Z1666" si="233">IF(A1603="","",A1603)</f>
        <v>10.220.80.16</v>
      </c>
    </row>
    <row r="1604" spans="1:26" x14ac:dyDescent="0.25">
      <c r="A1604" t="s">
        <v>10</v>
      </c>
      <c r="B1604" t="s">
        <v>1063</v>
      </c>
      <c r="C1604" t="s">
        <v>2388</v>
      </c>
      <c r="D1604" t="s">
        <v>2375</v>
      </c>
      <c r="E1604" t="s">
        <v>2376</v>
      </c>
      <c r="F1604" t="s">
        <v>14</v>
      </c>
      <c r="G1604" t="s">
        <v>28</v>
      </c>
      <c r="H1604" t="s">
        <v>22</v>
      </c>
      <c r="I1604" t="s">
        <v>2395</v>
      </c>
      <c r="J1604" t="s">
        <v>2385</v>
      </c>
      <c r="K1604" t="str">
        <f t="shared" si="225"/>
        <v>1302.8</v>
      </c>
      <c r="N1604" t="str">
        <f t="shared" si="226"/>
        <v>HOLDING REGISTER</v>
      </c>
      <c r="O1604" t="str">
        <f t="shared" si="227"/>
        <v>BOOL</v>
      </c>
      <c r="P1604" t="str">
        <f t="shared" si="228"/>
        <v>SENSORE OP OP1</v>
      </c>
      <c r="R1604" t="str">
        <f t="shared" si="229"/>
        <v>Sensore Scollegato</v>
      </c>
      <c r="U1604" t="str">
        <f t="shared" si="230"/>
        <v>Allarme</v>
      </c>
      <c r="V1604" t="str">
        <f t="shared" si="231"/>
        <v>VIA ESODO</v>
      </c>
      <c r="W1604" t="str">
        <f t="shared" si="232"/>
        <v>GALLERIA SAN GIULIANO</v>
      </c>
      <c r="Z1604" t="str">
        <f t="shared" si="233"/>
        <v>10.220.80.16</v>
      </c>
    </row>
    <row r="1605" spans="1:26" x14ac:dyDescent="0.25">
      <c r="A1605" t="s">
        <v>10</v>
      </c>
      <c r="B1605" t="s">
        <v>1063</v>
      </c>
      <c r="C1605" t="s">
        <v>2388</v>
      </c>
      <c r="D1605" t="s">
        <v>2381</v>
      </c>
      <c r="E1605" t="s">
        <v>2382</v>
      </c>
      <c r="F1605" t="s">
        <v>14</v>
      </c>
      <c r="G1605" t="s">
        <v>28</v>
      </c>
      <c r="H1605" t="s">
        <v>22</v>
      </c>
      <c r="I1605" t="s">
        <v>2396</v>
      </c>
      <c r="J1605" t="s">
        <v>2385</v>
      </c>
      <c r="K1605" t="str">
        <f t="shared" si="225"/>
        <v>1302.9</v>
      </c>
      <c r="N1605" t="str">
        <f t="shared" si="226"/>
        <v>HOLDING REGISTER</v>
      </c>
      <c r="O1605" t="str">
        <f t="shared" si="227"/>
        <v>BOOL</v>
      </c>
      <c r="P1605" t="str">
        <f t="shared" si="228"/>
        <v>SENSORE AN AN1</v>
      </c>
      <c r="R1605" t="str">
        <f t="shared" si="229"/>
        <v>Sensore Scollegato</v>
      </c>
      <c r="U1605" t="str">
        <f t="shared" si="230"/>
        <v>Allarme</v>
      </c>
      <c r="V1605" t="str">
        <f t="shared" si="231"/>
        <v>VIA ESODO</v>
      </c>
      <c r="W1605" t="str">
        <f t="shared" si="232"/>
        <v>GALLERIA SAN GIULIANO</v>
      </c>
      <c r="Z1605" t="str">
        <f t="shared" si="233"/>
        <v>10.220.80.16</v>
      </c>
    </row>
    <row r="1606" spans="1:26" x14ac:dyDescent="0.25">
      <c r="A1606" t="s">
        <v>10</v>
      </c>
      <c r="B1606" t="s">
        <v>1063</v>
      </c>
      <c r="C1606" t="s">
        <v>2173</v>
      </c>
      <c r="D1606" t="s">
        <v>2371</v>
      </c>
      <c r="E1606" t="s">
        <v>2372</v>
      </c>
      <c r="F1606" t="s">
        <v>14</v>
      </c>
      <c r="G1606" t="s">
        <v>15</v>
      </c>
      <c r="H1606" t="s">
        <v>1295</v>
      </c>
      <c r="I1606">
        <v>1304</v>
      </c>
      <c r="J1606" t="s">
        <v>2397</v>
      </c>
      <c r="K1606">
        <f t="shared" si="225"/>
        <v>1304</v>
      </c>
      <c r="N1606" t="str">
        <f t="shared" si="226"/>
        <v>HOLDING REGISTER</v>
      </c>
      <c r="O1606" t="str">
        <f t="shared" si="227"/>
        <v>REAL</v>
      </c>
      <c r="P1606" t="str">
        <f t="shared" si="228"/>
        <v>SENSORE CO CO1</v>
      </c>
      <c r="R1606" t="str">
        <f t="shared" si="229"/>
        <v>MISURA SENSORE</v>
      </c>
      <c r="U1606" t="str">
        <f t="shared" si="230"/>
        <v>Misura</v>
      </c>
      <c r="V1606" t="str">
        <f t="shared" si="231"/>
        <v>GALLERIA</v>
      </c>
      <c r="W1606" t="str">
        <f t="shared" si="232"/>
        <v>GALLERIA SAN GIULIANO</v>
      </c>
      <c r="Z1606" t="str">
        <f t="shared" si="233"/>
        <v>10.220.80.16</v>
      </c>
    </row>
    <row r="1607" spans="1:26" x14ac:dyDescent="0.25">
      <c r="A1607" t="s">
        <v>10</v>
      </c>
      <c r="B1607" t="s">
        <v>1063</v>
      </c>
      <c r="C1607" t="s">
        <v>2173</v>
      </c>
      <c r="D1607" t="s">
        <v>2375</v>
      </c>
      <c r="E1607" t="s">
        <v>2376</v>
      </c>
      <c r="F1607" t="s">
        <v>14</v>
      </c>
      <c r="G1607" t="s">
        <v>15</v>
      </c>
      <c r="H1607" t="s">
        <v>1295</v>
      </c>
      <c r="I1607">
        <v>1306</v>
      </c>
      <c r="J1607" t="s">
        <v>2397</v>
      </c>
      <c r="K1607">
        <f t="shared" si="225"/>
        <v>1306</v>
      </c>
      <c r="N1607" t="str">
        <f t="shared" si="226"/>
        <v>HOLDING REGISTER</v>
      </c>
      <c r="O1607" t="str">
        <f t="shared" si="227"/>
        <v>REAL</v>
      </c>
      <c r="P1607" t="str">
        <f t="shared" si="228"/>
        <v>SENSORE OP OP1</v>
      </c>
      <c r="R1607" t="str">
        <f t="shared" si="229"/>
        <v>MISURA SENSORE</v>
      </c>
      <c r="U1607" t="str">
        <f t="shared" si="230"/>
        <v>Misura</v>
      </c>
      <c r="V1607" t="str">
        <f t="shared" si="231"/>
        <v>GALLERIA</v>
      </c>
      <c r="W1607" t="str">
        <f t="shared" si="232"/>
        <v>GALLERIA SAN GIULIANO</v>
      </c>
      <c r="Z1607" t="str">
        <f t="shared" si="233"/>
        <v>10.220.80.16</v>
      </c>
    </row>
    <row r="1608" spans="1:26" x14ac:dyDescent="0.25">
      <c r="A1608" t="s">
        <v>10</v>
      </c>
      <c r="B1608" t="s">
        <v>1063</v>
      </c>
      <c r="C1608" t="s">
        <v>2173</v>
      </c>
      <c r="D1608" t="s">
        <v>2381</v>
      </c>
      <c r="E1608" t="s">
        <v>2382</v>
      </c>
      <c r="F1608" t="s">
        <v>14</v>
      </c>
      <c r="G1608" t="s">
        <v>15</v>
      </c>
      <c r="H1608" t="s">
        <v>1295</v>
      </c>
      <c r="I1608">
        <v>1308</v>
      </c>
      <c r="J1608" t="s">
        <v>2397</v>
      </c>
      <c r="K1608">
        <f t="shared" si="225"/>
        <v>1308</v>
      </c>
      <c r="N1608" t="str">
        <f t="shared" si="226"/>
        <v>HOLDING REGISTER</v>
      </c>
      <c r="O1608" t="str">
        <f t="shared" si="227"/>
        <v>REAL</v>
      </c>
      <c r="P1608" t="str">
        <f t="shared" si="228"/>
        <v>SENSORE AN AN1</v>
      </c>
      <c r="R1608" t="str">
        <f t="shared" si="229"/>
        <v>MISURA SENSORE</v>
      </c>
      <c r="U1608" t="str">
        <f t="shared" si="230"/>
        <v>Misura</v>
      </c>
      <c r="V1608" t="str">
        <f t="shared" si="231"/>
        <v>GALLERIA</v>
      </c>
      <c r="W1608" t="str">
        <f t="shared" si="232"/>
        <v>GALLERIA SAN GIULIANO</v>
      </c>
      <c r="Z1608" t="str">
        <f t="shared" si="233"/>
        <v>10.220.80.16</v>
      </c>
    </row>
    <row r="1609" spans="1:26" x14ac:dyDescent="0.25">
      <c r="A1609" t="s">
        <v>10</v>
      </c>
      <c r="B1609" t="s">
        <v>1063</v>
      </c>
      <c r="C1609" t="s">
        <v>2388</v>
      </c>
      <c r="D1609" t="s">
        <v>2371</v>
      </c>
      <c r="E1609" t="s">
        <v>2372</v>
      </c>
      <c r="F1609" t="s">
        <v>14</v>
      </c>
      <c r="G1609" t="s">
        <v>15</v>
      </c>
      <c r="H1609" t="s">
        <v>1295</v>
      </c>
      <c r="I1609">
        <v>1310</v>
      </c>
      <c r="J1609" t="s">
        <v>2397</v>
      </c>
      <c r="K1609">
        <f t="shared" si="225"/>
        <v>1310</v>
      </c>
      <c r="N1609" t="str">
        <f t="shared" si="226"/>
        <v>HOLDING REGISTER</v>
      </c>
      <c r="O1609" t="str">
        <f t="shared" si="227"/>
        <v>REAL</v>
      </c>
      <c r="P1609" t="str">
        <f t="shared" si="228"/>
        <v>SENSORE CO CO1</v>
      </c>
      <c r="R1609" t="str">
        <f t="shared" si="229"/>
        <v>MISURA SENSORE</v>
      </c>
      <c r="U1609" t="str">
        <f t="shared" si="230"/>
        <v>Misura</v>
      </c>
      <c r="V1609" t="str">
        <f t="shared" si="231"/>
        <v>VIA ESODO</v>
      </c>
      <c r="W1609" t="str">
        <f t="shared" si="232"/>
        <v>GALLERIA SAN GIULIANO</v>
      </c>
      <c r="Z1609" t="str">
        <f t="shared" si="233"/>
        <v>10.220.80.16</v>
      </c>
    </row>
    <row r="1610" spans="1:26" x14ac:dyDescent="0.25">
      <c r="A1610" t="s">
        <v>10</v>
      </c>
      <c r="B1610" t="s">
        <v>1063</v>
      </c>
      <c r="C1610" t="s">
        <v>2388</v>
      </c>
      <c r="D1610" t="s">
        <v>2375</v>
      </c>
      <c r="E1610" t="s">
        <v>2376</v>
      </c>
      <c r="F1610" t="s">
        <v>14</v>
      </c>
      <c r="G1610" t="s">
        <v>15</v>
      </c>
      <c r="H1610" t="s">
        <v>1295</v>
      </c>
      <c r="I1610">
        <v>1312</v>
      </c>
      <c r="J1610" t="s">
        <v>2397</v>
      </c>
      <c r="K1610">
        <f t="shared" si="225"/>
        <v>1312</v>
      </c>
      <c r="N1610" t="str">
        <f t="shared" si="226"/>
        <v>HOLDING REGISTER</v>
      </c>
      <c r="O1610" t="str">
        <f t="shared" si="227"/>
        <v>REAL</v>
      </c>
      <c r="P1610" t="str">
        <f t="shared" si="228"/>
        <v>SENSORE OP OP1</v>
      </c>
      <c r="R1610" t="str">
        <f t="shared" si="229"/>
        <v>MISURA SENSORE</v>
      </c>
      <c r="U1610" t="str">
        <f t="shared" si="230"/>
        <v>Misura</v>
      </c>
      <c r="V1610" t="str">
        <f t="shared" si="231"/>
        <v>VIA ESODO</v>
      </c>
      <c r="W1610" t="str">
        <f t="shared" si="232"/>
        <v>GALLERIA SAN GIULIANO</v>
      </c>
      <c r="Z1610" t="str">
        <f t="shared" si="233"/>
        <v>10.220.80.16</v>
      </c>
    </row>
    <row r="1611" spans="1:26" x14ac:dyDescent="0.25">
      <c r="A1611" t="s">
        <v>10</v>
      </c>
      <c r="B1611" t="s">
        <v>1063</v>
      </c>
      <c r="C1611" t="s">
        <v>2388</v>
      </c>
      <c r="D1611" t="s">
        <v>2381</v>
      </c>
      <c r="E1611" t="s">
        <v>2382</v>
      </c>
      <c r="F1611" t="s">
        <v>14</v>
      </c>
      <c r="G1611" t="s">
        <v>15</v>
      </c>
      <c r="H1611" t="s">
        <v>1295</v>
      </c>
      <c r="I1611">
        <v>1314</v>
      </c>
      <c r="J1611" t="s">
        <v>2397</v>
      </c>
      <c r="K1611">
        <f t="shared" si="225"/>
        <v>1314</v>
      </c>
      <c r="N1611" t="str">
        <f t="shared" si="226"/>
        <v>HOLDING REGISTER</v>
      </c>
      <c r="O1611" t="str">
        <f t="shared" si="227"/>
        <v>REAL</v>
      </c>
      <c r="P1611" t="str">
        <f t="shared" si="228"/>
        <v>SENSORE AN AN1</v>
      </c>
      <c r="R1611" t="str">
        <f t="shared" si="229"/>
        <v>MISURA SENSORE</v>
      </c>
      <c r="U1611" t="str">
        <f t="shared" si="230"/>
        <v>Misura</v>
      </c>
      <c r="V1611" t="str">
        <f t="shared" si="231"/>
        <v>VIA ESODO</v>
      </c>
      <c r="W1611" t="str">
        <f t="shared" si="232"/>
        <v>GALLERIA SAN GIULIANO</v>
      </c>
      <c r="Z1611" t="str">
        <f t="shared" si="233"/>
        <v>10.220.80.16</v>
      </c>
    </row>
    <row r="1612" spans="1:26" x14ac:dyDescent="0.25">
      <c r="A1612" t="s">
        <v>10</v>
      </c>
      <c r="B1612" t="s">
        <v>1063</v>
      </c>
      <c r="C1612" t="s">
        <v>2173</v>
      </c>
      <c r="D1612" t="s">
        <v>2313</v>
      </c>
      <c r="E1612" t="s">
        <v>2313</v>
      </c>
      <c r="F1612" t="s">
        <v>14</v>
      </c>
      <c r="G1612" t="s">
        <v>15</v>
      </c>
      <c r="H1612" t="s">
        <v>1295</v>
      </c>
      <c r="I1612">
        <v>1316</v>
      </c>
      <c r="J1612" t="s">
        <v>2398</v>
      </c>
      <c r="K1612">
        <f t="shared" si="225"/>
        <v>1316</v>
      </c>
      <c r="N1612" t="str">
        <f t="shared" si="226"/>
        <v>HOLDING REGISTER</v>
      </c>
      <c r="O1612" t="str">
        <f t="shared" si="227"/>
        <v>REAL</v>
      </c>
      <c r="P1612" t="str">
        <f t="shared" si="228"/>
        <v>SOGLIE INQUINANTI SOGLIE INQUINANTI</v>
      </c>
      <c r="R1612" t="str">
        <f t="shared" si="229"/>
        <v>Soglia 1 CO Impostata</v>
      </c>
      <c r="U1612" t="str">
        <f t="shared" si="230"/>
        <v>Misura</v>
      </c>
      <c r="V1612" t="str">
        <f t="shared" si="231"/>
        <v>GALLERIA</v>
      </c>
      <c r="W1612" t="str">
        <f t="shared" si="232"/>
        <v>GALLERIA SAN GIULIANO</v>
      </c>
      <c r="Z1612" t="str">
        <f t="shared" si="233"/>
        <v>10.220.80.16</v>
      </c>
    </row>
    <row r="1613" spans="1:26" x14ac:dyDescent="0.25">
      <c r="A1613" t="s">
        <v>10</v>
      </c>
      <c r="B1613" t="s">
        <v>1063</v>
      </c>
      <c r="C1613" t="s">
        <v>2173</v>
      </c>
      <c r="D1613" t="s">
        <v>2313</v>
      </c>
      <c r="E1613" t="s">
        <v>2313</v>
      </c>
      <c r="F1613" t="s">
        <v>14</v>
      </c>
      <c r="G1613" t="s">
        <v>15</v>
      </c>
      <c r="H1613" t="s">
        <v>1295</v>
      </c>
      <c r="I1613">
        <v>1318</v>
      </c>
      <c r="J1613" t="s">
        <v>2399</v>
      </c>
      <c r="K1613">
        <f t="shared" si="225"/>
        <v>1318</v>
      </c>
      <c r="N1613" t="str">
        <f t="shared" si="226"/>
        <v>HOLDING REGISTER</v>
      </c>
      <c r="O1613" t="str">
        <f t="shared" si="227"/>
        <v>REAL</v>
      </c>
      <c r="P1613" t="str">
        <f t="shared" si="228"/>
        <v>SOGLIE INQUINANTI SOGLIE INQUINANTI</v>
      </c>
      <c r="R1613" t="str">
        <f t="shared" si="229"/>
        <v>Soglia 2 CO Impostata</v>
      </c>
      <c r="U1613" t="str">
        <f t="shared" si="230"/>
        <v>Misura</v>
      </c>
      <c r="V1613" t="str">
        <f t="shared" si="231"/>
        <v>GALLERIA</v>
      </c>
      <c r="W1613" t="str">
        <f t="shared" si="232"/>
        <v>GALLERIA SAN GIULIANO</v>
      </c>
      <c r="Z1613" t="str">
        <f t="shared" si="233"/>
        <v>10.220.80.16</v>
      </c>
    </row>
    <row r="1614" spans="1:26" x14ac:dyDescent="0.25">
      <c r="A1614" t="s">
        <v>10</v>
      </c>
      <c r="B1614" t="s">
        <v>1063</v>
      </c>
      <c r="C1614" t="s">
        <v>2173</v>
      </c>
      <c r="D1614" t="s">
        <v>2313</v>
      </c>
      <c r="E1614" t="s">
        <v>2313</v>
      </c>
      <c r="F1614" t="s">
        <v>14</v>
      </c>
      <c r="G1614" t="s">
        <v>15</v>
      </c>
      <c r="H1614" t="s">
        <v>1295</v>
      </c>
      <c r="I1614">
        <v>1320</v>
      </c>
      <c r="J1614" t="s">
        <v>2400</v>
      </c>
      <c r="K1614">
        <f t="shared" si="225"/>
        <v>1320</v>
      </c>
      <c r="N1614" t="str">
        <f t="shared" si="226"/>
        <v>HOLDING REGISTER</v>
      </c>
      <c r="O1614" t="str">
        <f t="shared" si="227"/>
        <v>REAL</v>
      </c>
      <c r="P1614" t="str">
        <f t="shared" si="228"/>
        <v>SOGLIE INQUINANTI SOGLIE INQUINANTI</v>
      </c>
      <c r="R1614" t="str">
        <f t="shared" si="229"/>
        <v>Soglia 3 CO Impostata</v>
      </c>
      <c r="U1614" t="str">
        <f t="shared" si="230"/>
        <v>Misura</v>
      </c>
      <c r="V1614" t="str">
        <f t="shared" si="231"/>
        <v>GALLERIA</v>
      </c>
      <c r="W1614" t="str">
        <f t="shared" si="232"/>
        <v>GALLERIA SAN GIULIANO</v>
      </c>
      <c r="Z1614" t="str">
        <f t="shared" si="233"/>
        <v>10.220.80.16</v>
      </c>
    </row>
    <row r="1615" spans="1:26" x14ac:dyDescent="0.25">
      <c r="A1615" t="s">
        <v>10</v>
      </c>
      <c r="B1615" t="s">
        <v>1063</v>
      </c>
      <c r="C1615" t="s">
        <v>2173</v>
      </c>
      <c r="D1615" t="s">
        <v>2313</v>
      </c>
      <c r="E1615" t="s">
        <v>2313</v>
      </c>
      <c r="F1615" t="s">
        <v>14</v>
      </c>
      <c r="G1615" t="s">
        <v>15</v>
      </c>
      <c r="H1615" t="s">
        <v>1295</v>
      </c>
      <c r="I1615">
        <v>1322</v>
      </c>
      <c r="J1615" t="s">
        <v>2401</v>
      </c>
      <c r="K1615">
        <f t="shared" si="225"/>
        <v>1322</v>
      </c>
      <c r="N1615" t="str">
        <f t="shared" si="226"/>
        <v>HOLDING REGISTER</v>
      </c>
      <c r="O1615" t="str">
        <f t="shared" si="227"/>
        <v>REAL</v>
      </c>
      <c r="P1615" t="str">
        <f t="shared" si="228"/>
        <v>SOGLIE INQUINANTI SOGLIE INQUINANTI</v>
      </c>
      <c r="R1615" t="str">
        <f t="shared" si="229"/>
        <v>Soglia 1 OP Impostata</v>
      </c>
      <c r="U1615" t="str">
        <f t="shared" si="230"/>
        <v>Misura</v>
      </c>
      <c r="V1615" t="str">
        <f t="shared" si="231"/>
        <v>GALLERIA</v>
      </c>
      <c r="W1615" t="str">
        <f t="shared" si="232"/>
        <v>GALLERIA SAN GIULIANO</v>
      </c>
      <c r="Z1615" t="str">
        <f t="shared" si="233"/>
        <v>10.220.80.16</v>
      </c>
    </row>
    <row r="1616" spans="1:26" x14ac:dyDescent="0.25">
      <c r="A1616" t="s">
        <v>10</v>
      </c>
      <c r="B1616" t="s">
        <v>1063</v>
      </c>
      <c r="C1616" t="s">
        <v>2173</v>
      </c>
      <c r="D1616" t="s">
        <v>2313</v>
      </c>
      <c r="E1616" t="s">
        <v>2313</v>
      </c>
      <c r="F1616" t="s">
        <v>14</v>
      </c>
      <c r="G1616" t="s">
        <v>15</v>
      </c>
      <c r="H1616" t="s">
        <v>1295</v>
      </c>
      <c r="I1616">
        <v>1324</v>
      </c>
      <c r="J1616" t="s">
        <v>2402</v>
      </c>
      <c r="K1616">
        <f t="shared" si="225"/>
        <v>1324</v>
      </c>
      <c r="N1616" t="str">
        <f t="shared" si="226"/>
        <v>HOLDING REGISTER</v>
      </c>
      <c r="O1616" t="str">
        <f t="shared" si="227"/>
        <v>REAL</v>
      </c>
      <c r="P1616" t="str">
        <f t="shared" si="228"/>
        <v>SOGLIE INQUINANTI SOGLIE INQUINANTI</v>
      </c>
      <c r="R1616" t="str">
        <f t="shared" si="229"/>
        <v>Soglia 2 OP Impostata</v>
      </c>
      <c r="U1616" t="str">
        <f t="shared" si="230"/>
        <v>Misura</v>
      </c>
      <c r="V1616" t="str">
        <f t="shared" si="231"/>
        <v>GALLERIA</v>
      </c>
      <c r="W1616" t="str">
        <f t="shared" si="232"/>
        <v>GALLERIA SAN GIULIANO</v>
      </c>
      <c r="Z1616" t="str">
        <f t="shared" si="233"/>
        <v>10.220.80.16</v>
      </c>
    </row>
    <row r="1617" spans="1:26" x14ac:dyDescent="0.25">
      <c r="A1617" t="s">
        <v>10</v>
      </c>
      <c r="B1617" t="s">
        <v>1063</v>
      </c>
      <c r="C1617" t="s">
        <v>2173</v>
      </c>
      <c r="D1617" t="s">
        <v>2313</v>
      </c>
      <c r="E1617" t="s">
        <v>2313</v>
      </c>
      <c r="F1617" t="s">
        <v>14</v>
      </c>
      <c r="G1617" t="s">
        <v>15</v>
      </c>
      <c r="H1617" t="s">
        <v>1295</v>
      </c>
      <c r="I1617">
        <v>1326</v>
      </c>
      <c r="J1617" t="s">
        <v>2403</v>
      </c>
      <c r="K1617">
        <f t="shared" si="225"/>
        <v>1326</v>
      </c>
      <c r="N1617" t="str">
        <f t="shared" si="226"/>
        <v>HOLDING REGISTER</v>
      </c>
      <c r="O1617" t="str">
        <f t="shared" si="227"/>
        <v>REAL</v>
      </c>
      <c r="P1617" t="str">
        <f t="shared" si="228"/>
        <v>SOGLIE INQUINANTI SOGLIE INQUINANTI</v>
      </c>
      <c r="R1617" t="str">
        <f t="shared" si="229"/>
        <v>Soglia 3 OP Impostata</v>
      </c>
      <c r="U1617" t="str">
        <f t="shared" si="230"/>
        <v>Misura</v>
      </c>
      <c r="V1617" t="str">
        <f t="shared" si="231"/>
        <v>GALLERIA</v>
      </c>
      <c r="W1617" t="str">
        <f t="shared" si="232"/>
        <v>GALLERIA SAN GIULIANO</v>
      </c>
      <c r="Z1617" t="str">
        <f t="shared" si="233"/>
        <v>10.220.80.16</v>
      </c>
    </row>
    <row r="1618" spans="1:26" x14ac:dyDescent="0.25">
      <c r="A1618" t="s">
        <v>10</v>
      </c>
      <c r="B1618" t="s">
        <v>1063</v>
      </c>
      <c r="C1618" t="s">
        <v>2173</v>
      </c>
      <c r="D1618" t="s">
        <v>2313</v>
      </c>
      <c r="E1618" t="s">
        <v>2313</v>
      </c>
      <c r="F1618" t="s">
        <v>14</v>
      </c>
      <c r="G1618" t="s">
        <v>15</v>
      </c>
      <c r="H1618" t="s">
        <v>16</v>
      </c>
      <c r="I1618">
        <v>1328</v>
      </c>
      <c r="J1618" t="s">
        <v>2404</v>
      </c>
      <c r="K1618">
        <f t="shared" si="225"/>
        <v>1328</v>
      </c>
      <c r="N1618" t="str">
        <f t="shared" si="226"/>
        <v>HOLDING REGISTER</v>
      </c>
      <c r="O1618" t="str">
        <f t="shared" si="227"/>
        <v>INT</v>
      </c>
      <c r="P1618" t="str">
        <f t="shared" si="228"/>
        <v>SOGLIE INQUINANTI SOGLIE INQUINANTI</v>
      </c>
      <c r="R1618" t="str">
        <f t="shared" si="229"/>
        <v>Soglia 1 Numero Ventilatori</v>
      </c>
      <c r="U1618" t="str">
        <f t="shared" si="230"/>
        <v>Misura</v>
      </c>
      <c r="V1618" t="str">
        <f t="shared" si="231"/>
        <v>GALLERIA</v>
      </c>
      <c r="W1618" t="str">
        <f t="shared" si="232"/>
        <v>GALLERIA SAN GIULIANO</v>
      </c>
      <c r="Z1618" t="str">
        <f t="shared" si="233"/>
        <v>10.220.80.16</v>
      </c>
    </row>
    <row r="1619" spans="1:26" x14ac:dyDescent="0.25">
      <c r="A1619" t="s">
        <v>10</v>
      </c>
      <c r="B1619" t="s">
        <v>1063</v>
      </c>
      <c r="C1619" t="s">
        <v>2173</v>
      </c>
      <c r="D1619" t="s">
        <v>2313</v>
      </c>
      <c r="E1619" t="s">
        <v>2313</v>
      </c>
      <c r="F1619" t="s">
        <v>14</v>
      </c>
      <c r="G1619" t="s">
        <v>15</v>
      </c>
      <c r="H1619" t="s">
        <v>16</v>
      </c>
      <c r="I1619">
        <v>1329</v>
      </c>
      <c r="J1619" t="s">
        <v>2405</v>
      </c>
      <c r="K1619">
        <f t="shared" si="225"/>
        <v>1329</v>
      </c>
      <c r="N1619" t="str">
        <f t="shared" si="226"/>
        <v>HOLDING REGISTER</v>
      </c>
      <c r="O1619" t="str">
        <f t="shared" si="227"/>
        <v>INT</v>
      </c>
      <c r="P1619" t="str">
        <f t="shared" si="228"/>
        <v>SOGLIE INQUINANTI SOGLIE INQUINANTI</v>
      </c>
      <c r="R1619" t="str">
        <f t="shared" si="229"/>
        <v>Soglia 2 Numero Ventilatori</v>
      </c>
      <c r="U1619" t="str">
        <f t="shared" si="230"/>
        <v>Misura</v>
      </c>
      <c r="V1619" t="str">
        <f t="shared" si="231"/>
        <v>GALLERIA</v>
      </c>
      <c r="W1619" t="str">
        <f t="shared" si="232"/>
        <v>GALLERIA SAN GIULIANO</v>
      </c>
      <c r="Z1619" t="str">
        <f t="shared" si="233"/>
        <v>10.220.80.16</v>
      </c>
    </row>
    <row r="1620" spans="1:26" x14ac:dyDescent="0.25">
      <c r="A1620" t="s">
        <v>10</v>
      </c>
      <c r="B1620" t="s">
        <v>1063</v>
      </c>
      <c r="C1620" t="s">
        <v>2173</v>
      </c>
      <c r="D1620" t="s">
        <v>2313</v>
      </c>
      <c r="E1620" t="s">
        <v>2313</v>
      </c>
      <c r="F1620" t="s">
        <v>14</v>
      </c>
      <c r="G1620" t="s">
        <v>15</v>
      </c>
      <c r="H1620" t="s">
        <v>16</v>
      </c>
      <c r="I1620">
        <v>1330</v>
      </c>
      <c r="J1620" t="s">
        <v>2406</v>
      </c>
      <c r="K1620">
        <f t="shared" si="225"/>
        <v>1330</v>
      </c>
      <c r="N1620" t="str">
        <f t="shared" si="226"/>
        <v>HOLDING REGISTER</v>
      </c>
      <c r="O1620" t="str">
        <f t="shared" si="227"/>
        <v>INT</v>
      </c>
      <c r="P1620" t="str">
        <f t="shared" si="228"/>
        <v>SOGLIE INQUINANTI SOGLIE INQUINANTI</v>
      </c>
      <c r="R1620" t="str">
        <f t="shared" si="229"/>
        <v>Soglia 3 Numero Ventilatori</v>
      </c>
      <c r="U1620" t="str">
        <f t="shared" si="230"/>
        <v>Misura</v>
      </c>
      <c r="V1620" t="str">
        <f t="shared" si="231"/>
        <v>GALLERIA</v>
      </c>
      <c r="W1620" t="str">
        <f t="shared" si="232"/>
        <v>GALLERIA SAN GIULIANO</v>
      </c>
      <c r="Z1620" t="str">
        <f t="shared" si="233"/>
        <v>10.220.80.16</v>
      </c>
    </row>
    <row r="1621" spans="1:26" x14ac:dyDescent="0.25">
      <c r="A1621" t="s">
        <v>10</v>
      </c>
      <c r="B1621" t="s">
        <v>1063</v>
      </c>
      <c r="C1621" t="s">
        <v>2173</v>
      </c>
      <c r="D1621" t="s">
        <v>2313</v>
      </c>
      <c r="E1621" t="s">
        <v>2313</v>
      </c>
      <c r="F1621" t="s">
        <v>14</v>
      </c>
      <c r="G1621" t="s">
        <v>15</v>
      </c>
      <c r="H1621" t="s">
        <v>16</v>
      </c>
      <c r="I1621">
        <v>1331</v>
      </c>
      <c r="J1621" t="s">
        <v>2407</v>
      </c>
      <c r="K1621">
        <f t="shared" si="225"/>
        <v>1331</v>
      </c>
      <c r="N1621" t="str">
        <f t="shared" si="226"/>
        <v>HOLDING REGISTER</v>
      </c>
      <c r="O1621" t="str">
        <f t="shared" si="227"/>
        <v>INT</v>
      </c>
      <c r="P1621" t="str">
        <f t="shared" si="228"/>
        <v>SOGLIE INQUINANTI SOGLIE INQUINANTI</v>
      </c>
      <c r="R1621" t="str">
        <f t="shared" si="229"/>
        <v>Tempo Ritardo Attivazione Soglia (min.)</v>
      </c>
      <c r="U1621" t="str">
        <f t="shared" si="230"/>
        <v>Misura</v>
      </c>
      <c r="V1621" t="str">
        <f t="shared" si="231"/>
        <v>GALLERIA</v>
      </c>
      <c r="W1621" t="str">
        <f t="shared" si="232"/>
        <v>GALLERIA SAN GIULIANO</v>
      </c>
      <c r="Z1621" t="str">
        <f t="shared" si="233"/>
        <v>10.220.80.16</v>
      </c>
    </row>
    <row r="1622" spans="1:26" x14ac:dyDescent="0.25">
      <c r="A1622" t="s">
        <v>10</v>
      </c>
      <c r="B1622" t="s">
        <v>1063</v>
      </c>
      <c r="C1622" t="s">
        <v>2173</v>
      </c>
      <c r="D1622" t="s">
        <v>2313</v>
      </c>
      <c r="E1622" t="s">
        <v>2313</v>
      </c>
      <c r="F1622" t="s">
        <v>14</v>
      </c>
      <c r="G1622" t="s">
        <v>15</v>
      </c>
      <c r="H1622" t="s">
        <v>16</v>
      </c>
      <c r="I1622">
        <v>1332</v>
      </c>
      <c r="J1622" t="s">
        <v>2408</v>
      </c>
      <c r="K1622">
        <f t="shared" si="225"/>
        <v>1332</v>
      </c>
      <c r="N1622" t="str">
        <f t="shared" si="226"/>
        <v>HOLDING REGISTER</v>
      </c>
      <c r="O1622" t="str">
        <f t="shared" si="227"/>
        <v>INT</v>
      </c>
      <c r="P1622" t="str">
        <f t="shared" si="228"/>
        <v>SOGLIE INQUINANTI SOGLIE INQUINANTI</v>
      </c>
      <c r="R1622" t="str">
        <f t="shared" si="229"/>
        <v>Tempo Ritardo Rientro Soglia (min.)</v>
      </c>
      <c r="U1622" t="str">
        <f t="shared" si="230"/>
        <v>Misura</v>
      </c>
      <c r="V1622" t="str">
        <f t="shared" si="231"/>
        <v>GALLERIA</v>
      </c>
      <c r="W1622" t="str">
        <f t="shared" si="232"/>
        <v>GALLERIA SAN GIULIANO</v>
      </c>
      <c r="Z1622" t="str">
        <f t="shared" si="233"/>
        <v>10.220.80.16</v>
      </c>
    </row>
    <row r="1623" spans="1:26" x14ac:dyDescent="0.25">
      <c r="A1623" t="s">
        <v>10</v>
      </c>
      <c r="B1623" t="s">
        <v>1063</v>
      </c>
      <c r="C1623" t="s">
        <v>2173</v>
      </c>
      <c r="D1623" t="s">
        <v>2313</v>
      </c>
      <c r="E1623" t="s">
        <v>2313</v>
      </c>
      <c r="F1623" t="s">
        <v>14</v>
      </c>
      <c r="G1623" t="s">
        <v>15</v>
      </c>
      <c r="H1623" t="s">
        <v>16</v>
      </c>
      <c r="I1623">
        <v>1333</v>
      </c>
      <c r="J1623" t="s">
        <v>2409</v>
      </c>
      <c r="K1623">
        <f t="shared" si="225"/>
        <v>1333</v>
      </c>
      <c r="N1623" t="str">
        <f t="shared" si="226"/>
        <v>HOLDING REGISTER</v>
      </c>
      <c r="O1623" t="str">
        <f t="shared" si="227"/>
        <v>INT</v>
      </c>
      <c r="P1623" t="str">
        <f t="shared" si="228"/>
        <v>SOGLIE INQUINANTI SOGLIE INQUINANTI</v>
      </c>
      <c r="R1623" t="str">
        <f t="shared" si="229"/>
        <v>Numero Ventilatori Richiesti</v>
      </c>
      <c r="U1623" t="str">
        <f t="shared" si="230"/>
        <v>Misura</v>
      </c>
      <c r="V1623" t="str">
        <f t="shared" si="231"/>
        <v>GALLERIA</v>
      </c>
      <c r="W1623" t="str">
        <f t="shared" si="232"/>
        <v>GALLERIA SAN GIULIANO</v>
      </c>
      <c r="Z1623" t="str">
        <f t="shared" si="233"/>
        <v>10.220.80.16</v>
      </c>
    </row>
    <row r="1624" spans="1:26" x14ac:dyDescent="0.25">
      <c r="A1624" t="s">
        <v>10</v>
      </c>
      <c r="B1624" t="s">
        <v>1063</v>
      </c>
      <c r="C1624" t="s">
        <v>1064</v>
      </c>
      <c r="D1624" t="s">
        <v>2410</v>
      </c>
      <c r="E1624" t="s">
        <v>2410</v>
      </c>
      <c r="F1624" t="s">
        <v>14</v>
      </c>
      <c r="G1624" t="s">
        <v>21</v>
      </c>
      <c r="H1624" t="s">
        <v>22</v>
      </c>
      <c r="I1624" t="s">
        <v>2411</v>
      </c>
      <c r="J1624" t="s">
        <v>2412</v>
      </c>
      <c r="K1624" t="str">
        <f t="shared" si="225"/>
        <v>1334.0</v>
      </c>
      <c r="N1624" t="str">
        <f t="shared" si="226"/>
        <v>HOLDING REGISTER</v>
      </c>
      <c r="O1624" t="str">
        <f t="shared" si="227"/>
        <v>BOOL</v>
      </c>
      <c r="P1624" t="str">
        <f t="shared" si="228"/>
        <v>VENTILATORE E SERRANDA TAGLIAFUOCO VENTILATORE E SERRANDA TAGLIAFUOCO</v>
      </c>
      <c r="R1624" t="str">
        <f t="shared" si="229"/>
        <v>Ventilatore+Serranda In Automatico</v>
      </c>
      <c r="U1624" t="str">
        <f t="shared" si="230"/>
        <v>Stato</v>
      </c>
      <c r="V1624" t="str">
        <f t="shared" si="231"/>
        <v>QACC1_SG</v>
      </c>
      <c r="W1624" t="str">
        <f t="shared" si="232"/>
        <v>GALLERIA SAN GIULIANO</v>
      </c>
      <c r="Z1624" t="str">
        <f t="shared" si="233"/>
        <v>10.220.80.16</v>
      </c>
    </row>
    <row r="1625" spans="1:26" x14ac:dyDescent="0.25">
      <c r="A1625" t="s">
        <v>10</v>
      </c>
      <c r="B1625" t="s">
        <v>1063</v>
      </c>
      <c r="C1625" t="s">
        <v>1064</v>
      </c>
      <c r="D1625" t="s">
        <v>2410</v>
      </c>
      <c r="E1625" t="s">
        <v>2410</v>
      </c>
      <c r="F1625" t="s">
        <v>14</v>
      </c>
      <c r="G1625" t="s">
        <v>21</v>
      </c>
      <c r="H1625" t="s">
        <v>22</v>
      </c>
      <c r="I1625" t="s">
        <v>2413</v>
      </c>
      <c r="J1625" t="s">
        <v>2414</v>
      </c>
      <c r="K1625" t="str">
        <f t="shared" si="225"/>
        <v>1334.1</v>
      </c>
      <c r="N1625" t="str">
        <f t="shared" si="226"/>
        <v>HOLDING REGISTER</v>
      </c>
      <c r="O1625" t="str">
        <f t="shared" si="227"/>
        <v>BOOL</v>
      </c>
      <c r="P1625" t="str">
        <f t="shared" si="228"/>
        <v>VENTILATORE E SERRANDA TAGLIAFUOCO VENTILATORE E SERRANDA TAGLIAFUOCO</v>
      </c>
      <c r="R1625" t="str">
        <f t="shared" si="229"/>
        <v>Ventilatore+Serranda In Manuale</v>
      </c>
      <c r="U1625" t="str">
        <f t="shared" si="230"/>
        <v>Stato</v>
      </c>
      <c r="V1625" t="str">
        <f t="shared" si="231"/>
        <v>QACC1_SG</v>
      </c>
      <c r="W1625" t="str">
        <f t="shared" si="232"/>
        <v>GALLERIA SAN GIULIANO</v>
      </c>
      <c r="Z1625" t="str">
        <f t="shared" si="233"/>
        <v>10.220.80.16</v>
      </c>
    </row>
    <row r="1626" spans="1:26" x14ac:dyDescent="0.25">
      <c r="A1626" t="s">
        <v>10</v>
      </c>
      <c r="B1626" t="s">
        <v>1063</v>
      </c>
      <c r="C1626" t="s">
        <v>1064</v>
      </c>
      <c r="D1626" t="s">
        <v>2415</v>
      </c>
      <c r="E1626" t="s">
        <v>2415</v>
      </c>
      <c r="F1626" t="s">
        <v>14</v>
      </c>
      <c r="G1626" t="s">
        <v>21</v>
      </c>
      <c r="H1626" t="s">
        <v>22</v>
      </c>
      <c r="I1626" t="s">
        <v>2416</v>
      </c>
      <c r="J1626" t="s">
        <v>2417</v>
      </c>
      <c r="K1626" t="str">
        <f t="shared" si="225"/>
        <v>1334.2</v>
      </c>
      <c r="N1626" t="str">
        <f t="shared" si="226"/>
        <v>HOLDING REGISTER</v>
      </c>
      <c r="O1626" t="str">
        <f t="shared" si="227"/>
        <v>BOOL</v>
      </c>
      <c r="P1626" t="str">
        <f t="shared" si="228"/>
        <v>VENTILATORE VENTILATORE</v>
      </c>
      <c r="R1626" t="str">
        <f t="shared" si="229"/>
        <v>Ventilatore In Marcia</v>
      </c>
      <c r="U1626" t="str">
        <f t="shared" si="230"/>
        <v>Stato</v>
      </c>
      <c r="V1626" t="str">
        <f t="shared" si="231"/>
        <v>QACC1_SG</v>
      </c>
      <c r="W1626" t="str">
        <f t="shared" si="232"/>
        <v>GALLERIA SAN GIULIANO</v>
      </c>
      <c r="Z1626" t="str">
        <f t="shared" si="233"/>
        <v>10.220.80.16</v>
      </c>
    </row>
    <row r="1627" spans="1:26" x14ac:dyDescent="0.25">
      <c r="A1627" t="s">
        <v>10</v>
      </c>
      <c r="B1627" t="s">
        <v>1063</v>
      </c>
      <c r="C1627" t="s">
        <v>1064</v>
      </c>
      <c r="D1627" t="s">
        <v>2415</v>
      </c>
      <c r="E1627" t="s">
        <v>2415</v>
      </c>
      <c r="F1627" t="s">
        <v>14</v>
      </c>
      <c r="G1627" t="s">
        <v>21</v>
      </c>
      <c r="H1627" t="s">
        <v>22</v>
      </c>
      <c r="I1627" t="s">
        <v>2418</v>
      </c>
      <c r="J1627" t="s">
        <v>2419</v>
      </c>
      <c r="K1627" t="str">
        <f t="shared" si="225"/>
        <v>1334.3</v>
      </c>
      <c r="N1627" t="str">
        <f t="shared" si="226"/>
        <v>HOLDING REGISTER</v>
      </c>
      <c r="O1627" t="str">
        <f t="shared" si="227"/>
        <v>BOOL</v>
      </c>
      <c r="P1627" t="str">
        <f t="shared" si="228"/>
        <v>VENTILATORE VENTILATORE</v>
      </c>
      <c r="R1627" t="str">
        <f t="shared" si="229"/>
        <v>Ventilatore Fermo</v>
      </c>
      <c r="U1627" t="str">
        <f t="shared" si="230"/>
        <v>Stato</v>
      </c>
      <c r="V1627" t="str">
        <f t="shared" si="231"/>
        <v>QACC1_SG</v>
      </c>
      <c r="W1627" t="str">
        <f t="shared" si="232"/>
        <v>GALLERIA SAN GIULIANO</v>
      </c>
      <c r="Z1627" t="str">
        <f t="shared" si="233"/>
        <v>10.220.80.16</v>
      </c>
    </row>
    <row r="1628" spans="1:26" x14ac:dyDescent="0.25">
      <c r="A1628" t="s">
        <v>10</v>
      </c>
      <c r="B1628" t="s">
        <v>1063</v>
      </c>
      <c r="C1628" t="s">
        <v>1064</v>
      </c>
      <c r="D1628" t="s">
        <v>2420</v>
      </c>
      <c r="E1628" t="s">
        <v>2420</v>
      </c>
      <c r="F1628" t="s">
        <v>14</v>
      </c>
      <c r="G1628" t="s">
        <v>21</v>
      </c>
      <c r="H1628" t="s">
        <v>22</v>
      </c>
      <c r="I1628" t="s">
        <v>2421</v>
      </c>
      <c r="J1628" t="s">
        <v>2422</v>
      </c>
      <c r="K1628" t="str">
        <f t="shared" si="225"/>
        <v>1334.4</v>
      </c>
      <c r="N1628" t="str">
        <f t="shared" si="226"/>
        <v>HOLDING REGISTER</v>
      </c>
      <c r="O1628" t="str">
        <f t="shared" si="227"/>
        <v>BOOL</v>
      </c>
      <c r="P1628" t="str">
        <f t="shared" si="228"/>
        <v>SERRANDA SERRANDA</v>
      </c>
      <c r="R1628" t="str">
        <f t="shared" si="229"/>
        <v>Serranda Chiusa</v>
      </c>
      <c r="U1628" t="str">
        <f t="shared" si="230"/>
        <v>Stato</v>
      </c>
      <c r="V1628" t="str">
        <f t="shared" si="231"/>
        <v>QACC1_SG</v>
      </c>
      <c r="W1628" t="str">
        <f t="shared" si="232"/>
        <v>GALLERIA SAN GIULIANO</v>
      </c>
      <c r="Z1628" t="str">
        <f t="shared" si="233"/>
        <v>10.220.80.16</v>
      </c>
    </row>
    <row r="1629" spans="1:26" x14ac:dyDescent="0.25">
      <c r="A1629" t="s">
        <v>10</v>
      </c>
      <c r="B1629" t="s">
        <v>1063</v>
      </c>
      <c r="C1629" t="s">
        <v>1064</v>
      </c>
      <c r="D1629" t="s">
        <v>2420</v>
      </c>
      <c r="E1629" t="s">
        <v>2420</v>
      </c>
      <c r="F1629" t="s">
        <v>14</v>
      </c>
      <c r="G1629" t="s">
        <v>21</v>
      </c>
      <c r="H1629" t="s">
        <v>22</v>
      </c>
      <c r="I1629" t="s">
        <v>2423</v>
      </c>
      <c r="J1629" t="s">
        <v>2424</v>
      </c>
      <c r="K1629" t="str">
        <f t="shared" si="225"/>
        <v>1334.5</v>
      </c>
      <c r="N1629" t="str">
        <f t="shared" si="226"/>
        <v>HOLDING REGISTER</v>
      </c>
      <c r="O1629" t="str">
        <f t="shared" si="227"/>
        <v>BOOL</v>
      </c>
      <c r="P1629" t="str">
        <f t="shared" si="228"/>
        <v>SERRANDA SERRANDA</v>
      </c>
      <c r="R1629" t="str">
        <f t="shared" si="229"/>
        <v>Serranda Aperta</v>
      </c>
      <c r="U1629" t="str">
        <f t="shared" si="230"/>
        <v>Stato</v>
      </c>
      <c r="V1629" t="str">
        <f t="shared" si="231"/>
        <v>QACC1_SG</v>
      </c>
      <c r="W1629" t="str">
        <f t="shared" si="232"/>
        <v>GALLERIA SAN GIULIANO</v>
      </c>
      <c r="Z1629" t="str">
        <f t="shared" si="233"/>
        <v>10.220.80.16</v>
      </c>
    </row>
    <row r="1630" spans="1:26" x14ac:dyDescent="0.25">
      <c r="A1630" t="s">
        <v>10</v>
      </c>
      <c r="B1630" t="s">
        <v>1063</v>
      </c>
      <c r="C1630" t="s">
        <v>1064</v>
      </c>
      <c r="D1630" t="s">
        <v>2420</v>
      </c>
      <c r="E1630" t="s">
        <v>2420</v>
      </c>
      <c r="F1630" t="s">
        <v>14</v>
      </c>
      <c r="G1630" t="s">
        <v>21</v>
      </c>
      <c r="H1630" t="s">
        <v>22</v>
      </c>
      <c r="I1630" t="s">
        <v>2425</v>
      </c>
      <c r="J1630" t="s">
        <v>2426</v>
      </c>
      <c r="K1630" t="str">
        <f t="shared" si="225"/>
        <v>1334.6</v>
      </c>
      <c r="N1630" t="str">
        <f t="shared" si="226"/>
        <v>HOLDING REGISTER</v>
      </c>
      <c r="O1630" t="str">
        <f t="shared" si="227"/>
        <v>BOOL</v>
      </c>
      <c r="P1630" t="str">
        <f t="shared" si="228"/>
        <v>SERRANDA SERRANDA</v>
      </c>
      <c r="R1630" t="str">
        <f t="shared" si="229"/>
        <v>Serranda In Apertura</v>
      </c>
      <c r="U1630" t="str">
        <f t="shared" si="230"/>
        <v>Stato</v>
      </c>
      <c r="V1630" t="str">
        <f t="shared" si="231"/>
        <v>QACC1_SG</v>
      </c>
      <c r="W1630" t="str">
        <f t="shared" si="232"/>
        <v>GALLERIA SAN GIULIANO</v>
      </c>
      <c r="Z1630" t="str">
        <f t="shared" si="233"/>
        <v>10.220.80.16</v>
      </c>
    </row>
    <row r="1631" spans="1:26" x14ac:dyDescent="0.25">
      <c r="A1631" t="s">
        <v>10</v>
      </c>
      <c r="B1631" t="s">
        <v>1063</v>
      </c>
      <c r="C1631" t="s">
        <v>1064</v>
      </c>
      <c r="D1631" t="s">
        <v>2415</v>
      </c>
      <c r="E1631" t="s">
        <v>2415</v>
      </c>
      <c r="F1631" t="s">
        <v>14</v>
      </c>
      <c r="G1631" t="s">
        <v>21</v>
      </c>
      <c r="H1631" t="s">
        <v>22</v>
      </c>
      <c r="I1631" t="s">
        <v>2427</v>
      </c>
      <c r="J1631" t="s">
        <v>2428</v>
      </c>
      <c r="K1631" t="str">
        <f t="shared" si="225"/>
        <v>1334.7</v>
      </c>
      <c r="N1631" t="str">
        <f t="shared" si="226"/>
        <v>HOLDING REGISTER</v>
      </c>
      <c r="O1631" t="str">
        <f t="shared" si="227"/>
        <v>BOOL</v>
      </c>
      <c r="P1631" t="str">
        <f t="shared" si="228"/>
        <v>VENTILATORE VENTILATORE</v>
      </c>
      <c r="R1631" t="str">
        <f t="shared" si="229"/>
        <v>Ventilatore In Arresto</v>
      </c>
      <c r="U1631" t="str">
        <f t="shared" si="230"/>
        <v>Stato</v>
      </c>
      <c r="V1631" t="str">
        <f t="shared" si="231"/>
        <v>QACC1_SG</v>
      </c>
      <c r="W1631" t="str">
        <f t="shared" si="232"/>
        <v>GALLERIA SAN GIULIANO</v>
      </c>
      <c r="Z1631" t="str">
        <f t="shared" si="233"/>
        <v>10.220.80.16</v>
      </c>
    </row>
    <row r="1632" spans="1:26" x14ac:dyDescent="0.25">
      <c r="A1632" t="s">
        <v>10</v>
      </c>
      <c r="B1632" t="s">
        <v>1063</v>
      </c>
      <c r="C1632" t="s">
        <v>1064</v>
      </c>
      <c r="D1632" t="s">
        <v>2420</v>
      </c>
      <c r="E1632" t="s">
        <v>2420</v>
      </c>
      <c r="F1632" t="s">
        <v>14</v>
      </c>
      <c r="G1632" t="s">
        <v>21</v>
      </c>
      <c r="H1632" t="s">
        <v>22</v>
      </c>
      <c r="I1632" t="s">
        <v>2429</v>
      </c>
      <c r="J1632" t="s">
        <v>2430</v>
      </c>
      <c r="K1632" t="str">
        <f t="shared" si="225"/>
        <v>1334.8</v>
      </c>
      <c r="N1632" t="str">
        <f t="shared" si="226"/>
        <v>HOLDING REGISTER</v>
      </c>
      <c r="O1632" t="str">
        <f t="shared" si="227"/>
        <v>BOOL</v>
      </c>
      <c r="P1632" t="str">
        <f t="shared" si="228"/>
        <v>SERRANDA SERRANDA</v>
      </c>
      <c r="R1632" t="str">
        <f t="shared" si="229"/>
        <v>Serranda In Chiusura</v>
      </c>
      <c r="U1632" t="str">
        <f t="shared" si="230"/>
        <v>Stato</v>
      </c>
      <c r="V1632" t="str">
        <f t="shared" si="231"/>
        <v>QACC1_SG</v>
      </c>
      <c r="W1632" t="str">
        <f t="shared" si="232"/>
        <v>GALLERIA SAN GIULIANO</v>
      </c>
      <c r="Z1632" t="str">
        <f t="shared" si="233"/>
        <v>10.220.80.16</v>
      </c>
    </row>
    <row r="1633" spans="1:26" x14ac:dyDescent="0.25">
      <c r="A1633" t="s">
        <v>10</v>
      </c>
      <c r="B1633" t="s">
        <v>1063</v>
      </c>
      <c r="C1633" t="s">
        <v>1064</v>
      </c>
      <c r="D1633" t="s">
        <v>555</v>
      </c>
      <c r="E1633" t="s">
        <v>555</v>
      </c>
      <c r="F1633" t="s">
        <v>14</v>
      </c>
      <c r="G1633" t="s">
        <v>21</v>
      </c>
      <c r="H1633" t="s">
        <v>22</v>
      </c>
      <c r="I1633" t="s">
        <v>2431</v>
      </c>
      <c r="J1633" t="s">
        <v>2432</v>
      </c>
      <c r="K1633" t="str">
        <f t="shared" si="225"/>
        <v>1334.9</v>
      </c>
      <c r="N1633" t="str">
        <f t="shared" si="226"/>
        <v>HOLDING REGISTER</v>
      </c>
      <c r="O1633" t="str">
        <f t="shared" si="227"/>
        <v>BOOL</v>
      </c>
      <c r="P1633" t="str">
        <f t="shared" si="228"/>
        <v>SELETTORE SELETTORE</v>
      </c>
      <c r="R1633" t="str">
        <f t="shared" si="229"/>
        <v>Ventilatore In Manuale Da Quadro</v>
      </c>
      <c r="U1633" t="str">
        <f t="shared" si="230"/>
        <v>Stato</v>
      </c>
      <c r="V1633" t="str">
        <f t="shared" si="231"/>
        <v>QACC1_SG</v>
      </c>
      <c r="W1633" t="str">
        <f t="shared" si="232"/>
        <v>GALLERIA SAN GIULIANO</v>
      </c>
      <c r="Z1633" t="str">
        <f t="shared" si="233"/>
        <v>10.220.80.16</v>
      </c>
    </row>
    <row r="1634" spans="1:26" x14ac:dyDescent="0.25">
      <c r="A1634" t="s">
        <v>10</v>
      </c>
      <c r="B1634" t="s">
        <v>1063</v>
      </c>
      <c r="C1634" t="s">
        <v>1064</v>
      </c>
      <c r="D1634" t="s">
        <v>555</v>
      </c>
      <c r="E1634" t="s">
        <v>555</v>
      </c>
      <c r="F1634" t="s">
        <v>14</v>
      </c>
      <c r="G1634" t="s">
        <v>21</v>
      </c>
      <c r="H1634" t="s">
        <v>22</v>
      </c>
      <c r="I1634" t="s">
        <v>2433</v>
      </c>
      <c r="J1634" t="s">
        <v>2434</v>
      </c>
      <c r="K1634" t="str">
        <f t="shared" si="225"/>
        <v>1334.10</v>
      </c>
      <c r="N1634" t="str">
        <f t="shared" si="226"/>
        <v>HOLDING REGISTER</v>
      </c>
      <c r="O1634" t="str">
        <f t="shared" si="227"/>
        <v>BOOL</v>
      </c>
      <c r="P1634" t="str">
        <f t="shared" si="228"/>
        <v>SELETTORE SELETTORE</v>
      </c>
      <c r="R1634" t="str">
        <f t="shared" si="229"/>
        <v>Serranda In Manuale Da Quadro</v>
      </c>
      <c r="U1634" t="str">
        <f t="shared" si="230"/>
        <v>Stato</v>
      </c>
      <c r="V1634" t="str">
        <f t="shared" si="231"/>
        <v>QACC1_SG</v>
      </c>
      <c r="W1634" t="str">
        <f t="shared" si="232"/>
        <v>GALLERIA SAN GIULIANO</v>
      </c>
      <c r="Z1634" t="str">
        <f t="shared" si="233"/>
        <v>10.220.80.16</v>
      </c>
    </row>
    <row r="1635" spans="1:26" x14ac:dyDescent="0.25">
      <c r="A1635" t="s">
        <v>10</v>
      </c>
      <c r="B1635" t="s">
        <v>1063</v>
      </c>
      <c r="C1635" t="s">
        <v>1064</v>
      </c>
      <c r="D1635" t="s">
        <v>2415</v>
      </c>
      <c r="E1635" t="s">
        <v>2415</v>
      </c>
      <c r="F1635" t="s">
        <v>14</v>
      </c>
      <c r="G1635" t="s">
        <v>28</v>
      </c>
      <c r="H1635" t="s">
        <v>22</v>
      </c>
      <c r="I1635" t="s">
        <v>2435</v>
      </c>
      <c r="J1635" t="s">
        <v>2436</v>
      </c>
      <c r="K1635" t="str">
        <f t="shared" si="225"/>
        <v>1334.11</v>
      </c>
      <c r="N1635" t="str">
        <f t="shared" si="226"/>
        <v>HOLDING REGISTER</v>
      </c>
      <c r="O1635" t="str">
        <f t="shared" si="227"/>
        <v>BOOL</v>
      </c>
      <c r="P1635" t="str">
        <f t="shared" si="228"/>
        <v>VENTILATORE VENTILATORE</v>
      </c>
      <c r="R1635" t="str">
        <f t="shared" si="229"/>
        <v>Mancato Avvio Ventilatore</v>
      </c>
      <c r="U1635" t="str">
        <f t="shared" si="230"/>
        <v>Allarme</v>
      </c>
      <c r="V1635" t="str">
        <f t="shared" si="231"/>
        <v>QACC1_SG</v>
      </c>
      <c r="W1635" t="str">
        <f t="shared" si="232"/>
        <v>GALLERIA SAN GIULIANO</v>
      </c>
      <c r="Z1635" t="str">
        <f t="shared" si="233"/>
        <v>10.220.80.16</v>
      </c>
    </row>
    <row r="1636" spans="1:26" x14ac:dyDescent="0.25">
      <c r="A1636" t="s">
        <v>10</v>
      </c>
      <c r="B1636" t="s">
        <v>1063</v>
      </c>
      <c r="C1636" t="s">
        <v>1064</v>
      </c>
      <c r="D1636" t="s">
        <v>2415</v>
      </c>
      <c r="E1636" t="s">
        <v>2415</v>
      </c>
      <c r="F1636" t="s">
        <v>14</v>
      </c>
      <c r="G1636" t="s">
        <v>28</v>
      </c>
      <c r="H1636" t="s">
        <v>22</v>
      </c>
      <c r="I1636" t="s">
        <v>2437</v>
      </c>
      <c r="J1636" t="s">
        <v>2438</v>
      </c>
      <c r="K1636" t="str">
        <f t="shared" si="225"/>
        <v>1334.12</v>
      </c>
      <c r="N1636" t="str">
        <f t="shared" si="226"/>
        <v>HOLDING REGISTER</v>
      </c>
      <c r="O1636" t="str">
        <f t="shared" si="227"/>
        <v>BOOL</v>
      </c>
      <c r="P1636" t="str">
        <f t="shared" si="228"/>
        <v>VENTILATORE VENTILATORE</v>
      </c>
      <c r="R1636" t="str">
        <f t="shared" si="229"/>
        <v>Mancato Arresto Ventilatore</v>
      </c>
      <c r="U1636" t="str">
        <f t="shared" si="230"/>
        <v>Allarme</v>
      </c>
      <c r="V1636" t="str">
        <f t="shared" si="231"/>
        <v>QACC1_SG</v>
      </c>
      <c r="W1636" t="str">
        <f t="shared" si="232"/>
        <v>GALLERIA SAN GIULIANO</v>
      </c>
      <c r="Z1636" t="str">
        <f t="shared" si="233"/>
        <v>10.220.80.16</v>
      </c>
    </row>
    <row r="1637" spans="1:26" x14ac:dyDescent="0.25">
      <c r="A1637" t="s">
        <v>10</v>
      </c>
      <c r="B1637" t="s">
        <v>1063</v>
      </c>
      <c r="C1637" t="s">
        <v>1064</v>
      </c>
      <c r="D1637" t="s">
        <v>2420</v>
      </c>
      <c r="E1637" t="s">
        <v>2420</v>
      </c>
      <c r="F1637" t="s">
        <v>14</v>
      </c>
      <c r="G1637" t="s">
        <v>28</v>
      </c>
      <c r="H1637" t="s">
        <v>22</v>
      </c>
      <c r="I1637" t="s">
        <v>2439</v>
      </c>
      <c r="J1637" t="s">
        <v>2440</v>
      </c>
      <c r="K1637" t="str">
        <f t="shared" si="225"/>
        <v>1334.13</v>
      </c>
      <c r="N1637" t="str">
        <f t="shared" si="226"/>
        <v>HOLDING REGISTER</v>
      </c>
      <c r="O1637" t="str">
        <f t="shared" si="227"/>
        <v>BOOL</v>
      </c>
      <c r="P1637" t="str">
        <f t="shared" si="228"/>
        <v>SERRANDA SERRANDA</v>
      </c>
      <c r="R1637" t="str">
        <f t="shared" si="229"/>
        <v>Mancata Apertura Serranda</v>
      </c>
      <c r="U1637" t="str">
        <f t="shared" si="230"/>
        <v>Allarme</v>
      </c>
      <c r="V1637" t="str">
        <f t="shared" si="231"/>
        <v>QACC1_SG</v>
      </c>
      <c r="W1637" t="str">
        <f t="shared" si="232"/>
        <v>GALLERIA SAN GIULIANO</v>
      </c>
      <c r="Z1637" t="str">
        <f t="shared" si="233"/>
        <v>10.220.80.16</v>
      </c>
    </row>
    <row r="1638" spans="1:26" x14ac:dyDescent="0.25">
      <c r="A1638" t="s">
        <v>10</v>
      </c>
      <c r="B1638" t="s">
        <v>1063</v>
      </c>
      <c r="C1638" t="s">
        <v>1064</v>
      </c>
      <c r="D1638" t="s">
        <v>2420</v>
      </c>
      <c r="E1638" t="s">
        <v>2420</v>
      </c>
      <c r="F1638" t="s">
        <v>14</v>
      </c>
      <c r="G1638" t="s">
        <v>28</v>
      </c>
      <c r="H1638" t="s">
        <v>22</v>
      </c>
      <c r="I1638" t="s">
        <v>2441</v>
      </c>
      <c r="J1638" t="s">
        <v>2442</v>
      </c>
      <c r="K1638" t="str">
        <f t="shared" si="225"/>
        <v>1334.14</v>
      </c>
      <c r="N1638" t="str">
        <f t="shared" si="226"/>
        <v>HOLDING REGISTER</v>
      </c>
      <c r="O1638" t="str">
        <f t="shared" si="227"/>
        <v>BOOL</v>
      </c>
      <c r="P1638" t="str">
        <f t="shared" si="228"/>
        <v>SERRANDA SERRANDA</v>
      </c>
      <c r="R1638" t="str">
        <f t="shared" si="229"/>
        <v>Mancata Chiusura Serranda</v>
      </c>
      <c r="U1638" t="str">
        <f t="shared" si="230"/>
        <v>Allarme</v>
      </c>
      <c r="V1638" t="str">
        <f t="shared" si="231"/>
        <v>QACC1_SG</v>
      </c>
      <c r="W1638" t="str">
        <f t="shared" si="232"/>
        <v>GALLERIA SAN GIULIANO</v>
      </c>
      <c r="Z1638" t="str">
        <f t="shared" si="233"/>
        <v>10.220.80.16</v>
      </c>
    </row>
    <row r="1639" spans="1:26" x14ac:dyDescent="0.25">
      <c r="A1639" t="s">
        <v>10</v>
      </c>
      <c r="B1639" t="s">
        <v>1063</v>
      </c>
      <c r="C1639" t="s">
        <v>1064</v>
      </c>
      <c r="D1639" t="s">
        <v>49</v>
      </c>
      <c r="E1639" t="s">
        <v>49</v>
      </c>
      <c r="F1639" t="s">
        <v>14</v>
      </c>
      <c r="G1639" t="s">
        <v>28</v>
      </c>
      <c r="H1639" t="s">
        <v>22</v>
      </c>
      <c r="I1639" t="s">
        <v>2443</v>
      </c>
      <c r="J1639" t="s">
        <v>2444</v>
      </c>
      <c r="K1639" t="str">
        <f t="shared" si="225"/>
        <v>1334.15</v>
      </c>
      <c r="N1639" t="str">
        <f t="shared" si="226"/>
        <v>HOLDING REGISTER</v>
      </c>
      <c r="O1639" t="str">
        <f t="shared" si="227"/>
        <v>BOOL</v>
      </c>
      <c r="P1639" t="str">
        <f t="shared" si="228"/>
        <v>INTERRUTTORE INTERRUTTORE</v>
      </c>
      <c r="R1639" t="str">
        <f t="shared" si="229"/>
        <v>Intervento Protezione Motore Serranda</v>
      </c>
      <c r="U1639" t="str">
        <f t="shared" si="230"/>
        <v>Allarme</v>
      </c>
      <c r="V1639" t="str">
        <f t="shared" si="231"/>
        <v>QACC1_SG</v>
      </c>
      <c r="W1639" t="str">
        <f t="shared" si="232"/>
        <v>GALLERIA SAN GIULIANO</v>
      </c>
      <c r="Z1639" t="str">
        <f t="shared" si="233"/>
        <v>10.220.80.16</v>
      </c>
    </row>
    <row r="1640" spans="1:26" x14ac:dyDescent="0.25">
      <c r="A1640" t="s">
        <v>10</v>
      </c>
      <c r="B1640" t="s">
        <v>1063</v>
      </c>
      <c r="C1640" t="s">
        <v>1064</v>
      </c>
      <c r="D1640" t="s">
        <v>49</v>
      </c>
      <c r="E1640" t="s">
        <v>49</v>
      </c>
      <c r="F1640" t="s">
        <v>14</v>
      </c>
      <c r="G1640" t="s">
        <v>28</v>
      </c>
      <c r="H1640" t="s">
        <v>22</v>
      </c>
      <c r="I1640" t="s">
        <v>2445</v>
      </c>
      <c r="J1640" t="s">
        <v>2446</v>
      </c>
      <c r="K1640" t="str">
        <f t="shared" si="225"/>
        <v>1335.0</v>
      </c>
      <c r="N1640" t="str">
        <f t="shared" si="226"/>
        <v>HOLDING REGISTER</v>
      </c>
      <c r="O1640" t="str">
        <f t="shared" si="227"/>
        <v>BOOL</v>
      </c>
      <c r="P1640" t="str">
        <f t="shared" si="228"/>
        <v>INTERRUTTORE INTERRUTTORE</v>
      </c>
      <c r="R1640" t="str">
        <f t="shared" si="229"/>
        <v>Intervento Protezione Motore Ventilatore</v>
      </c>
      <c r="U1640" t="str">
        <f t="shared" si="230"/>
        <v>Allarme</v>
      </c>
      <c r="V1640" t="str">
        <f t="shared" si="231"/>
        <v>QACC1_SG</v>
      </c>
      <c r="W1640" t="str">
        <f t="shared" si="232"/>
        <v>GALLERIA SAN GIULIANO</v>
      </c>
      <c r="Z1640" t="str">
        <f t="shared" si="233"/>
        <v>10.220.80.16</v>
      </c>
    </row>
    <row r="1641" spans="1:26" x14ac:dyDescent="0.25">
      <c r="A1641" t="s">
        <v>10</v>
      </c>
      <c r="B1641" t="s">
        <v>1063</v>
      </c>
      <c r="C1641" t="s">
        <v>1100</v>
      </c>
      <c r="D1641" t="s">
        <v>2410</v>
      </c>
      <c r="E1641" t="s">
        <v>2410</v>
      </c>
      <c r="F1641" t="s">
        <v>14</v>
      </c>
      <c r="G1641" t="s">
        <v>21</v>
      </c>
      <c r="H1641" t="s">
        <v>22</v>
      </c>
      <c r="I1641" t="s">
        <v>2447</v>
      </c>
      <c r="J1641" t="s">
        <v>2412</v>
      </c>
      <c r="K1641" t="str">
        <f t="shared" si="225"/>
        <v>1335.1</v>
      </c>
      <c r="N1641" t="str">
        <f t="shared" si="226"/>
        <v>HOLDING REGISTER</v>
      </c>
      <c r="O1641" t="str">
        <f t="shared" si="227"/>
        <v>BOOL</v>
      </c>
      <c r="P1641" t="str">
        <f t="shared" si="228"/>
        <v>VENTILATORE E SERRANDA TAGLIAFUOCO VENTILATORE E SERRANDA TAGLIAFUOCO</v>
      </c>
      <c r="R1641" t="str">
        <f t="shared" si="229"/>
        <v>Ventilatore+Serranda In Automatico</v>
      </c>
      <c r="U1641" t="str">
        <f t="shared" si="230"/>
        <v>Stato</v>
      </c>
      <c r="V1641" t="str">
        <f t="shared" si="231"/>
        <v>QACC2_SG</v>
      </c>
      <c r="W1641" t="str">
        <f t="shared" si="232"/>
        <v>GALLERIA SAN GIULIANO</v>
      </c>
      <c r="Z1641" t="str">
        <f t="shared" si="233"/>
        <v>10.220.80.16</v>
      </c>
    </row>
    <row r="1642" spans="1:26" x14ac:dyDescent="0.25">
      <c r="A1642" t="s">
        <v>10</v>
      </c>
      <c r="B1642" t="s">
        <v>1063</v>
      </c>
      <c r="C1642" t="s">
        <v>1100</v>
      </c>
      <c r="D1642" t="s">
        <v>2410</v>
      </c>
      <c r="E1642" t="s">
        <v>2410</v>
      </c>
      <c r="F1642" t="s">
        <v>14</v>
      </c>
      <c r="G1642" t="s">
        <v>21</v>
      </c>
      <c r="H1642" t="s">
        <v>22</v>
      </c>
      <c r="I1642" t="s">
        <v>2448</v>
      </c>
      <c r="J1642" t="s">
        <v>2414</v>
      </c>
      <c r="K1642" t="str">
        <f t="shared" si="225"/>
        <v>1335.2</v>
      </c>
      <c r="N1642" t="str">
        <f t="shared" si="226"/>
        <v>HOLDING REGISTER</v>
      </c>
      <c r="O1642" t="str">
        <f t="shared" si="227"/>
        <v>BOOL</v>
      </c>
      <c r="P1642" t="str">
        <f t="shared" si="228"/>
        <v>VENTILATORE E SERRANDA TAGLIAFUOCO VENTILATORE E SERRANDA TAGLIAFUOCO</v>
      </c>
      <c r="R1642" t="str">
        <f t="shared" si="229"/>
        <v>Ventilatore+Serranda In Manuale</v>
      </c>
      <c r="U1642" t="str">
        <f t="shared" si="230"/>
        <v>Stato</v>
      </c>
      <c r="V1642" t="str">
        <f t="shared" si="231"/>
        <v>QACC2_SG</v>
      </c>
      <c r="W1642" t="str">
        <f t="shared" si="232"/>
        <v>GALLERIA SAN GIULIANO</v>
      </c>
      <c r="Z1642" t="str">
        <f t="shared" si="233"/>
        <v>10.220.80.16</v>
      </c>
    </row>
    <row r="1643" spans="1:26" x14ac:dyDescent="0.25">
      <c r="A1643" t="s">
        <v>10</v>
      </c>
      <c r="B1643" t="s">
        <v>1063</v>
      </c>
      <c r="C1643" t="s">
        <v>1100</v>
      </c>
      <c r="D1643" t="s">
        <v>2415</v>
      </c>
      <c r="E1643" t="s">
        <v>2415</v>
      </c>
      <c r="F1643" t="s">
        <v>14</v>
      </c>
      <c r="G1643" t="s">
        <v>21</v>
      </c>
      <c r="H1643" t="s">
        <v>22</v>
      </c>
      <c r="I1643" t="s">
        <v>2449</v>
      </c>
      <c r="J1643" t="s">
        <v>2417</v>
      </c>
      <c r="K1643" t="str">
        <f t="shared" si="225"/>
        <v>1335.3</v>
      </c>
      <c r="N1643" t="str">
        <f t="shared" si="226"/>
        <v>HOLDING REGISTER</v>
      </c>
      <c r="O1643" t="str">
        <f t="shared" si="227"/>
        <v>BOOL</v>
      </c>
      <c r="P1643" t="str">
        <f t="shared" si="228"/>
        <v>VENTILATORE VENTILATORE</v>
      </c>
      <c r="R1643" t="str">
        <f t="shared" si="229"/>
        <v>Ventilatore In Marcia</v>
      </c>
      <c r="U1643" t="str">
        <f t="shared" si="230"/>
        <v>Stato</v>
      </c>
      <c r="V1643" t="str">
        <f t="shared" si="231"/>
        <v>QACC2_SG</v>
      </c>
      <c r="W1643" t="str">
        <f t="shared" si="232"/>
        <v>GALLERIA SAN GIULIANO</v>
      </c>
      <c r="Z1643" t="str">
        <f t="shared" si="233"/>
        <v>10.220.80.16</v>
      </c>
    </row>
    <row r="1644" spans="1:26" x14ac:dyDescent="0.25">
      <c r="A1644" t="s">
        <v>10</v>
      </c>
      <c r="B1644" t="s">
        <v>1063</v>
      </c>
      <c r="C1644" t="s">
        <v>1100</v>
      </c>
      <c r="D1644" t="s">
        <v>2415</v>
      </c>
      <c r="E1644" t="s">
        <v>2415</v>
      </c>
      <c r="F1644" t="s">
        <v>14</v>
      </c>
      <c r="G1644" t="s">
        <v>21</v>
      </c>
      <c r="H1644" t="s">
        <v>22</v>
      </c>
      <c r="I1644" t="s">
        <v>2450</v>
      </c>
      <c r="J1644" t="s">
        <v>2419</v>
      </c>
      <c r="K1644" t="str">
        <f t="shared" si="225"/>
        <v>1335.4</v>
      </c>
      <c r="N1644" t="str">
        <f t="shared" si="226"/>
        <v>HOLDING REGISTER</v>
      </c>
      <c r="O1644" t="str">
        <f t="shared" si="227"/>
        <v>BOOL</v>
      </c>
      <c r="P1644" t="str">
        <f t="shared" si="228"/>
        <v>VENTILATORE VENTILATORE</v>
      </c>
      <c r="R1644" t="str">
        <f t="shared" si="229"/>
        <v>Ventilatore Fermo</v>
      </c>
      <c r="U1644" t="str">
        <f t="shared" si="230"/>
        <v>Stato</v>
      </c>
      <c r="V1644" t="str">
        <f t="shared" si="231"/>
        <v>QACC2_SG</v>
      </c>
      <c r="W1644" t="str">
        <f t="shared" si="232"/>
        <v>GALLERIA SAN GIULIANO</v>
      </c>
      <c r="Z1644" t="str">
        <f t="shared" si="233"/>
        <v>10.220.80.16</v>
      </c>
    </row>
    <row r="1645" spans="1:26" x14ac:dyDescent="0.25">
      <c r="A1645" t="s">
        <v>10</v>
      </c>
      <c r="B1645" t="s">
        <v>1063</v>
      </c>
      <c r="C1645" t="s">
        <v>1100</v>
      </c>
      <c r="D1645" t="s">
        <v>2420</v>
      </c>
      <c r="E1645" t="s">
        <v>2420</v>
      </c>
      <c r="F1645" t="s">
        <v>14</v>
      </c>
      <c r="G1645" t="s">
        <v>21</v>
      </c>
      <c r="H1645" t="s">
        <v>22</v>
      </c>
      <c r="I1645" t="s">
        <v>2451</v>
      </c>
      <c r="J1645" t="s">
        <v>2422</v>
      </c>
      <c r="K1645" t="str">
        <f t="shared" si="225"/>
        <v>1335.5</v>
      </c>
      <c r="N1645" t="str">
        <f t="shared" si="226"/>
        <v>HOLDING REGISTER</v>
      </c>
      <c r="O1645" t="str">
        <f t="shared" si="227"/>
        <v>BOOL</v>
      </c>
      <c r="P1645" t="str">
        <f t="shared" si="228"/>
        <v>SERRANDA SERRANDA</v>
      </c>
      <c r="R1645" t="str">
        <f t="shared" si="229"/>
        <v>Serranda Chiusa</v>
      </c>
      <c r="U1645" t="str">
        <f t="shared" si="230"/>
        <v>Stato</v>
      </c>
      <c r="V1645" t="str">
        <f t="shared" si="231"/>
        <v>QACC2_SG</v>
      </c>
      <c r="W1645" t="str">
        <f t="shared" si="232"/>
        <v>GALLERIA SAN GIULIANO</v>
      </c>
      <c r="Z1645" t="str">
        <f t="shared" si="233"/>
        <v>10.220.80.16</v>
      </c>
    </row>
    <row r="1646" spans="1:26" x14ac:dyDescent="0.25">
      <c r="A1646" t="s">
        <v>10</v>
      </c>
      <c r="B1646" t="s">
        <v>1063</v>
      </c>
      <c r="C1646" t="s">
        <v>1100</v>
      </c>
      <c r="D1646" t="s">
        <v>2420</v>
      </c>
      <c r="E1646" t="s">
        <v>2420</v>
      </c>
      <c r="F1646" t="s">
        <v>14</v>
      </c>
      <c r="G1646" t="s">
        <v>21</v>
      </c>
      <c r="H1646" t="s">
        <v>22</v>
      </c>
      <c r="I1646" t="s">
        <v>2452</v>
      </c>
      <c r="J1646" t="s">
        <v>2424</v>
      </c>
      <c r="K1646" t="str">
        <f t="shared" si="225"/>
        <v>1335.6</v>
      </c>
      <c r="N1646" t="str">
        <f t="shared" si="226"/>
        <v>HOLDING REGISTER</v>
      </c>
      <c r="O1646" t="str">
        <f t="shared" si="227"/>
        <v>BOOL</v>
      </c>
      <c r="P1646" t="str">
        <f t="shared" si="228"/>
        <v>SERRANDA SERRANDA</v>
      </c>
      <c r="R1646" t="str">
        <f t="shared" si="229"/>
        <v>Serranda Aperta</v>
      </c>
      <c r="U1646" t="str">
        <f t="shared" si="230"/>
        <v>Stato</v>
      </c>
      <c r="V1646" t="str">
        <f t="shared" si="231"/>
        <v>QACC2_SG</v>
      </c>
      <c r="W1646" t="str">
        <f t="shared" si="232"/>
        <v>GALLERIA SAN GIULIANO</v>
      </c>
      <c r="Z1646" t="str">
        <f t="shared" si="233"/>
        <v>10.220.80.16</v>
      </c>
    </row>
    <row r="1647" spans="1:26" x14ac:dyDescent="0.25">
      <c r="A1647" t="s">
        <v>10</v>
      </c>
      <c r="B1647" t="s">
        <v>1063</v>
      </c>
      <c r="C1647" t="s">
        <v>1100</v>
      </c>
      <c r="D1647" t="s">
        <v>2420</v>
      </c>
      <c r="E1647" t="s">
        <v>2420</v>
      </c>
      <c r="F1647" t="s">
        <v>14</v>
      </c>
      <c r="G1647" t="s">
        <v>21</v>
      </c>
      <c r="H1647" t="s">
        <v>22</v>
      </c>
      <c r="I1647" t="s">
        <v>2453</v>
      </c>
      <c r="J1647" t="s">
        <v>2426</v>
      </c>
      <c r="K1647" t="str">
        <f t="shared" si="225"/>
        <v>1335.7</v>
      </c>
      <c r="N1647" t="str">
        <f t="shared" si="226"/>
        <v>HOLDING REGISTER</v>
      </c>
      <c r="O1647" t="str">
        <f t="shared" si="227"/>
        <v>BOOL</v>
      </c>
      <c r="P1647" t="str">
        <f t="shared" si="228"/>
        <v>SERRANDA SERRANDA</v>
      </c>
      <c r="R1647" t="str">
        <f t="shared" si="229"/>
        <v>Serranda In Apertura</v>
      </c>
      <c r="U1647" t="str">
        <f t="shared" si="230"/>
        <v>Stato</v>
      </c>
      <c r="V1647" t="str">
        <f t="shared" si="231"/>
        <v>QACC2_SG</v>
      </c>
      <c r="W1647" t="str">
        <f t="shared" si="232"/>
        <v>GALLERIA SAN GIULIANO</v>
      </c>
      <c r="Z1647" t="str">
        <f t="shared" si="233"/>
        <v>10.220.80.16</v>
      </c>
    </row>
    <row r="1648" spans="1:26" x14ac:dyDescent="0.25">
      <c r="A1648" t="s">
        <v>10</v>
      </c>
      <c r="B1648" t="s">
        <v>1063</v>
      </c>
      <c r="C1648" t="s">
        <v>1100</v>
      </c>
      <c r="D1648" t="s">
        <v>2415</v>
      </c>
      <c r="E1648" t="s">
        <v>2415</v>
      </c>
      <c r="F1648" t="s">
        <v>14</v>
      </c>
      <c r="G1648" t="s">
        <v>21</v>
      </c>
      <c r="H1648" t="s">
        <v>22</v>
      </c>
      <c r="I1648" t="s">
        <v>2454</v>
      </c>
      <c r="J1648" t="s">
        <v>2428</v>
      </c>
      <c r="K1648" t="str">
        <f t="shared" si="225"/>
        <v>1335.8</v>
      </c>
      <c r="N1648" t="str">
        <f t="shared" si="226"/>
        <v>HOLDING REGISTER</v>
      </c>
      <c r="O1648" t="str">
        <f t="shared" si="227"/>
        <v>BOOL</v>
      </c>
      <c r="P1648" t="str">
        <f t="shared" si="228"/>
        <v>VENTILATORE VENTILATORE</v>
      </c>
      <c r="R1648" t="str">
        <f t="shared" si="229"/>
        <v>Ventilatore In Arresto</v>
      </c>
      <c r="U1648" t="str">
        <f t="shared" si="230"/>
        <v>Stato</v>
      </c>
      <c r="V1648" t="str">
        <f t="shared" si="231"/>
        <v>QACC2_SG</v>
      </c>
      <c r="W1648" t="str">
        <f t="shared" si="232"/>
        <v>GALLERIA SAN GIULIANO</v>
      </c>
      <c r="Z1648" t="str">
        <f t="shared" si="233"/>
        <v>10.220.80.16</v>
      </c>
    </row>
    <row r="1649" spans="1:26" x14ac:dyDescent="0.25">
      <c r="A1649" t="s">
        <v>10</v>
      </c>
      <c r="B1649" t="s">
        <v>1063</v>
      </c>
      <c r="C1649" t="s">
        <v>1100</v>
      </c>
      <c r="D1649" t="s">
        <v>2420</v>
      </c>
      <c r="E1649" t="s">
        <v>2420</v>
      </c>
      <c r="F1649" t="s">
        <v>14</v>
      </c>
      <c r="G1649" t="s">
        <v>21</v>
      </c>
      <c r="H1649" t="s">
        <v>22</v>
      </c>
      <c r="I1649" t="s">
        <v>2455</v>
      </c>
      <c r="J1649" t="s">
        <v>2430</v>
      </c>
      <c r="K1649" t="str">
        <f t="shared" si="225"/>
        <v>1335.9</v>
      </c>
      <c r="N1649" t="str">
        <f t="shared" si="226"/>
        <v>HOLDING REGISTER</v>
      </c>
      <c r="O1649" t="str">
        <f t="shared" si="227"/>
        <v>BOOL</v>
      </c>
      <c r="P1649" t="str">
        <f t="shared" si="228"/>
        <v>SERRANDA SERRANDA</v>
      </c>
      <c r="R1649" t="str">
        <f t="shared" si="229"/>
        <v>Serranda In Chiusura</v>
      </c>
      <c r="U1649" t="str">
        <f t="shared" si="230"/>
        <v>Stato</v>
      </c>
      <c r="V1649" t="str">
        <f t="shared" si="231"/>
        <v>QACC2_SG</v>
      </c>
      <c r="W1649" t="str">
        <f t="shared" si="232"/>
        <v>GALLERIA SAN GIULIANO</v>
      </c>
      <c r="Z1649" t="str">
        <f t="shared" si="233"/>
        <v>10.220.80.16</v>
      </c>
    </row>
    <row r="1650" spans="1:26" x14ac:dyDescent="0.25">
      <c r="A1650" t="s">
        <v>10</v>
      </c>
      <c r="B1650" t="s">
        <v>1063</v>
      </c>
      <c r="C1650" t="s">
        <v>1100</v>
      </c>
      <c r="D1650" t="s">
        <v>555</v>
      </c>
      <c r="E1650" t="s">
        <v>555</v>
      </c>
      <c r="F1650" t="s">
        <v>14</v>
      </c>
      <c r="G1650" t="s">
        <v>21</v>
      </c>
      <c r="H1650" t="s">
        <v>22</v>
      </c>
      <c r="I1650" t="s">
        <v>2456</v>
      </c>
      <c r="J1650" t="s">
        <v>2432</v>
      </c>
      <c r="K1650" t="str">
        <f t="shared" si="225"/>
        <v>1335.10</v>
      </c>
      <c r="N1650" t="str">
        <f t="shared" si="226"/>
        <v>HOLDING REGISTER</v>
      </c>
      <c r="O1650" t="str">
        <f t="shared" si="227"/>
        <v>BOOL</v>
      </c>
      <c r="P1650" t="str">
        <f t="shared" si="228"/>
        <v>SELETTORE SELETTORE</v>
      </c>
      <c r="R1650" t="str">
        <f t="shared" si="229"/>
        <v>Ventilatore In Manuale Da Quadro</v>
      </c>
      <c r="U1650" t="str">
        <f t="shared" si="230"/>
        <v>Stato</v>
      </c>
      <c r="V1650" t="str">
        <f t="shared" si="231"/>
        <v>QACC2_SG</v>
      </c>
      <c r="W1650" t="str">
        <f t="shared" si="232"/>
        <v>GALLERIA SAN GIULIANO</v>
      </c>
      <c r="Z1650" t="str">
        <f t="shared" si="233"/>
        <v>10.220.80.16</v>
      </c>
    </row>
    <row r="1651" spans="1:26" x14ac:dyDescent="0.25">
      <c r="A1651" t="s">
        <v>10</v>
      </c>
      <c r="B1651" t="s">
        <v>1063</v>
      </c>
      <c r="C1651" t="s">
        <v>1100</v>
      </c>
      <c r="D1651" t="s">
        <v>555</v>
      </c>
      <c r="E1651" t="s">
        <v>555</v>
      </c>
      <c r="F1651" t="s">
        <v>14</v>
      </c>
      <c r="G1651" t="s">
        <v>21</v>
      </c>
      <c r="H1651" t="s">
        <v>22</v>
      </c>
      <c r="I1651" t="s">
        <v>2457</v>
      </c>
      <c r="J1651" t="s">
        <v>2434</v>
      </c>
      <c r="K1651" t="str">
        <f t="shared" si="225"/>
        <v>1335.11</v>
      </c>
      <c r="N1651" t="str">
        <f t="shared" si="226"/>
        <v>HOLDING REGISTER</v>
      </c>
      <c r="O1651" t="str">
        <f t="shared" si="227"/>
        <v>BOOL</v>
      </c>
      <c r="P1651" t="str">
        <f t="shared" si="228"/>
        <v>SELETTORE SELETTORE</v>
      </c>
      <c r="R1651" t="str">
        <f t="shared" si="229"/>
        <v>Serranda In Manuale Da Quadro</v>
      </c>
      <c r="U1651" t="str">
        <f t="shared" si="230"/>
        <v>Stato</v>
      </c>
      <c r="V1651" t="str">
        <f t="shared" si="231"/>
        <v>QACC2_SG</v>
      </c>
      <c r="W1651" t="str">
        <f t="shared" si="232"/>
        <v>GALLERIA SAN GIULIANO</v>
      </c>
      <c r="Z1651" t="str">
        <f t="shared" si="233"/>
        <v>10.220.80.16</v>
      </c>
    </row>
    <row r="1652" spans="1:26" x14ac:dyDescent="0.25">
      <c r="A1652" t="s">
        <v>10</v>
      </c>
      <c r="B1652" t="s">
        <v>1063</v>
      </c>
      <c r="C1652" t="s">
        <v>1100</v>
      </c>
      <c r="D1652" t="s">
        <v>2415</v>
      </c>
      <c r="E1652" t="s">
        <v>2415</v>
      </c>
      <c r="F1652" t="s">
        <v>14</v>
      </c>
      <c r="G1652" t="s">
        <v>28</v>
      </c>
      <c r="H1652" t="s">
        <v>22</v>
      </c>
      <c r="I1652" t="s">
        <v>2458</v>
      </c>
      <c r="J1652" t="s">
        <v>2436</v>
      </c>
      <c r="K1652" t="str">
        <f t="shared" si="225"/>
        <v>1335.12</v>
      </c>
      <c r="N1652" t="str">
        <f t="shared" si="226"/>
        <v>HOLDING REGISTER</v>
      </c>
      <c r="O1652" t="str">
        <f t="shared" si="227"/>
        <v>BOOL</v>
      </c>
      <c r="P1652" t="str">
        <f t="shared" si="228"/>
        <v>VENTILATORE VENTILATORE</v>
      </c>
      <c r="R1652" t="str">
        <f t="shared" si="229"/>
        <v>Mancato Avvio Ventilatore</v>
      </c>
      <c r="U1652" t="str">
        <f t="shared" si="230"/>
        <v>Allarme</v>
      </c>
      <c r="V1652" t="str">
        <f t="shared" si="231"/>
        <v>QACC2_SG</v>
      </c>
      <c r="W1652" t="str">
        <f t="shared" si="232"/>
        <v>GALLERIA SAN GIULIANO</v>
      </c>
      <c r="Z1652" t="str">
        <f t="shared" si="233"/>
        <v>10.220.80.16</v>
      </c>
    </row>
    <row r="1653" spans="1:26" x14ac:dyDescent="0.25">
      <c r="A1653" t="s">
        <v>10</v>
      </c>
      <c r="B1653" t="s">
        <v>1063</v>
      </c>
      <c r="C1653" t="s">
        <v>1100</v>
      </c>
      <c r="D1653" t="s">
        <v>2415</v>
      </c>
      <c r="E1653" t="s">
        <v>2415</v>
      </c>
      <c r="F1653" t="s">
        <v>14</v>
      </c>
      <c r="G1653" t="s">
        <v>28</v>
      </c>
      <c r="H1653" t="s">
        <v>22</v>
      </c>
      <c r="I1653" t="s">
        <v>2459</v>
      </c>
      <c r="J1653" t="s">
        <v>2438</v>
      </c>
      <c r="K1653" t="str">
        <f t="shared" si="225"/>
        <v>1335.13</v>
      </c>
      <c r="N1653" t="str">
        <f t="shared" si="226"/>
        <v>HOLDING REGISTER</v>
      </c>
      <c r="O1653" t="str">
        <f t="shared" si="227"/>
        <v>BOOL</v>
      </c>
      <c r="P1653" t="str">
        <f t="shared" si="228"/>
        <v>VENTILATORE VENTILATORE</v>
      </c>
      <c r="R1653" t="str">
        <f t="shared" si="229"/>
        <v>Mancato Arresto Ventilatore</v>
      </c>
      <c r="U1653" t="str">
        <f t="shared" si="230"/>
        <v>Allarme</v>
      </c>
      <c r="V1653" t="str">
        <f t="shared" si="231"/>
        <v>QACC2_SG</v>
      </c>
      <c r="W1653" t="str">
        <f t="shared" si="232"/>
        <v>GALLERIA SAN GIULIANO</v>
      </c>
      <c r="Z1653" t="str">
        <f t="shared" si="233"/>
        <v>10.220.80.16</v>
      </c>
    </row>
    <row r="1654" spans="1:26" x14ac:dyDescent="0.25">
      <c r="A1654" t="s">
        <v>10</v>
      </c>
      <c r="B1654" t="s">
        <v>1063</v>
      </c>
      <c r="C1654" t="s">
        <v>1100</v>
      </c>
      <c r="D1654" t="s">
        <v>2420</v>
      </c>
      <c r="E1654" t="s">
        <v>2420</v>
      </c>
      <c r="F1654" t="s">
        <v>14</v>
      </c>
      <c r="G1654" t="s">
        <v>28</v>
      </c>
      <c r="H1654" t="s">
        <v>22</v>
      </c>
      <c r="I1654" t="s">
        <v>2460</v>
      </c>
      <c r="J1654" t="s">
        <v>2440</v>
      </c>
      <c r="K1654" t="str">
        <f t="shared" si="225"/>
        <v>1335.14</v>
      </c>
      <c r="N1654" t="str">
        <f t="shared" si="226"/>
        <v>HOLDING REGISTER</v>
      </c>
      <c r="O1654" t="str">
        <f t="shared" si="227"/>
        <v>BOOL</v>
      </c>
      <c r="P1654" t="str">
        <f t="shared" si="228"/>
        <v>SERRANDA SERRANDA</v>
      </c>
      <c r="R1654" t="str">
        <f t="shared" si="229"/>
        <v>Mancata Apertura Serranda</v>
      </c>
      <c r="U1654" t="str">
        <f t="shared" si="230"/>
        <v>Allarme</v>
      </c>
      <c r="V1654" t="str">
        <f t="shared" si="231"/>
        <v>QACC2_SG</v>
      </c>
      <c r="W1654" t="str">
        <f t="shared" si="232"/>
        <v>GALLERIA SAN GIULIANO</v>
      </c>
      <c r="Z1654" t="str">
        <f t="shared" si="233"/>
        <v>10.220.80.16</v>
      </c>
    </row>
    <row r="1655" spans="1:26" x14ac:dyDescent="0.25">
      <c r="A1655" t="s">
        <v>10</v>
      </c>
      <c r="B1655" t="s">
        <v>1063</v>
      </c>
      <c r="C1655" t="s">
        <v>1100</v>
      </c>
      <c r="D1655" t="s">
        <v>2420</v>
      </c>
      <c r="E1655" t="s">
        <v>2420</v>
      </c>
      <c r="F1655" t="s">
        <v>14</v>
      </c>
      <c r="G1655" t="s">
        <v>28</v>
      </c>
      <c r="H1655" t="s">
        <v>22</v>
      </c>
      <c r="I1655" t="s">
        <v>2461</v>
      </c>
      <c r="J1655" t="s">
        <v>2442</v>
      </c>
      <c r="K1655" t="str">
        <f t="shared" si="225"/>
        <v>1335.15</v>
      </c>
      <c r="N1655" t="str">
        <f t="shared" si="226"/>
        <v>HOLDING REGISTER</v>
      </c>
      <c r="O1655" t="str">
        <f t="shared" si="227"/>
        <v>BOOL</v>
      </c>
      <c r="P1655" t="str">
        <f t="shared" si="228"/>
        <v>SERRANDA SERRANDA</v>
      </c>
      <c r="R1655" t="str">
        <f t="shared" si="229"/>
        <v>Mancata Chiusura Serranda</v>
      </c>
      <c r="U1655" t="str">
        <f t="shared" si="230"/>
        <v>Allarme</v>
      </c>
      <c r="V1655" t="str">
        <f t="shared" si="231"/>
        <v>QACC2_SG</v>
      </c>
      <c r="W1655" t="str">
        <f t="shared" si="232"/>
        <v>GALLERIA SAN GIULIANO</v>
      </c>
      <c r="Z1655" t="str">
        <f t="shared" si="233"/>
        <v>10.220.80.16</v>
      </c>
    </row>
    <row r="1656" spans="1:26" x14ac:dyDescent="0.25">
      <c r="A1656" t="s">
        <v>10</v>
      </c>
      <c r="B1656" t="s">
        <v>1063</v>
      </c>
      <c r="C1656" t="s">
        <v>1100</v>
      </c>
      <c r="D1656" t="s">
        <v>49</v>
      </c>
      <c r="E1656" t="s">
        <v>49</v>
      </c>
      <c r="F1656" t="s">
        <v>14</v>
      </c>
      <c r="G1656" t="s">
        <v>28</v>
      </c>
      <c r="H1656" t="s">
        <v>22</v>
      </c>
      <c r="I1656" t="s">
        <v>2462</v>
      </c>
      <c r="J1656" t="s">
        <v>2444</v>
      </c>
      <c r="K1656" t="str">
        <f t="shared" si="225"/>
        <v>1336.0</v>
      </c>
      <c r="N1656" t="str">
        <f t="shared" si="226"/>
        <v>HOLDING REGISTER</v>
      </c>
      <c r="O1656" t="str">
        <f t="shared" si="227"/>
        <v>BOOL</v>
      </c>
      <c r="P1656" t="str">
        <f t="shared" si="228"/>
        <v>INTERRUTTORE INTERRUTTORE</v>
      </c>
      <c r="R1656" t="str">
        <f t="shared" si="229"/>
        <v>Intervento Protezione Motore Serranda</v>
      </c>
      <c r="U1656" t="str">
        <f t="shared" si="230"/>
        <v>Allarme</v>
      </c>
      <c r="V1656" t="str">
        <f t="shared" si="231"/>
        <v>QACC2_SG</v>
      </c>
      <c r="W1656" t="str">
        <f t="shared" si="232"/>
        <v>GALLERIA SAN GIULIANO</v>
      </c>
      <c r="Z1656" t="str">
        <f t="shared" si="233"/>
        <v>10.220.80.16</v>
      </c>
    </row>
    <row r="1657" spans="1:26" x14ac:dyDescent="0.25">
      <c r="A1657" t="s">
        <v>10</v>
      </c>
      <c r="B1657" t="s">
        <v>1063</v>
      </c>
      <c r="C1657" t="s">
        <v>1100</v>
      </c>
      <c r="D1657" t="s">
        <v>49</v>
      </c>
      <c r="E1657" t="s">
        <v>49</v>
      </c>
      <c r="F1657" t="s">
        <v>14</v>
      </c>
      <c r="G1657" t="s">
        <v>28</v>
      </c>
      <c r="H1657" t="s">
        <v>22</v>
      </c>
      <c r="I1657" t="s">
        <v>2463</v>
      </c>
      <c r="J1657" t="s">
        <v>2446</v>
      </c>
      <c r="K1657" t="str">
        <f t="shared" si="225"/>
        <v>1336.1</v>
      </c>
      <c r="N1657" t="str">
        <f t="shared" si="226"/>
        <v>HOLDING REGISTER</v>
      </c>
      <c r="O1657" t="str">
        <f t="shared" si="227"/>
        <v>BOOL</v>
      </c>
      <c r="P1657" t="str">
        <f t="shared" si="228"/>
        <v>INTERRUTTORE INTERRUTTORE</v>
      </c>
      <c r="R1657" t="str">
        <f t="shared" si="229"/>
        <v>Intervento Protezione Motore Ventilatore</v>
      </c>
      <c r="U1657" t="str">
        <f t="shared" si="230"/>
        <v>Allarme</v>
      </c>
      <c r="V1657" t="str">
        <f t="shared" si="231"/>
        <v>QACC2_SG</v>
      </c>
      <c r="W1657" t="str">
        <f t="shared" si="232"/>
        <v>GALLERIA SAN GIULIANO</v>
      </c>
      <c r="Z1657" t="str">
        <f t="shared" si="233"/>
        <v>10.220.80.16</v>
      </c>
    </row>
    <row r="1658" spans="1:26" x14ac:dyDescent="0.25">
      <c r="A1658" t="s">
        <v>10</v>
      </c>
      <c r="B1658" t="s">
        <v>1063</v>
      </c>
      <c r="C1658" t="s">
        <v>2464</v>
      </c>
      <c r="D1658" t="s">
        <v>2410</v>
      </c>
      <c r="E1658" t="s">
        <v>2410</v>
      </c>
      <c r="F1658" t="s">
        <v>14</v>
      </c>
      <c r="G1658" t="s">
        <v>21</v>
      </c>
      <c r="H1658" t="s">
        <v>22</v>
      </c>
      <c r="I1658" t="s">
        <v>2465</v>
      </c>
      <c r="J1658" t="s">
        <v>2412</v>
      </c>
      <c r="K1658" t="str">
        <f t="shared" si="225"/>
        <v>1336.2</v>
      </c>
      <c r="N1658" t="str">
        <f t="shared" si="226"/>
        <v>HOLDING REGISTER</v>
      </c>
      <c r="O1658" t="str">
        <f t="shared" si="227"/>
        <v>BOOL</v>
      </c>
      <c r="P1658" t="str">
        <f t="shared" si="228"/>
        <v>VENTILATORE E SERRANDA TAGLIAFUOCO VENTILATORE E SERRANDA TAGLIAFUOCO</v>
      </c>
      <c r="R1658" t="str">
        <f t="shared" si="229"/>
        <v>Ventilatore+Serranda In Automatico</v>
      </c>
      <c r="U1658" t="str">
        <f t="shared" si="230"/>
        <v>Stato</v>
      </c>
      <c r="V1658" t="str">
        <f t="shared" si="231"/>
        <v>QACC_PIAZZ_SG</v>
      </c>
      <c r="W1658" t="str">
        <f t="shared" si="232"/>
        <v>GALLERIA SAN GIULIANO</v>
      </c>
      <c r="Z1658" t="str">
        <f t="shared" si="233"/>
        <v>10.220.80.16</v>
      </c>
    </row>
    <row r="1659" spans="1:26" x14ac:dyDescent="0.25">
      <c r="A1659" t="s">
        <v>10</v>
      </c>
      <c r="B1659" t="s">
        <v>1063</v>
      </c>
      <c r="C1659" t="s">
        <v>2464</v>
      </c>
      <c r="D1659" t="s">
        <v>2410</v>
      </c>
      <c r="E1659" t="s">
        <v>2410</v>
      </c>
      <c r="F1659" t="s">
        <v>14</v>
      </c>
      <c r="G1659" t="s">
        <v>21</v>
      </c>
      <c r="H1659" t="s">
        <v>22</v>
      </c>
      <c r="I1659" t="s">
        <v>2466</v>
      </c>
      <c r="J1659" t="s">
        <v>2414</v>
      </c>
      <c r="K1659" t="str">
        <f t="shared" si="225"/>
        <v>1336.3</v>
      </c>
      <c r="N1659" t="str">
        <f t="shared" si="226"/>
        <v>HOLDING REGISTER</v>
      </c>
      <c r="O1659" t="str">
        <f t="shared" si="227"/>
        <v>BOOL</v>
      </c>
      <c r="P1659" t="str">
        <f t="shared" si="228"/>
        <v>VENTILATORE E SERRANDA TAGLIAFUOCO VENTILATORE E SERRANDA TAGLIAFUOCO</v>
      </c>
      <c r="R1659" t="str">
        <f t="shared" si="229"/>
        <v>Ventilatore+Serranda In Manuale</v>
      </c>
      <c r="U1659" t="str">
        <f t="shared" si="230"/>
        <v>Stato</v>
      </c>
      <c r="V1659" t="str">
        <f t="shared" si="231"/>
        <v>QACC_PIAZZ_SG</v>
      </c>
      <c r="W1659" t="str">
        <f t="shared" si="232"/>
        <v>GALLERIA SAN GIULIANO</v>
      </c>
      <c r="Z1659" t="str">
        <f t="shared" si="233"/>
        <v>10.220.80.16</v>
      </c>
    </row>
    <row r="1660" spans="1:26" x14ac:dyDescent="0.25">
      <c r="A1660" t="s">
        <v>10</v>
      </c>
      <c r="B1660" t="s">
        <v>1063</v>
      </c>
      <c r="C1660" t="s">
        <v>2464</v>
      </c>
      <c r="D1660" t="s">
        <v>2415</v>
      </c>
      <c r="E1660" t="s">
        <v>2415</v>
      </c>
      <c r="F1660" t="s">
        <v>14</v>
      </c>
      <c r="G1660" t="s">
        <v>21</v>
      </c>
      <c r="H1660" t="s">
        <v>22</v>
      </c>
      <c r="I1660" t="s">
        <v>2467</v>
      </c>
      <c r="J1660" t="s">
        <v>2417</v>
      </c>
      <c r="K1660" t="str">
        <f t="shared" si="225"/>
        <v>1336.4</v>
      </c>
      <c r="N1660" t="str">
        <f t="shared" si="226"/>
        <v>HOLDING REGISTER</v>
      </c>
      <c r="O1660" t="str">
        <f t="shared" si="227"/>
        <v>BOOL</v>
      </c>
      <c r="P1660" t="str">
        <f t="shared" si="228"/>
        <v>VENTILATORE VENTILATORE</v>
      </c>
      <c r="R1660" t="str">
        <f t="shared" si="229"/>
        <v>Ventilatore In Marcia</v>
      </c>
      <c r="U1660" t="str">
        <f t="shared" si="230"/>
        <v>Stato</v>
      </c>
      <c r="V1660" t="str">
        <f t="shared" si="231"/>
        <v>QACC_PIAZZ_SG</v>
      </c>
      <c r="W1660" t="str">
        <f t="shared" si="232"/>
        <v>GALLERIA SAN GIULIANO</v>
      </c>
      <c r="Z1660" t="str">
        <f t="shared" si="233"/>
        <v>10.220.80.16</v>
      </c>
    </row>
    <row r="1661" spans="1:26" x14ac:dyDescent="0.25">
      <c r="A1661" t="s">
        <v>10</v>
      </c>
      <c r="B1661" t="s">
        <v>1063</v>
      </c>
      <c r="C1661" t="s">
        <v>2464</v>
      </c>
      <c r="D1661" t="s">
        <v>2415</v>
      </c>
      <c r="E1661" t="s">
        <v>2415</v>
      </c>
      <c r="F1661" t="s">
        <v>14</v>
      </c>
      <c r="G1661" t="s">
        <v>21</v>
      </c>
      <c r="H1661" t="s">
        <v>22</v>
      </c>
      <c r="I1661" t="s">
        <v>2468</v>
      </c>
      <c r="J1661" t="s">
        <v>2419</v>
      </c>
      <c r="K1661" t="str">
        <f t="shared" si="225"/>
        <v>1336.5</v>
      </c>
      <c r="N1661" t="str">
        <f t="shared" si="226"/>
        <v>HOLDING REGISTER</v>
      </c>
      <c r="O1661" t="str">
        <f t="shared" si="227"/>
        <v>BOOL</v>
      </c>
      <c r="P1661" t="str">
        <f t="shared" si="228"/>
        <v>VENTILATORE VENTILATORE</v>
      </c>
      <c r="R1661" t="str">
        <f t="shared" si="229"/>
        <v>Ventilatore Fermo</v>
      </c>
      <c r="U1661" t="str">
        <f t="shared" si="230"/>
        <v>Stato</v>
      </c>
      <c r="V1661" t="str">
        <f t="shared" si="231"/>
        <v>QACC_PIAZZ_SG</v>
      </c>
      <c r="W1661" t="str">
        <f t="shared" si="232"/>
        <v>GALLERIA SAN GIULIANO</v>
      </c>
      <c r="Z1661" t="str">
        <f t="shared" si="233"/>
        <v>10.220.80.16</v>
      </c>
    </row>
    <row r="1662" spans="1:26" x14ac:dyDescent="0.25">
      <c r="A1662" t="s">
        <v>10</v>
      </c>
      <c r="B1662" t="s">
        <v>1063</v>
      </c>
      <c r="C1662" t="s">
        <v>2464</v>
      </c>
      <c r="D1662" t="s">
        <v>2420</v>
      </c>
      <c r="E1662" t="s">
        <v>2420</v>
      </c>
      <c r="F1662" t="s">
        <v>14</v>
      </c>
      <c r="G1662" t="s">
        <v>21</v>
      </c>
      <c r="H1662" t="s">
        <v>22</v>
      </c>
      <c r="I1662" t="s">
        <v>2469</v>
      </c>
      <c r="J1662" t="s">
        <v>2422</v>
      </c>
      <c r="K1662" t="str">
        <f t="shared" si="225"/>
        <v>1336.6</v>
      </c>
      <c r="N1662" t="str">
        <f t="shared" si="226"/>
        <v>HOLDING REGISTER</v>
      </c>
      <c r="O1662" t="str">
        <f t="shared" si="227"/>
        <v>BOOL</v>
      </c>
      <c r="P1662" t="str">
        <f t="shared" si="228"/>
        <v>SERRANDA SERRANDA</v>
      </c>
      <c r="R1662" t="str">
        <f t="shared" si="229"/>
        <v>Serranda Chiusa</v>
      </c>
      <c r="U1662" t="str">
        <f t="shared" si="230"/>
        <v>Stato</v>
      </c>
      <c r="V1662" t="str">
        <f t="shared" si="231"/>
        <v>QACC_PIAZZ_SG</v>
      </c>
      <c r="W1662" t="str">
        <f t="shared" si="232"/>
        <v>GALLERIA SAN GIULIANO</v>
      </c>
      <c r="Z1662" t="str">
        <f t="shared" si="233"/>
        <v>10.220.80.16</v>
      </c>
    </row>
    <row r="1663" spans="1:26" x14ac:dyDescent="0.25">
      <c r="A1663" t="s">
        <v>10</v>
      </c>
      <c r="B1663" t="s">
        <v>1063</v>
      </c>
      <c r="C1663" t="s">
        <v>2464</v>
      </c>
      <c r="D1663" t="s">
        <v>2420</v>
      </c>
      <c r="E1663" t="s">
        <v>2420</v>
      </c>
      <c r="F1663" t="s">
        <v>14</v>
      </c>
      <c r="G1663" t="s">
        <v>21</v>
      </c>
      <c r="H1663" t="s">
        <v>22</v>
      </c>
      <c r="I1663" t="s">
        <v>2470</v>
      </c>
      <c r="J1663" t="s">
        <v>2424</v>
      </c>
      <c r="K1663" t="str">
        <f t="shared" si="225"/>
        <v>1336.7</v>
      </c>
      <c r="N1663" t="str">
        <f t="shared" si="226"/>
        <v>HOLDING REGISTER</v>
      </c>
      <c r="O1663" t="str">
        <f t="shared" si="227"/>
        <v>BOOL</v>
      </c>
      <c r="P1663" t="str">
        <f t="shared" si="228"/>
        <v>SERRANDA SERRANDA</v>
      </c>
      <c r="R1663" t="str">
        <f t="shared" si="229"/>
        <v>Serranda Aperta</v>
      </c>
      <c r="U1663" t="str">
        <f t="shared" si="230"/>
        <v>Stato</v>
      </c>
      <c r="V1663" t="str">
        <f t="shared" si="231"/>
        <v>QACC_PIAZZ_SG</v>
      </c>
      <c r="W1663" t="str">
        <f t="shared" si="232"/>
        <v>GALLERIA SAN GIULIANO</v>
      </c>
      <c r="Z1663" t="str">
        <f t="shared" si="233"/>
        <v>10.220.80.16</v>
      </c>
    </row>
    <row r="1664" spans="1:26" x14ac:dyDescent="0.25">
      <c r="A1664" t="s">
        <v>10</v>
      </c>
      <c r="B1664" t="s">
        <v>1063</v>
      </c>
      <c r="C1664" t="s">
        <v>2464</v>
      </c>
      <c r="D1664" t="s">
        <v>2420</v>
      </c>
      <c r="E1664" t="s">
        <v>2420</v>
      </c>
      <c r="F1664" t="s">
        <v>14</v>
      </c>
      <c r="G1664" t="s">
        <v>21</v>
      </c>
      <c r="H1664" t="s">
        <v>22</v>
      </c>
      <c r="I1664" t="s">
        <v>2471</v>
      </c>
      <c r="J1664" t="s">
        <v>2426</v>
      </c>
      <c r="K1664" t="str">
        <f t="shared" si="225"/>
        <v>1336.8</v>
      </c>
      <c r="N1664" t="str">
        <f t="shared" si="226"/>
        <v>HOLDING REGISTER</v>
      </c>
      <c r="O1664" t="str">
        <f t="shared" si="227"/>
        <v>BOOL</v>
      </c>
      <c r="P1664" t="str">
        <f t="shared" si="228"/>
        <v>SERRANDA SERRANDA</v>
      </c>
      <c r="R1664" t="str">
        <f t="shared" si="229"/>
        <v>Serranda In Apertura</v>
      </c>
      <c r="U1664" t="str">
        <f t="shared" si="230"/>
        <v>Stato</v>
      </c>
      <c r="V1664" t="str">
        <f t="shared" si="231"/>
        <v>QACC_PIAZZ_SG</v>
      </c>
      <c r="W1664" t="str">
        <f t="shared" si="232"/>
        <v>GALLERIA SAN GIULIANO</v>
      </c>
      <c r="Z1664" t="str">
        <f t="shared" si="233"/>
        <v>10.220.80.16</v>
      </c>
    </row>
    <row r="1665" spans="1:26" x14ac:dyDescent="0.25">
      <c r="A1665" t="s">
        <v>10</v>
      </c>
      <c r="B1665" t="s">
        <v>1063</v>
      </c>
      <c r="C1665" t="s">
        <v>2464</v>
      </c>
      <c r="D1665" t="s">
        <v>2415</v>
      </c>
      <c r="E1665" t="s">
        <v>2415</v>
      </c>
      <c r="F1665" t="s">
        <v>14</v>
      </c>
      <c r="G1665" t="s">
        <v>21</v>
      </c>
      <c r="H1665" t="s">
        <v>22</v>
      </c>
      <c r="I1665" t="s">
        <v>2472</v>
      </c>
      <c r="J1665" t="s">
        <v>2428</v>
      </c>
      <c r="K1665" t="str">
        <f t="shared" si="225"/>
        <v>1336.9</v>
      </c>
      <c r="N1665" t="str">
        <f t="shared" si="226"/>
        <v>HOLDING REGISTER</v>
      </c>
      <c r="O1665" t="str">
        <f t="shared" si="227"/>
        <v>BOOL</v>
      </c>
      <c r="P1665" t="str">
        <f t="shared" si="228"/>
        <v>VENTILATORE VENTILATORE</v>
      </c>
      <c r="R1665" t="str">
        <f t="shared" si="229"/>
        <v>Ventilatore In Arresto</v>
      </c>
      <c r="U1665" t="str">
        <f t="shared" si="230"/>
        <v>Stato</v>
      </c>
      <c r="V1665" t="str">
        <f t="shared" si="231"/>
        <v>QACC_PIAZZ_SG</v>
      </c>
      <c r="W1665" t="str">
        <f t="shared" si="232"/>
        <v>GALLERIA SAN GIULIANO</v>
      </c>
      <c r="Z1665" t="str">
        <f t="shared" si="233"/>
        <v>10.220.80.16</v>
      </c>
    </row>
    <row r="1666" spans="1:26" x14ac:dyDescent="0.25">
      <c r="A1666" t="s">
        <v>10</v>
      </c>
      <c r="B1666" t="s">
        <v>1063</v>
      </c>
      <c r="C1666" t="s">
        <v>2464</v>
      </c>
      <c r="D1666" t="s">
        <v>2420</v>
      </c>
      <c r="E1666" t="s">
        <v>2420</v>
      </c>
      <c r="F1666" t="s">
        <v>14</v>
      </c>
      <c r="G1666" t="s">
        <v>21</v>
      </c>
      <c r="H1666" t="s">
        <v>22</v>
      </c>
      <c r="I1666" t="s">
        <v>2473</v>
      </c>
      <c r="J1666" t="s">
        <v>2430</v>
      </c>
      <c r="K1666" t="str">
        <f t="shared" si="225"/>
        <v>1336.10</v>
      </c>
      <c r="N1666" t="str">
        <f t="shared" si="226"/>
        <v>HOLDING REGISTER</v>
      </c>
      <c r="O1666" t="str">
        <f t="shared" si="227"/>
        <v>BOOL</v>
      </c>
      <c r="P1666" t="str">
        <f t="shared" si="228"/>
        <v>SERRANDA SERRANDA</v>
      </c>
      <c r="R1666" t="str">
        <f t="shared" si="229"/>
        <v>Serranda In Chiusura</v>
      </c>
      <c r="U1666" t="str">
        <f t="shared" si="230"/>
        <v>Stato</v>
      </c>
      <c r="V1666" t="str">
        <f t="shared" si="231"/>
        <v>QACC_PIAZZ_SG</v>
      </c>
      <c r="W1666" t="str">
        <f t="shared" si="232"/>
        <v>GALLERIA SAN GIULIANO</v>
      </c>
      <c r="Z1666" t="str">
        <f t="shared" si="233"/>
        <v>10.220.80.16</v>
      </c>
    </row>
    <row r="1667" spans="1:26" x14ac:dyDescent="0.25">
      <c r="A1667" t="s">
        <v>10</v>
      </c>
      <c r="B1667" t="s">
        <v>1063</v>
      </c>
      <c r="C1667" t="s">
        <v>2464</v>
      </c>
      <c r="D1667" t="s">
        <v>555</v>
      </c>
      <c r="E1667" t="s">
        <v>555</v>
      </c>
      <c r="F1667" t="s">
        <v>14</v>
      </c>
      <c r="G1667" t="s">
        <v>21</v>
      </c>
      <c r="H1667" t="s">
        <v>22</v>
      </c>
      <c r="I1667" t="s">
        <v>2474</v>
      </c>
      <c r="J1667" t="s">
        <v>2432</v>
      </c>
      <c r="K1667" t="str">
        <f t="shared" ref="K1667:K1730" si="234">IF(I1667="","",I1667)</f>
        <v>1336.11</v>
      </c>
      <c r="N1667" t="str">
        <f t="shared" ref="N1667:N1730" si="235">IF(F1667="","",F1667)</f>
        <v>HOLDING REGISTER</v>
      </c>
      <c r="O1667" t="str">
        <f t="shared" ref="O1667:O1730" si="236">IF(H1667="","",H1667)</f>
        <v>BOOL</v>
      </c>
      <c r="P1667" t="str">
        <f t="shared" ref="P1667:P1730" si="237">_xlfn.CONCAT(D1667," ",E1667)</f>
        <v>SELETTORE SELETTORE</v>
      </c>
      <c r="R1667" t="str">
        <f t="shared" ref="R1667:R1730" si="238">IF(J1667="","",J1667)</f>
        <v>Ventilatore In Manuale Da Quadro</v>
      </c>
      <c r="U1667" t="str">
        <f t="shared" ref="U1667:U1730" si="239">IF(G1667="","",G1667)</f>
        <v>Stato</v>
      </c>
      <c r="V1667" t="str">
        <f t="shared" ref="V1667:V1730" si="240">IF(C1667="","",C1667)</f>
        <v>QACC_PIAZZ_SG</v>
      </c>
      <c r="W1667" t="str">
        <f t="shared" ref="W1667:W1730" si="241">IF(B1667="","",B1667)</f>
        <v>GALLERIA SAN GIULIANO</v>
      </c>
      <c r="Z1667" t="str">
        <f t="shared" ref="Z1667:Z1730" si="242">IF(A1667="","",A1667)</f>
        <v>10.220.80.16</v>
      </c>
    </row>
    <row r="1668" spans="1:26" x14ac:dyDescent="0.25">
      <c r="A1668" t="s">
        <v>10</v>
      </c>
      <c r="B1668" t="s">
        <v>1063</v>
      </c>
      <c r="C1668" t="s">
        <v>2464</v>
      </c>
      <c r="D1668" t="s">
        <v>555</v>
      </c>
      <c r="E1668" t="s">
        <v>555</v>
      </c>
      <c r="F1668" t="s">
        <v>14</v>
      </c>
      <c r="G1668" t="s">
        <v>21</v>
      </c>
      <c r="H1668" t="s">
        <v>22</v>
      </c>
      <c r="I1668" t="s">
        <v>2475</v>
      </c>
      <c r="J1668" t="s">
        <v>2434</v>
      </c>
      <c r="K1668" t="str">
        <f t="shared" si="234"/>
        <v>1336.12</v>
      </c>
      <c r="N1668" t="str">
        <f t="shared" si="235"/>
        <v>HOLDING REGISTER</v>
      </c>
      <c r="O1668" t="str">
        <f t="shared" si="236"/>
        <v>BOOL</v>
      </c>
      <c r="P1668" t="str">
        <f t="shared" si="237"/>
        <v>SELETTORE SELETTORE</v>
      </c>
      <c r="R1668" t="str">
        <f t="shared" si="238"/>
        <v>Serranda In Manuale Da Quadro</v>
      </c>
      <c r="U1668" t="str">
        <f t="shared" si="239"/>
        <v>Stato</v>
      </c>
      <c r="V1668" t="str">
        <f t="shared" si="240"/>
        <v>QACC_PIAZZ_SG</v>
      </c>
      <c r="W1668" t="str">
        <f t="shared" si="241"/>
        <v>GALLERIA SAN GIULIANO</v>
      </c>
      <c r="Z1668" t="str">
        <f t="shared" si="242"/>
        <v>10.220.80.16</v>
      </c>
    </row>
    <row r="1669" spans="1:26" x14ac:dyDescent="0.25">
      <c r="A1669" t="s">
        <v>10</v>
      </c>
      <c r="B1669" t="s">
        <v>1063</v>
      </c>
      <c r="C1669" t="s">
        <v>2464</v>
      </c>
      <c r="D1669" t="s">
        <v>2415</v>
      </c>
      <c r="E1669" t="s">
        <v>2415</v>
      </c>
      <c r="F1669" t="s">
        <v>14</v>
      </c>
      <c r="G1669" t="s">
        <v>28</v>
      </c>
      <c r="H1669" t="s">
        <v>22</v>
      </c>
      <c r="I1669" t="s">
        <v>2476</v>
      </c>
      <c r="J1669" t="s">
        <v>2436</v>
      </c>
      <c r="K1669" t="str">
        <f t="shared" si="234"/>
        <v>1336.13</v>
      </c>
      <c r="N1669" t="str">
        <f t="shared" si="235"/>
        <v>HOLDING REGISTER</v>
      </c>
      <c r="O1669" t="str">
        <f t="shared" si="236"/>
        <v>BOOL</v>
      </c>
      <c r="P1669" t="str">
        <f t="shared" si="237"/>
        <v>VENTILATORE VENTILATORE</v>
      </c>
      <c r="R1669" t="str">
        <f t="shared" si="238"/>
        <v>Mancato Avvio Ventilatore</v>
      </c>
      <c r="U1669" t="str">
        <f t="shared" si="239"/>
        <v>Allarme</v>
      </c>
      <c r="V1669" t="str">
        <f t="shared" si="240"/>
        <v>QACC_PIAZZ_SG</v>
      </c>
      <c r="W1669" t="str">
        <f t="shared" si="241"/>
        <v>GALLERIA SAN GIULIANO</v>
      </c>
      <c r="Z1669" t="str">
        <f t="shared" si="242"/>
        <v>10.220.80.16</v>
      </c>
    </row>
    <row r="1670" spans="1:26" x14ac:dyDescent="0.25">
      <c r="A1670" t="s">
        <v>10</v>
      </c>
      <c r="B1670" t="s">
        <v>1063</v>
      </c>
      <c r="C1670" t="s">
        <v>2464</v>
      </c>
      <c r="D1670" t="s">
        <v>2415</v>
      </c>
      <c r="E1670" t="s">
        <v>2415</v>
      </c>
      <c r="F1670" t="s">
        <v>14</v>
      </c>
      <c r="G1670" t="s">
        <v>28</v>
      </c>
      <c r="H1670" t="s">
        <v>22</v>
      </c>
      <c r="I1670" t="s">
        <v>2477</v>
      </c>
      <c r="J1670" t="s">
        <v>2438</v>
      </c>
      <c r="K1670" t="str">
        <f t="shared" si="234"/>
        <v>1336.14</v>
      </c>
      <c r="N1670" t="str">
        <f t="shared" si="235"/>
        <v>HOLDING REGISTER</v>
      </c>
      <c r="O1670" t="str">
        <f t="shared" si="236"/>
        <v>BOOL</v>
      </c>
      <c r="P1670" t="str">
        <f t="shared" si="237"/>
        <v>VENTILATORE VENTILATORE</v>
      </c>
      <c r="R1670" t="str">
        <f t="shared" si="238"/>
        <v>Mancato Arresto Ventilatore</v>
      </c>
      <c r="U1670" t="str">
        <f t="shared" si="239"/>
        <v>Allarme</v>
      </c>
      <c r="V1670" t="str">
        <f t="shared" si="240"/>
        <v>QACC_PIAZZ_SG</v>
      </c>
      <c r="W1670" t="str">
        <f t="shared" si="241"/>
        <v>GALLERIA SAN GIULIANO</v>
      </c>
      <c r="Z1670" t="str">
        <f t="shared" si="242"/>
        <v>10.220.80.16</v>
      </c>
    </row>
    <row r="1671" spans="1:26" x14ac:dyDescent="0.25">
      <c r="A1671" t="s">
        <v>10</v>
      </c>
      <c r="B1671" t="s">
        <v>1063</v>
      </c>
      <c r="C1671" t="s">
        <v>2464</v>
      </c>
      <c r="D1671" t="s">
        <v>2420</v>
      </c>
      <c r="E1671" t="s">
        <v>2420</v>
      </c>
      <c r="F1671" t="s">
        <v>14</v>
      </c>
      <c r="G1671" t="s">
        <v>28</v>
      </c>
      <c r="H1671" t="s">
        <v>22</v>
      </c>
      <c r="I1671" t="s">
        <v>2478</v>
      </c>
      <c r="J1671" t="s">
        <v>2440</v>
      </c>
      <c r="K1671" t="str">
        <f t="shared" si="234"/>
        <v>1336.15</v>
      </c>
      <c r="N1671" t="str">
        <f t="shared" si="235"/>
        <v>HOLDING REGISTER</v>
      </c>
      <c r="O1671" t="str">
        <f t="shared" si="236"/>
        <v>BOOL</v>
      </c>
      <c r="P1671" t="str">
        <f t="shared" si="237"/>
        <v>SERRANDA SERRANDA</v>
      </c>
      <c r="R1671" t="str">
        <f t="shared" si="238"/>
        <v>Mancata Apertura Serranda</v>
      </c>
      <c r="U1671" t="str">
        <f t="shared" si="239"/>
        <v>Allarme</v>
      </c>
      <c r="V1671" t="str">
        <f t="shared" si="240"/>
        <v>QACC_PIAZZ_SG</v>
      </c>
      <c r="W1671" t="str">
        <f t="shared" si="241"/>
        <v>GALLERIA SAN GIULIANO</v>
      </c>
      <c r="Z1671" t="str">
        <f t="shared" si="242"/>
        <v>10.220.80.16</v>
      </c>
    </row>
    <row r="1672" spans="1:26" x14ac:dyDescent="0.25">
      <c r="A1672" t="s">
        <v>10</v>
      </c>
      <c r="B1672" t="s">
        <v>1063</v>
      </c>
      <c r="C1672" t="s">
        <v>2464</v>
      </c>
      <c r="D1672" t="s">
        <v>2420</v>
      </c>
      <c r="E1672" t="s">
        <v>2420</v>
      </c>
      <c r="F1672" t="s">
        <v>14</v>
      </c>
      <c r="G1672" t="s">
        <v>28</v>
      </c>
      <c r="H1672" t="s">
        <v>22</v>
      </c>
      <c r="I1672" t="s">
        <v>2479</v>
      </c>
      <c r="J1672" t="s">
        <v>2442</v>
      </c>
      <c r="K1672" t="str">
        <f t="shared" si="234"/>
        <v>1337.0</v>
      </c>
      <c r="N1672" t="str">
        <f t="shared" si="235"/>
        <v>HOLDING REGISTER</v>
      </c>
      <c r="O1672" t="str">
        <f t="shared" si="236"/>
        <v>BOOL</v>
      </c>
      <c r="P1672" t="str">
        <f t="shared" si="237"/>
        <v>SERRANDA SERRANDA</v>
      </c>
      <c r="R1672" t="str">
        <f t="shared" si="238"/>
        <v>Mancata Chiusura Serranda</v>
      </c>
      <c r="U1672" t="str">
        <f t="shared" si="239"/>
        <v>Allarme</v>
      </c>
      <c r="V1672" t="str">
        <f t="shared" si="240"/>
        <v>QACC_PIAZZ_SG</v>
      </c>
      <c r="W1672" t="str">
        <f t="shared" si="241"/>
        <v>GALLERIA SAN GIULIANO</v>
      </c>
      <c r="Z1672" t="str">
        <f t="shared" si="242"/>
        <v>10.220.80.16</v>
      </c>
    </row>
    <row r="1673" spans="1:26" x14ac:dyDescent="0.25">
      <c r="A1673" t="s">
        <v>10</v>
      </c>
      <c r="B1673" t="s">
        <v>1063</v>
      </c>
      <c r="C1673" t="s">
        <v>2464</v>
      </c>
      <c r="D1673" t="s">
        <v>49</v>
      </c>
      <c r="E1673" t="s">
        <v>49</v>
      </c>
      <c r="F1673" t="s">
        <v>14</v>
      </c>
      <c r="G1673" t="s">
        <v>28</v>
      </c>
      <c r="H1673" t="s">
        <v>22</v>
      </c>
      <c r="I1673" t="s">
        <v>2480</v>
      </c>
      <c r="J1673" t="s">
        <v>2444</v>
      </c>
      <c r="K1673" t="str">
        <f t="shared" si="234"/>
        <v>1337.1</v>
      </c>
      <c r="N1673" t="str">
        <f t="shared" si="235"/>
        <v>HOLDING REGISTER</v>
      </c>
      <c r="O1673" t="str">
        <f t="shared" si="236"/>
        <v>BOOL</v>
      </c>
      <c r="P1673" t="str">
        <f t="shared" si="237"/>
        <v>INTERRUTTORE INTERRUTTORE</v>
      </c>
      <c r="R1673" t="str">
        <f t="shared" si="238"/>
        <v>Intervento Protezione Motore Serranda</v>
      </c>
      <c r="U1673" t="str">
        <f t="shared" si="239"/>
        <v>Allarme</v>
      </c>
      <c r="V1673" t="str">
        <f t="shared" si="240"/>
        <v>QACC_PIAZZ_SG</v>
      </c>
      <c r="W1673" t="str">
        <f t="shared" si="241"/>
        <v>GALLERIA SAN GIULIANO</v>
      </c>
      <c r="Z1673" t="str">
        <f t="shared" si="242"/>
        <v>10.220.80.16</v>
      </c>
    </row>
    <row r="1674" spans="1:26" x14ac:dyDescent="0.25">
      <c r="A1674" t="s">
        <v>10</v>
      </c>
      <c r="B1674" t="s">
        <v>1063</v>
      </c>
      <c r="C1674" t="s">
        <v>2464</v>
      </c>
      <c r="D1674" t="s">
        <v>49</v>
      </c>
      <c r="E1674" t="s">
        <v>49</v>
      </c>
      <c r="F1674" t="s">
        <v>14</v>
      </c>
      <c r="G1674" t="s">
        <v>28</v>
      </c>
      <c r="H1674" t="s">
        <v>22</v>
      </c>
      <c r="I1674" t="s">
        <v>2481</v>
      </c>
      <c r="J1674" t="s">
        <v>2446</v>
      </c>
      <c r="K1674" t="str">
        <f t="shared" si="234"/>
        <v>1337.2</v>
      </c>
      <c r="N1674" t="str">
        <f t="shared" si="235"/>
        <v>HOLDING REGISTER</v>
      </c>
      <c r="O1674" t="str">
        <f t="shared" si="236"/>
        <v>BOOL</v>
      </c>
      <c r="P1674" t="str">
        <f t="shared" si="237"/>
        <v>INTERRUTTORE INTERRUTTORE</v>
      </c>
      <c r="R1674" t="str">
        <f t="shared" si="238"/>
        <v>Intervento Protezione Motore Ventilatore</v>
      </c>
      <c r="U1674" t="str">
        <f t="shared" si="239"/>
        <v>Allarme</v>
      </c>
      <c r="V1674" t="str">
        <f t="shared" si="240"/>
        <v>QACC_PIAZZ_SG</v>
      </c>
      <c r="W1674" t="str">
        <f t="shared" si="241"/>
        <v>GALLERIA SAN GIULIANO</v>
      </c>
      <c r="Z1674" t="str">
        <f t="shared" si="242"/>
        <v>10.220.80.16</v>
      </c>
    </row>
    <row r="1675" spans="1:26" x14ac:dyDescent="0.25">
      <c r="A1675" t="s">
        <v>10</v>
      </c>
      <c r="B1675" t="s">
        <v>1063</v>
      </c>
      <c r="C1675" t="s">
        <v>2173</v>
      </c>
      <c r="D1675" t="s">
        <v>2482</v>
      </c>
      <c r="E1675" t="s">
        <v>2483</v>
      </c>
      <c r="F1675" t="s">
        <v>14</v>
      </c>
      <c r="G1675" t="s">
        <v>21</v>
      </c>
      <c r="H1675" t="s">
        <v>22</v>
      </c>
      <c r="I1675" t="s">
        <v>2484</v>
      </c>
      <c r="J1675" t="s">
        <v>2485</v>
      </c>
      <c r="K1675" t="str">
        <f t="shared" si="234"/>
        <v>1338.0</v>
      </c>
      <c r="N1675" t="str">
        <f t="shared" si="235"/>
        <v>HOLDING REGISTER</v>
      </c>
      <c r="O1675" t="str">
        <f t="shared" si="236"/>
        <v>BOOL</v>
      </c>
      <c r="P1675" t="str">
        <f t="shared" si="237"/>
        <v>SCENARI Scenario E2</v>
      </c>
      <c r="R1675" t="str">
        <f t="shared" si="238"/>
        <v>Scenari -Comando Manuale Scenario E2: ALLARME SOS</v>
      </c>
      <c r="U1675" t="str">
        <f t="shared" si="239"/>
        <v>Stato</v>
      </c>
      <c r="V1675" t="str">
        <f t="shared" si="240"/>
        <v>GALLERIA</v>
      </c>
      <c r="W1675" t="str">
        <f t="shared" si="241"/>
        <v>GALLERIA SAN GIULIANO</v>
      </c>
      <c r="Z1675" t="str">
        <f t="shared" si="242"/>
        <v>10.220.80.16</v>
      </c>
    </row>
    <row r="1676" spans="1:26" x14ac:dyDescent="0.25">
      <c r="A1676" t="s">
        <v>10</v>
      </c>
      <c r="B1676" t="s">
        <v>1063</v>
      </c>
      <c r="C1676" t="s">
        <v>2173</v>
      </c>
      <c r="D1676" t="s">
        <v>2482</v>
      </c>
      <c r="E1676" t="s">
        <v>2486</v>
      </c>
      <c r="F1676" t="s">
        <v>14</v>
      </c>
      <c r="G1676" t="s">
        <v>21</v>
      </c>
      <c r="H1676" t="s">
        <v>22</v>
      </c>
      <c r="I1676" t="s">
        <v>2487</v>
      </c>
      <c r="J1676" t="s">
        <v>2488</v>
      </c>
      <c r="K1676" t="str">
        <f t="shared" si="234"/>
        <v>1338.1</v>
      </c>
      <c r="N1676" t="str">
        <f t="shared" si="235"/>
        <v>HOLDING REGISTER</v>
      </c>
      <c r="O1676" t="str">
        <f t="shared" si="236"/>
        <v>BOOL</v>
      </c>
      <c r="P1676" t="str">
        <f t="shared" si="237"/>
        <v>SCENARI Scenario E3</v>
      </c>
      <c r="R1676" t="str">
        <f t="shared" si="238"/>
        <v>Scenari -Comando Manuale Scenario E3: PEDONE IN GALLERIA</v>
      </c>
      <c r="U1676" t="str">
        <f t="shared" si="239"/>
        <v>Stato</v>
      </c>
      <c r="V1676" t="str">
        <f t="shared" si="240"/>
        <v>GALLERIA</v>
      </c>
      <c r="W1676" t="str">
        <f t="shared" si="241"/>
        <v>GALLERIA SAN GIULIANO</v>
      </c>
      <c r="Z1676" t="str">
        <f t="shared" si="242"/>
        <v>10.220.80.16</v>
      </c>
    </row>
    <row r="1677" spans="1:26" x14ac:dyDescent="0.25">
      <c r="A1677" t="s">
        <v>10</v>
      </c>
      <c r="B1677" t="s">
        <v>1063</v>
      </c>
      <c r="C1677" t="s">
        <v>2173</v>
      </c>
      <c r="D1677" t="s">
        <v>2482</v>
      </c>
      <c r="E1677" t="s">
        <v>2489</v>
      </c>
      <c r="F1677" t="s">
        <v>14</v>
      </c>
      <c r="G1677" t="s">
        <v>21</v>
      </c>
      <c r="H1677" t="s">
        <v>22</v>
      </c>
      <c r="I1677" t="s">
        <v>2490</v>
      </c>
      <c r="J1677" t="s">
        <v>2491</v>
      </c>
      <c r="K1677" t="str">
        <f t="shared" si="234"/>
        <v>1338.2</v>
      </c>
      <c r="N1677" t="str">
        <f t="shared" si="235"/>
        <v>HOLDING REGISTER</v>
      </c>
      <c r="O1677" t="str">
        <f t="shared" si="236"/>
        <v>BOOL</v>
      </c>
      <c r="P1677" t="str">
        <f t="shared" si="237"/>
        <v>SCENARI Scenario E4</v>
      </c>
      <c r="R1677" t="str">
        <f t="shared" si="238"/>
        <v>Scenari -Comando Manuale Scenario E4: VE ICOLO FERMO/OSTACOLO</v>
      </c>
      <c r="U1677" t="str">
        <f t="shared" si="239"/>
        <v>Stato</v>
      </c>
      <c r="V1677" t="str">
        <f t="shared" si="240"/>
        <v>GALLERIA</v>
      </c>
      <c r="W1677" t="str">
        <f t="shared" si="241"/>
        <v>GALLERIA SAN GIULIANO</v>
      </c>
      <c r="Z1677" t="str">
        <f t="shared" si="242"/>
        <v>10.220.80.16</v>
      </c>
    </row>
    <row r="1678" spans="1:26" x14ac:dyDescent="0.25">
      <c r="A1678" t="s">
        <v>10</v>
      </c>
      <c r="B1678" t="s">
        <v>1063</v>
      </c>
      <c r="C1678" t="s">
        <v>2173</v>
      </c>
      <c r="D1678" t="s">
        <v>2482</v>
      </c>
      <c r="E1678" t="s">
        <v>2492</v>
      </c>
      <c r="F1678" t="s">
        <v>14</v>
      </c>
      <c r="G1678" t="s">
        <v>21</v>
      </c>
      <c r="H1678" t="s">
        <v>22</v>
      </c>
      <c r="I1678" t="s">
        <v>2493</v>
      </c>
      <c r="J1678" t="s">
        <v>2494</v>
      </c>
      <c r="K1678" t="str">
        <f t="shared" si="234"/>
        <v>1338.3</v>
      </c>
      <c r="N1678" t="str">
        <f t="shared" si="235"/>
        <v>HOLDING REGISTER</v>
      </c>
      <c r="O1678" t="str">
        <f t="shared" si="236"/>
        <v>BOOL</v>
      </c>
      <c r="P1678" t="str">
        <f t="shared" si="237"/>
        <v>SCENARI Scenario E5</v>
      </c>
      <c r="R1678" t="str">
        <f t="shared" si="238"/>
        <v>Scenari -Comando Manuale Scenario E5: INCIDENTE</v>
      </c>
      <c r="U1678" t="str">
        <f t="shared" si="239"/>
        <v>Stato</v>
      </c>
      <c r="V1678" t="str">
        <f t="shared" si="240"/>
        <v>GALLERIA</v>
      </c>
      <c r="W1678" t="str">
        <f t="shared" si="241"/>
        <v>GALLERIA SAN GIULIANO</v>
      </c>
      <c r="Z1678" t="str">
        <f t="shared" si="242"/>
        <v>10.220.80.16</v>
      </c>
    </row>
    <row r="1679" spans="1:26" x14ac:dyDescent="0.25">
      <c r="A1679" t="s">
        <v>10</v>
      </c>
      <c r="B1679" t="s">
        <v>1063</v>
      </c>
      <c r="C1679" t="s">
        <v>2173</v>
      </c>
      <c r="D1679" t="s">
        <v>2482</v>
      </c>
      <c r="E1679" t="s">
        <v>2495</v>
      </c>
      <c r="F1679" t="s">
        <v>14</v>
      </c>
      <c r="G1679" t="s">
        <v>21</v>
      </c>
      <c r="H1679" t="s">
        <v>22</v>
      </c>
      <c r="I1679" t="s">
        <v>2496</v>
      </c>
      <c r="J1679" t="s">
        <v>2497</v>
      </c>
      <c r="K1679" t="str">
        <f t="shared" si="234"/>
        <v>1338.4</v>
      </c>
      <c r="N1679" t="str">
        <f t="shared" si="235"/>
        <v>HOLDING REGISTER</v>
      </c>
      <c r="O1679" t="str">
        <f t="shared" si="236"/>
        <v>BOOL</v>
      </c>
      <c r="P1679" t="str">
        <f t="shared" si="237"/>
        <v>SCENARI Scenario E6</v>
      </c>
      <c r="R1679" t="str">
        <f t="shared" si="238"/>
        <v>Scenari -Comando Manuale Scenario E6: DISTACCO JETFAN</v>
      </c>
      <c r="U1679" t="str">
        <f t="shared" si="239"/>
        <v>Stato</v>
      </c>
      <c r="V1679" t="str">
        <f t="shared" si="240"/>
        <v>GALLERIA</v>
      </c>
      <c r="W1679" t="str">
        <f t="shared" si="241"/>
        <v>GALLERIA SAN GIULIANO</v>
      </c>
      <c r="Z1679" t="str">
        <f t="shared" si="242"/>
        <v>10.220.80.16</v>
      </c>
    </row>
    <row r="1680" spans="1:26" x14ac:dyDescent="0.25">
      <c r="A1680" t="s">
        <v>10</v>
      </c>
      <c r="B1680" t="s">
        <v>1063</v>
      </c>
      <c r="C1680" t="s">
        <v>2173</v>
      </c>
      <c r="D1680" t="s">
        <v>2482</v>
      </c>
      <c r="E1680" t="s">
        <v>2498</v>
      </c>
      <c r="F1680" t="s">
        <v>14</v>
      </c>
      <c r="G1680" t="s">
        <v>21</v>
      </c>
      <c r="H1680" t="s">
        <v>22</v>
      </c>
      <c r="I1680" t="s">
        <v>2499</v>
      </c>
      <c r="J1680" t="s">
        <v>2500</v>
      </c>
      <c r="K1680" t="str">
        <f t="shared" si="234"/>
        <v>1338.5</v>
      </c>
      <c r="N1680" t="str">
        <f t="shared" si="235"/>
        <v>HOLDING REGISTER</v>
      </c>
      <c r="O1680" t="str">
        <f t="shared" si="236"/>
        <v>BOOL</v>
      </c>
      <c r="P1680" t="str">
        <f t="shared" si="237"/>
        <v>SCENARI Scenario E7</v>
      </c>
      <c r="R1680" t="str">
        <f t="shared" si="238"/>
        <v>Scenari -Comando Manuale Scenario E7: GALLERIA INQUINATA</v>
      </c>
      <c r="U1680" t="str">
        <f t="shared" si="239"/>
        <v>Stato</v>
      </c>
      <c r="V1680" t="str">
        <f t="shared" si="240"/>
        <v>GALLERIA</v>
      </c>
      <c r="W1680" t="str">
        <f t="shared" si="241"/>
        <v>GALLERIA SAN GIULIANO</v>
      </c>
      <c r="Z1680" t="str">
        <f t="shared" si="242"/>
        <v>10.220.80.16</v>
      </c>
    </row>
    <row r="1681" spans="1:26" x14ac:dyDescent="0.25">
      <c r="A1681" t="s">
        <v>10</v>
      </c>
      <c r="B1681" t="s">
        <v>1063</v>
      </c>
      <c r="C1681" t="s">
        <v>2173</v>
      </c>
      <c r="D1681" t="s">
        <v>2482</v>
      </c>
      <c r="E1681" t="s">
        <v>2501</v>
      </c>
      <c r="F1681" t="s">
        <v>14</v>
      </c>
      <c r="G1681" t="s">
        <v>21</v>
      </c>
      <c r="H1681" t="s">
        <v>22</v>
      </c>
      <c r="I1681" t="s">
        <v>2502</v>
      </c>
      <c r="J1681" t="s">
        <v>2503</v>
      </c>
      <c r="K1681" t="str">
        <f t="shared" si="234"/>
        <v>1338.6</v>
      </c>
      <c r="N1681" t="str">
        <f t="shared" si="235"/>
        <v>HOLDING REGISTER</v>
      </c>
      <c r="O1681" t="str">
        <f t="shared" si="236"/>
        <v>BOOL</v>
      </c>
      <c r="P1681" t="str">
        <f t="shared" si="237"/>
        <v>SCENARI Scenario E8</v>
      </c>
      <c r="R1681" t="str">
        <f t="shared" si="238"/>
        <v>Scenari -Comando Manuale Scenario E8: VEICOLO CONTROMANO</v>
      </c>
      <c r="U1681" t="str">
        <f t="shared" si="239"/>
        <v>Stato</v>
      </c>
      <c r="V1681" t="str">
        <f t="shared" si="240"/>
        <v>GALLERIA</v>
      </c>
      <c r="W1681" t="str">
        <f t="shared" si="241"/>
        <v>GALLERIA SAN GIULIANO</v>
      </c>
      <c r="Z1681" t="str">
        <f t="shared" si="242"/>
        <v>10.220.80.16</v>
      </c>
    </row>
    <row r="1682" spans="1:26" x14ac:dyDescent="0.25">
      <c r="A1682" t="s">
        <v>10</v>
      </c>
      <c r="B1682" t="s">
        <v>1063</v>
      </c>
      <c r="C1682" t="s">
        <v>2173</v>
      </c>
      <c r="D1682" t="s">
        <v>2482</v>
      </c>
      <c r="E1682" t="s">
        <v>2504</v>
      </c>
      <c r="F1682" t="s">
        <v>14</v>
      </c>
      <c r="G1682" t="s">
        <v>21</v>
      </c>
      <c r="H1682" t="s">
        <v>22</v>
      </c>
      <c r="I1682" t="s">
        <v>2505</v>
      </c>
      <c r="J1682" t="s">
        <v>2506</v>
      </c>
      <c r="K1682" t="str">
        <f t="shared" si="234"/>
        <v>1338.7</v>
      </c>
      <c r="N1682" t="str">
        <f t="shared" si="235"/>
        <v>HOLDING REGISTER</v>
      </c>
      <c r="O1682" t="str">
        <f t="shared" si="236"/>
        <v>BOOL</v>
      </c>
      <c r="P1682" t="str">
        <f t="shared" si="237"/>
        <v>SCENARI Scenario E10</v>
      </c>
      <c r="R1682" t="str">
        <f t="shared" si="238"/>
        <v>Scenari -Comando Manuale Scenario E10: PREALLARME INCENDIO</v>
      </c>
      <c r="U1682" t="str">
        <f t="shared" si="239"/>
        <v>Stato</v>
      </c>
      <c r="V1682" t="str">
        <f t="shared" si="240"/>
        <v>GALLERIA</v>
      </c>
      <c r="W1682" t="str">
        <f t="shared" si="241"/>
        <v>GALLERIA SAN GIULIANO</v>
      </c>
      <c r="Z1682" t="str">
        <f t="shared" si="242"/>
        <v>10.220.80.16</v>
      </c>
    </row>
    <row r="1683" spans="1:26" x14ac:dyDescent="0.25">
      <c r="A1683" t="s">
        <v>10</v>
      </c>
      <c r="B1683" t="s">
        <v>1063</v>
      </c>
      <c r="C1683" t="s">
        <v>2173</v>
      </c>
      <c r="D1683" t="s">
        <v>2482</v>
      </c>
      <c r="E1683" t="s">
        <v>2507</v>
      </c>
      <c r="F1683" t="s">
        <v>14</v>
      </c>
      <c r="G1683" t="s">
        <v>21</v>
      </c>
      <c r="H1683" t="s">
        <v>22</v>
      </c>
      <c r="I1683" t="s">
        <v>2508</v>
      </c>
      <c r="J1683" t="s">
        <v>2509</v>
      </c>
      <c r="K1683" t="str">
        <f t="shared" si="234"/>
        <v>1338.8</v>
      </c>
      <c r="N1683" t="str">
        <f t="shared" si="235"/>
        <v>HOLDING REGISTER</v>
      </c>
      <c r="O1683" t="str">
        <f t="shared" si="236"/>
        <v>BOOL</v>
      </c>
      <c r="P1683" t="str">
        <f t="shared" si="237"/>
        <v>SCENARI Scenario E11</v>
      </c>
      <c r="R1683" t="str">
        <f t="shared" si="238"/>
        <v>Scenari -Comando Manuale Scenario E11: ALLARME INCENDIO</v>
      </c>
      <c r="U1683" t="str">
        <f t="shared" si="239"/>
        <v>Stato</v>
      </c>
      <c r="V1683" t="str">
        <f t="shared" si="240"/>
        <v>GALLERIA</v>
      </c>
      <c r="W1683" t="str">
        <f t="shared" si="241"/>
        <v>GALLERIA SAN GIULIANO</v>
      </c>
      <c r="Z1683" t="str">
        <f t="shared" si="242"/>
        <v>10.220.80.16</v>
      </c>
    </row>
    <row r="1684" spans="1:26" x14ac:dyDescent="0.25">
      <c r="A1684" t="s">
        <v>10</v>
      </c>
      <c r="B1684" t="s">
        <v>1063</v>
      </c>
      <c r="C1684" t="s">
        <v>2173</v>
      </c>
      <c r="D1684" t="s">
        <v>2482</v>
      </c>
      <c r="E1684" t="s">
        <v>2510</v>
      </c>
      <c r="F1684" t="s">
        <v>14</v>
      </c>
      <c r="G1684" t="s">
        <v>21</v>
      </c>
      <c r="H1684" t="s">
        <v>22</v>
      </c>
      <c r="I1684" t="s">
        <v>2511</v>
      </c>
      <c r="J1684" t="s">
        <v>2512</v>
      </c>
      <c r="K1684" t="str">
        <f t="shared" si="234"/>
        <v>1338.9</v>
      </c>
      <c r="N1684" t="str">
        <f t="shared" si="235"/>
        <v>HOLDING REGISTER</v>
      </c>
      <c r="O1684" t="str">
        <f t="shared" si="236"/>
        <v>BOOL</v>
      </c>
      <c r="P1684" t="str">
        <f t="shared" si="237"/>
        <v>SCENARI Scenario V1</v>
      </c>
      <c r="R1684" t="str">
        <f t="shared" si="238"/>
        <v>Scenari -Comando Manuale Scenario V1: CODA</v>
      </c>
      <c r="U1684" t="str">
        <f t="shared" si="239"/>
        <v>Stato</v>
      </c>
      <c r="V1684" t="str">
        <f t="shared" si="240"/>
        <v>GALLERIA</v>
      </c>
      <c r="W1684" t="str">
        <f t="shared" si="241"/>
        <v>GALLERIA SAN GIULIANO</v>
      </c>
      <c r="Z1684" t="str">
        <f t="shared" si="242"/>
        <v>10.220.80.16</v>
      </c>
    </row>
    <row r="1685" spans="1:26" x14ac:dyDescent="0.25">
      <c r="A1685" t="s">
        <v>10</v>
      </c>
      <c r="B1685" t="s">
        <v>1063</v>
      </c>
      <c r="C1685" t="s">
        <v>2173</v>
      </c>
      <c r="D1685" t="s">
        <v>2482</v>
      </c>
      <c r="E1685" t="s">
        <v>2513</v>
      </c>
      <c r="F1685" t="s">
        <v>14</v>
      </c>
      <c r="G1685" t="s">
        <v>21</v>
      </c>
      <c r="H1685" t="s">
        <v>22</v>
      </c>
      <c r="I1685" t="s">
        <v>2514</v>
      </c>
      <c r="J1685" t="s">
        <v>2515</v>
      </c>
      <c r="K1685" t="str">
        <f t="shared" si="234"/>
        <v>1338.10</v>
      </c>
      <c r="N1685" t="str">
        <f t="shared" si="235"/>
        <v>HOLDING REGISTER</v>
      </c>
      <c r="O1685" t="str">
        <f t="shared" si="236"/>
        <v>BOOL</v>
      </c>
      <c r="P1685" t="str">
        <f t="shared" si="237"/>
        <v>SCENARI Scenario V6</v>
      </c>
      <c r="R1685" t="str">
        <f t="shared" si="238"/>
        <v>Scenari -Comando Manuale Scenario V6 -Galleria chiusa</v>
      </c>
      <c r="U1685" t="str">
        <f t="shared" si="239"/>
        <v>Stato</v>
      </c>
      <c r="V1685" t="str">
        <f t="shared" si="240"/>
        <v>GALLERIA</v>
      </c>
      <c r="W1685" t="str">
        <f t="shared" si="241"/>
        <v>GALLERIA SAN GIULIANO</v>
      </c>
      <c r="Z1685" t="str">
        <f t="shared" si="242"/>
        <v>10.220.80.16</v>
      </c>
    </row>
    <row r="1686" spans="1:26" x14ac:dyDescent="0.25">
      <c r="A1686" t="s">
        <v>10</v>
      </c>
      <c r="B1686" t="s">
        <v>1063</v>
      </c>
      <c r="C1686" t="s">
        <v>2173</v>
      </c>
      <c r="D1686" t="s">
        <v>2482</v>
      </c>
      <c r="E1686" t="s">
        <v>2516</v>
      </c>
      <c r="F1686" t="s">
        <v>14</v>
      </c>
      <c r="G1686" t="s">
        <v>21</v>
      </c>
      <c r="H1686" t="s">
        <v>22</v>
      </c>
      <c r="I1686" t="s">
        <v>2517</v>
      </c>
      <c r="J1686" t="s">
        <v>2518</v>
      </c>
      <c r="K1686" t="str">
        <f t="shared" si="234"/>
        <v>1338.11</v>
      </c>
      <c r="N1686" t="str">
        <f t="shared" si="235"/>
        <v>HOLDING REGISTER</v>
      </c>
      <c r="O1686" t="str">
        <f t="shared" si="236"/>
        <v>BOOL</v>
      </c>
      <c r="P1686" t="str">
        <f t="shared" si="237"/>
        <v>SCENARI Scenario V4</v>
      </c>
      <c r="R1686" t="str">
        <f t="shared" si="238"/>
        <v>Scenari -Comando Manuale Scenario V4 -Corsia Marcia Chiusa</v>
      </c>
      <c r="U1686" t="str">
        <f t="shared" si="239"/>
        <v>Stato</v>
      </c>
      <c r="V1686" t="str">
        <f t="shared" si="240"/>
        <v>GALLERIA</v>
      </c>
      <c r="W1686" t="str">
        <f t="shared" si="241"/>
        <v>GALLERIA SAN GIULIANO</v>
      </c>
      <c r="Z1686" t="str">
        <f t="shared" si="242"/>
        <v>10.220.80.16</v>
      </c>
    </row>
    <row r="1687" spans="1:26" x14ac:dyDescent="0.25">
      <c r="A1687" t="s">
        <v>10</v>
      </c>
      <c r="B1687" t="s">
        <v>1063</v>
      </c>
      <c r="C1687" t="s">
        <v>2173</v>
      </c>
      <c r="D1687" t="s">
        <v>2482</v>
      </c>
      <c r="E1687" t="s">
        <v>2519</v>
      </c>
      <c r="F1687" t="s">
        <v>14</v>
      </c>
      <c r="G1687" t="s">
        <v>21</v>
      </c>
      <c r="H1687" t="s">
        <v>22</v>
      </c>
      <c r="I1687" t="s">
        <v>2520</v>
      </c>
      <c r="J1687" t="s">
        <v>2521</v>
      </c>
      <c r="K1687" t="str">
        <f t="shared" si="234"/>
        <v>1338.12</v>
      </c>
      <c r="N1687" t="str">
        <f t="shared" si="235"/>
        <v>HOLDING REGISTER</v>
      </c>
      <c r="O1687" t="str">
        <f t="shared" si="236"/>
        <v>BOOL</v>
      </c>
      <c r="P1687" t="str">
        <f t="shared" si="237"/>
        <v>SCENARI Scenario V5</v>
      </c>
      <c r="R1687" t="str">
        <f t="shared" si="238"/>
        <v>Scenari -Comando Manuale Scenario V5 -Corsia Sorpasso Chiusa</v>
      </c>
      <c r="U1687" t="str">
        <f t="shared" si="239"/>
        <v>Stato</v>
      </c>
      <c r="V1687" t="str">
        <f t="shared" si="240"/>
        <v>GALLERIA</v>
      </c>
      <c r="W1687" t="str">
        <f t="shared" si="241"/>
        <v>GALLERIA SAN GIULIANO</v>
      </c>
      <c r="Z1687" t="str">
        <f t="shared" si="242"/>
        <v>10.220.80.16</v>
      </c>
    </row>
    <row r="1688" spans="1:26" x14ac:dyDescent="0.25">
      <c r="A1688" t="s">
        <v>10</v>
      </c>
      <c r="B1688" t="s">
        <v>1063</v>
      </c>
      <c r="C1688" t="s">
        <v>2173</v>
      </c>
      <c r="D1688" t="s">
        <v>2482</v>
      </c>
      <c r="E1688" t="s">
        <v>2522</v>
      </c>
      <c r="F1688" t="s">
        <v>14</v>
      </c>
      <c r="G1688" t="s">
        <v>21</v>
      </c>
      <c r="H1688" t="s">
        <v>22</v>
      </c>
      <c r="I1688" t="s">
        <v>2523</v>
      </c>
      <c r="J1688" t="s">
        <v>2524</v>
      </c>
      <c r="K1688" t="str">
        <f t="shared" si="234"/>
        <v>1338.13</v>
      </c>
      <c r="N1688" t="str">
        <f t="shared" si="235"/>
        <v>HOLDING REGISTER</v>
      </c>
      <c r="O1688" t="str">
        <f t="shared" si="236"/>
        <v>BOOL</v>
      </c>
      <c r="P1688" t="str">
        <f t="shared" si="237"/>
        <v>SCENARI Scenari Tutti</v>
      </c>
      <c r="R1688" t="str">
        <f t="shared" si="238"/>
        <v>Scenari -Comando Scenari Abilitato Da RMT</v>
      </c>
      <c r="U1688" t="str">
        <f t="shared" si="239"/>
        <v>Stato</v>
      </c>
      <c r="V1688" t="str">
        <f t="shared" si="240"/>
        <v>GALLERIA</v>
      </c>
      <c r="W1688" t="str">
        <f t="shared" si="241"/>
        <v>GALLERIA SAN GIULIANO</v>
      </c>
      <c r="Z1688" t="str">
        <f t="shared" si="242"/>
        <v>10.220.80.16</v>
      </c>
    </row>
    <row r="1689" spans="1:26" x14ac:dyDescent="0.25">
      <c r="A1689" t="s">
        <v>10</v>
      </c>
      <c r="B1689" t="s">
        <v>1063</v>
      </c>
      <c r="C1689" t="s">
        <v>2173</v>
      </c>
      <c r="D1689" t="s">
        <v>2482</v>
      </c>
      <c r="E1689" t="s">
        <v>2522</v>
      </c>
      <c r="F1689" t="s">
        <v>14</v>
      </c>
      <c r="G1689" t="s">
        <v>15</v>
      </c>
      <c r="H1689" t="s">
        <v>16</v>
      </c>
      <c r="I1689">
        <v>1339</v>
      </c>
      <c r="J1689" t="s">
        <v>2525</v>
      </c>
      <c r="K1689">
        <f t="shared" si="234"/>
        <v>1339</v>
      </c>
      <c r="N1689" t="str">
        <f t="shared" si="235"/>
        <v>HOLDING REGISTER</v>
      </c>
      <c r="O1689" t="str">
        <f t="shared" si="236"/>
        <v>INT</v>
      </c>
      <c r="P1689" t="str">
        <f t="shared" si="237"/>
        <v>SCENARI Scenari Tutti</v>
      </c>
      <c r="R1689" t="str">
        <f t="shared" si="238"/>
        <v>Scenari -Scenario Attivo</v>
      </c>
      <c r="U1689" t="str">
        <f t="shared" si="239"/>
        <v>Misura</v>
      </c>
      <c r="V1689" t="str">
        <f t="shared" si="240"/>
        <v>GALLERIA</v>
      </c>
      <c r="W1689" t="str">
        <f t="shared" si="241"/>
        <v>GALLERIA SAN GIULIANO</v>
      </c>
      <c r="Z1689" t="str">
        <f t="shared" si="242"/>
        <v>10.220.80.16</v>
      </c>
    </row>
    <row r="1690" spans="1:26" x14ac:dyDescent="0.25">
      <c r="A1690" t="s">
        <v>10</v>
      </c>
      <c r="B1690" t="s">
        <v>1063</v>
      </c>
      <c r="C1690" t="s">
        <v>2173</v>
      </c>
      <c r="D1690" t="s">
        <v>2526</v>
      </c>
      <c r="E1690" t="s">
        <v>2527</v>
      </c>
      <c r="F1690" t="s">
        <v>14</v>
      </c>
      <c r="G1690" t="s">
        <v>21</v>
      </c>
      <c r="H1690" t="s">
        <v>22</v>
      </c>
      <c r="I1690" t="s">
        <v>2528</v>
      </c>
      <c r="J1690">
        <v>0.5</v>
      </c>
      <c r="K1690" t="str">
        <f t="shared" si="234"/>
        <v>1340.0</v>
      </c>
      <c r="N1690" t="str">
        <f t="shared" si="235"/>
        <v>HOLDING REGISTER</v>
      </c>
      <c r="O1690" t="str">
        <f t="shared" si="236"/>
        <v>BOOL</v>
      </c>
      <c r="P1690" t="str">
        <f t="shared" si="237"/>
        <v>PICCHETTI PICCHETTI NORD/SUD</v>
      </c>
      <c r="R1690">
        <f t="shared" si="238"/>
        <v>0.5</v>
      </c>
      <c r="U1690" t="str">
        <f t="shared" si="239"/>
        <v>Stato</v>
      </c>
      <c r="V1690" t="str">
        <f t="shared" si="240"/>
        <v>GALLERIA</v>
      </c>
      <c r="W1690" t="str">
        <f t="shared" si="241"/>
        <v>GALLERIA SAN GIULIANO</v>
      </c>
      <c r="Z1690" t="str">
        <f t="shared" si="242"/>
        <v>10.220.80.16</v>
      </c>
    </row>
    <row r="1691" spans="1:26" x14ac:dyDescent="0.25">
      <c r="A1691" t="s">
        <v>10</v>
      </c>
      <c r="B1691" t="s">
        <v>1063</v>
      </c>
      <c r="C1691" t="s">
        <v>2173</v>
      </c>
      <c r="D1691" t="s">
        <v>2526</v>
      </c>
      <c r="E1691" t="s">
        <v>2527</v>
      </c>
      <c r="F1691" t="s">
        <v>14</v>
      </c>
      <c r="G1691" t="s">
        <v>21</v>
      </c>
      <c r="H1691" t="s">
        <v>22</v>
      </c>
      <c r="I1691" t="s">
        <v>2529</v>
      </c>
      <c r="J1691">
        <v>1</v>
      </c>
      <c r="K1691" t="str">
        <f t="shared" si="234"/>
        <v>1340.1</v>
      </c>
      <c r="N1691" t="str">
        <f t="shared" si="235"/>
        <v>HOLDING REGISTER</v>
      </c>
      <c r="O1691" t="str">
        <f t="shared" si="236"/>
        <v>BOOL</v>
      </c>
      <c r="P1691" t="str">
        <f t="shared" si="237"/>
        <v>PICCHETTI PICCHETTI NORD/SUD</v>
      </c>
      <c r="R1691">
        <f t="shared" si="238"/>
        <v>1</v>
      </c>
      <c r="U1691" t="str">
        <f t="shared" si="239"/>
        <v>Stato</v>
      </c>
      <c r="V1691" t="str">
        <f t="shared" si="240"/>
        <v>GALLERIA</v>
      </c>
      <c r="W1691" t="str">
        <f t="shared" si="241"/>
        <v>GALLERIA SAN GIULIANO</v>
      </c>
      <c r="Z1691" t="str">
        <f t="shared" si="242"/>
        <v>10.220.80.16</v>
      </c>
    </row>
    <row r="1692" spans="1:26" x14ac:dyDescent="0.25">
      <c r="A1692" t="s">
        <v>10</v>
      </c>
      <c r="B1692" t="s">
        <v>1063</v>
      </c>
      <c r="C1692" t="s">
        <v>2530</v>
      </c>
      <c r="E1692" t="s">
        <v>2530</v>
      </c>
      <c r="F1692" t="s">
        <v>14</v>
      </c>
      <c r="G1692" t="s">
        <v>2531</v>
      </c>
      <c r="H1692" t="s">
        <v>22</v>
      </c>
      <c r="I1692" t="s">
        <v>2532</v>
      </c>
      <c r="J1692" t="s">
        <v>2533</v>
      </c>
      <c r="K1692" t="str">
        <f t="shared" si="234"/>
        <v>10000.0</v>
      </c>
      <c r="N1692" t="str">
        <f t="shared" si="235"/>
        <v>HOLDING REGISTER</v>
      </c>
      <c r="O1692" t="str">
        <f t="shared" si="236"/>
        <v>BOOL</v>
      </c>
      <c r="P1692" t="str">
        <f t="shared" si="237"/>
        <v xml:space="preserve"> SOS 1</v>
      </c>
      <c r="R1692" t="str">
        <f t="shared" si="238"/>
        <v>SOS1 -Reset Allarmi</v>
      </c>
      <c r="U1692" t="str">
        <f t="shared" si="239"/>
        <v>Comando</v>
      </c>
      <c r="V1692" t="str">
        <f t="shared" si="240"/>
        <v>SOS 1</v>
      </c>
      <c r="W1692" t="str">
        <f t="shared" si="241"/>
        <v>GALLERIA SAN GIULIANO</v>
      </c>
      <c r="Z1692" t="str">
        <f t="shared" si="242"/>
        <v>10.220.80.16</v>
      </c>
    </row>
    <row r="1693" spans="1:26" x14ac:dyDescent="0.25">
      <c r="A1693" t="s">
        <v>10</v>
      </c>
      <c r="B1693" t="s">
        <v>1063</v>
      </c>
      <c r="C1693" t="s">
        <v>2534</v>
      </c>
      <c r="E1693" t="s">
        <v>2534</v>
      </c>
      <c r="F1693" t="s">
        <v>14</v>
      </c>
      <c r="G1693" t="s">
        <v>2531</v>
      </c>
      <c r="H1693" t="s">
        <v>22</v>
      </c>
      <c r="I1693" t="s">
        <v>2535</v>
      </c>
      <c r="J1693" t="s">
        <v>2536</v>
      </c>
      <c r="K1693" t="str">
        <f t="shared" si="234"/>
        <v>10000.1</v>
      </c>
      <c r="N1693" t="str">
        <f t="shared" si="235"/>
        <v>HOLDING REGISTER</v>
      </c>
      <c r="O1693" t="str">
        <f t="shared" si="236"/>
        <v>BOOL</v>
      </c>
      <c r="P1693" t="str">
        <f t="shared" si="237"/>
        <v xml:space="preserve"> SOS 2</v>
      </c>
      <c r="R1693" t="str">
        <f t="shared" si="238"/>
        <v>SOS2 -Reset Allarmi</v>
      </c>
      <c r="U1693" t="str">
        <f t="shared" si="239"/>
        <v>Comando</v>
      </c>
      <c r="V1693" t="str">
        <f t="shared" si="240"/>
        <v>SOS 2</v>
      </c>
      <c r="W1693" t="str">
        <f t="shared" si="241"/>
        <v>GALLERIA SAN GIULIANO</v>
      </c>
      <c r="Z1693" t="str">
        <f t="shared" si="242"/>
        <v>10.220.80.16</v>
      </c>
    </row>
    <row r="1694" spans="1:26" x14ac:dyDescent="0.25">
      <c r="A1694" t="s">
        <v>10</v>
      </c>
      <c r="B1694" t="s">
        <v>1063</v>
      </c>
      <c r="C1694" t="s">
        <v>2537</v>
      </c>
      <c r="E1694" t="s">
        <v>2537</v>
      </c>
      <c r="F1694" t="s">
        <v>14</v>
      </c>
      <c r="G1694" t="s">
        <v>2531</v>
      </c>
      <c r="H1694" t="s">
        <v>22</v>
      </c>
      <c r="I1694" t="s">
        <v>2538</v>
      </c>
      <c r="J1694" t="s">
        <v>2539</v>
      </c>
      <c r="K1694" t="str">
        <f t="shared" si="234"/>
        <v>10000.2</v>
      </c>
      <c r="N1694" t="str">
        <f t="shared" si="235"/>
        <v>HOLDING REGISTER</v>
      </c>
      <c r="O1694" t="str">
        <f t="shared" si="236"/>
        <v>BOOL</v>
      </c>
      <c r="P1694" t="str">
        <f t="shared" si="237"/>
        <v xml:space="preserve"> SOS 3</v>
      </c>
      <c r="R1694" t="str">
        <f t="shared" si="238"/>
        <v>SOS3 -Reset Allarmi</v>
      </c>
      <c r="U1694" t="str">
        <f t="shared" si="239"/>
        <v>Comando</v>
      </c>
      <c r="V1694" t="str">
        <f t="shared" si="240"/>
        <v>SOS 3</v>
      </c>
      <c r="W1694" t="str">
        <f t="shared" si="241"/>
        <v>GALLERIA SAN GIULIANO</v>
      </c>
      <c r="Z1694" t="str">
        <f t="shared" si="242"/>
        <v>10.220.80.16</v>
      </c>
    </row>
    <row r="1695" spans="1:26" x14ac:dyDescent="0.25">
      <c r="A1695" t="s">
        <v>10</v>
      </c>
      <c r="B1695" t="s">
        <v>1063</v>
      </c>
      <c r="C1695" t="s">
        <v>2540</v>
      </c>
      <c r="E1695" t="s">
        <v>2540</v>
      </c>
      <c r="F1695" t="s">
        <v>14</v>
      </c>
      <c r="G1695" t="s">
        <v>2531</v>
      </c>
      <c r="H1695" t="s">
        <v>22</v>
      </c>
      <c r="I1695" t="s">
        <v>2541</v>
      </c>
      <c r="J1695" t="s">
        <v>2542</v>
      </c>
      <c r="K1695" t="str">
        <f t="shared" si="234"/>
        <v>10000.3</v>
      </c>
      <c r="N1695" t="str">
        <f t="shared" si="235"/>
        <v>HOLDING REGISTER</v>
      </c>
      <c r="O1695" t="str">
        <f t="shared" si="236"/>
        <v>BOOL</v>
      </c>
      <c r="P1695" t="str">
        <f t="shared" si="237"/>
        <v xml:space="preserve"> SOS 4</v>
      </c>
      <c r="R1695" t="str">
        <f t="shared" si="238"/>
        <v>SOS4 -Reset Allarmi</v>
      </c>
      <c r="U1695" t="str">
        <f t="shared" si="239"/>
        <v>Comando</v>
      </c>
      <c r="V1695" t="str">
        <f t="shared" si="240"/>
        <v>SOS 4</v>
      </c>
      <c r="W1695" t="str">
        <f t="shared" si="241"/>
        <v>GALLERIA SAN GIULIANO</v>
      </c>
      <c r="Z1695" t="str">
        <f t="shared" si="242"/>
        <v>10.220.80.16</v>
      </c>
    </row>
    <row r="1696" spans="1:26" x14ac:dyDescent="0.25">
      <c r="A1696" t="s">
        <v>10</v>
      </c>
      <c r="B1696" t="s">
        <v>1063</v>
      </c>
      <c r="C1696" t="s">
        <v>2543</v>
      </c>
      <c r="E1696" t="s">
        <v>2543</v>
      </c>
      <c r="F1696" t="s">
        <v>14</v>
      </c>
      <c r="G1696" t="s">
        <v>2531</v>
      </c>
      <c r="H1696" t="s">
        <v>22</v>
      </c>
      <c r="I1696" t="s">
        <v>2544</v>
      </c>
      <c r="J1696" t="s">
        <v>2545</v>
      </c>
      <c r="K1696" t="str">
        <f t="shared" si="234"/>
        <v>10000.4</v>
      </c>
      <c r="N1696" t="str">
        <f t="shared" si="235"/>
        <v>HOLDING REGISTER</v>
      </c>
      <c r="O1696" t="str">
        <f t="shared" si="236"/>
        <v>BOOL</v>
      </c>
      <c r="P1696" t="str">
        <f t="shared" si="237"/>
        <v xml:space="preserve"> SOS 5</v>
      </c>
      <c r="R1696" t="str">
        <f t="shared" si="238"/>
        <v>SOS5 -Reset Allarmi</v>
      </c>
      <c r="U1696" t="str">
        <f t="shared" si="239"/>
        <v>Comando</v>
      </c>
      <c r="V1696" t="str">
        <f t="shared" si="240"/>
        <v>SOS 5</v>
      </c>
      <c r="W1696" t="str">
        <f t="shared" si="241"/>
        <v>GALLERIA SAN GIULIANO</v>
      </c>
      <c r="Z1696" t="str">
        <f t="shared" si="242"/>
        <v>10.220.80.16</v>
      </c>
    </row>
    <row r="1697" spans="1:26" x14ac:dyDescent="0.25">
      <c r="A1697" t="s">
        <v>10</v>
      </c>
      <c r="B1697" t="s">
        <v>1063</v>
      </c>
      <c r="C1697" t="s">
        <v>2546</v>
      </c>
      <c r="E1697" t="s">
        <v>2546</v>
      </c>
      <c r="F1697" t="s">
        <v>14</v>
      </c>
      <c r="G1697" t="s">
        <v>2531</v>
      </c>
      <c r="H1697" t="s">
        <v>22</v>
      </c>
      <c r="I1697" t="s">
        <v>2547</v>
      </c>
      <c r="J1697" t="s">
        <v>2548</v>
      </c>
      <c r="K1697" t="str">
        <f t="shared" si="234"/>
        <v>10000.5</v>
      </c>
      <c r="N1697" t="str">
        <f t="shared" si="235"/>
        <v>HOLDING REGISTER</v>
      </c>
      <c r="O1697" t="str">
        <f t="shared" si="236"/>
        <v>BOOL</v>
      </c>
      <c r="P1697" t="str">
        <f t="shared" si="237"/>
        <v xml:space="preserve"> SOS 6</v>
      </c>
      <c r="R1697" t="str">
        <f t="shared" si="238"/>
        <v>SOS6 -Reset Allarmi</v>
      </c>
      <c r="U1697" t="str">
        <f t="shared" si="239"/>
        <v>Comando</v>
      </c>
      <c r="V1697" t="str">
        <f t="shared" si="240"/>
        <v>SOS 6</v>
      </c>
      <c r="W1697" t="str">
        <f t="shared" si="241"/>
        <v>GALLERIA SAN GIULIANO</v>
      </c>
      <c r="Z1697" t="str">
        <f t="shared" si="242"/>
        <v>10.220.80.16</v>
      </c>
    </row>
    <row r="1698" spans="1:26" x14ac:dyDescent="0.25">
      <c r="A1698" t="s">
        <v>10</v>
      </c>
      <c r="B1698" t="s">
        <v>1063</v>
      </c>
      <c r="C1698" t="s">
        <v>2549</v>
      </c>
      <c r="E1698" t="s">
        <v>2549</v>
      </c>
      <c r="F1698" t="s">
        <v>14</v>
      </c>
      <c r="G1698" t="s">
        <v>2531</v>
      </c>
      <c r="H1698" t="s">
        <v>22</v>
      </c>
      <c r="I1698" t="s">
        <v>2550</v>
      </c>
      <c r="J1698" t="s">
        <v>2551</v>
      </c>
      <c r="K1698" t="str">
        <f t="shared" si="234"/>
        <v>10000.6</v>
      </c>
      <c r="N1698" t="str">
        <f t="shared" si="235"/>
        <v>HOLDING REGISTER</v>
      </c>
      <c r="O1698" t="str">
        <f t="shared" si="236"/>
        <v>BOOL</v>
      </c>
      <c r="P1698" t="str">
        <f t="shared" si="237"/>
        <v xml:space="preserve"> SOS 7</v>
      </c>
      <c r="R1698" t="str">
        <f t="shared" si="238"/>
        <v>SOS7 -Reset Allarmi</v>
      </c>
      <c r="U1698" t="str">
        <f t="shared" si="239"/>
        <v>Comando</v>
      </c>
      <c r="V1698" t="str">
        <f t="shared" si="240"/>
        <v>SOS 7</v>
      </c>
      <c r="W1698" t="str">
        <f t="shared" si="241"/>
        <v>GALLERIA SAN GIULIANO</v>
      </c>
      <c r="Z1698" t="str">
        <f t="shared" si="242"/>
        <v>10.220.80.16</v>
      </c>
    </row>
    <row r="1699" spans="1:26" x14ac:dyDescent="0.25">
      <c r="A1699" t="s">
        <v>10</v>
      </c>
      <c r="B1699" t="s">
        <v>1063</v>
      </c>
      <c r="C1699" t="s">
        <v>2552</v>
      </c>
      <c r="E1699" t="s">
        <v>2552</v>
      </c>
      <c r="F1699" t="s">
        <v>14</v>
      </c>
      <c r="G1699" t="s">
        <v>2531</v>
      </c>
      <c r="H1699" t="s">
        <v>22</v>
      </c>
      <c r="I1699" t="s">
        <v>2553</v>
      </c>
      <c r="J1699" t="s">
        <v>2554</v>
      </c>
      <c r="K1699" t="str">
        <f t="shared" si="234"/>
        <v>10000.7</v>
      </c>
      <c r="N1699" t="str">
        <f t="shared" si="235"/>
        <v>HOLDING REGISTER</v>
      </c>
      <c r="O1699" t="str">
        <f t="shared" si="236"/>
        <v>BOOL</v>
      </c>
      <c r="P1699" t="str">
        <f t="shared" si="237"/>
        <v xml:space="preserve"> SOS 8</v>
      </c>
      <c r="R1699" t="str">
        <f t="shared" si="238"/>
        <v>SOS8 -Reset Allarmi</v>
      </c>
      <c r="U1699" t="str">
        <f t="shared" si="239"/>
        <v>Comando</v>
      </c>
      <c r="V1699" t="str">
        <f t="shared" si="240"/>
        <v>SOS 8</v>
      </c>
      <c r="W1699" t="str">
        <f t="shared" si="241"/>
        <v>GALLERIA SAN GIULIANO</v>
      </c>
      <c r="Z1699" t="str">
        <f t="shared" si="242"/>
        <v>10.220.80.16</v>
      </c>
    </row>
    <row r="1700" spans="1:26" x14ac:dyDescent="0.25">
      <c r="A1700" t="s">
        <v>10</v>
      </c>
      <c r="B1700" t="s">
        <v>1063</v>
      </c>
      <c r="C1700" t="s">
        <v>2555</v>
      </c>
      <c r="E1700" t="s">
        <v>2555</v>
      </c>
      <c r="F1700" t="s">
        <v>14</v>
      </c>
      <c r="G1700" t="s">
        <v>2531</v>
      </c>
      <c r="H1700" t="s">
        <v>22</v>
      </c>
      <c r="I1700" t="s">
        <v>2556</v>
      </c>
      <c r="J1700" t="s">
        <v>2557</v>
      </c>
      <c r="K1700" t="str">
        <f t="shared" si="234"/>
        <v>10000.8</v>
      </c>
      <c r="N1700" t="str">
        <f t="shared" si="235"/>
        <v>HOLDING REGISTER</v>
      </c>
      <c r="O1700" t="str">
        <f t="shared" si="236"/>
        <v>BOOL</v>
      </c>
      <c r="P1700" t="str">
        <f t="shared" si="237"/>
        <v xml:space="preserve"> SOS 9</v>
      </c>
      <c r="R1700" t="str">
        <f t="shared" si="238"/>
        <v>SOS9 -Reset Allarmi</v>
      </c>
      <c r="U1700" t="str">
        <f t="shared" si="239"/>
        <v>Comando</v>
      </c>
      <c r="V1700" t="str">
        <f t="shared" si="240"/>
        <v>SOS 9</v>
      </c>
      <c r="W1700" t="str">
        <f t="shared" si="241"/>
        <v>GALLERIA SAN GIULIANO</v>
      </c>
      <c r="Z1700" t="str">
        <f t="shared" si="242"/>
        <v>10.220.80.16</v>
      </c>
    </row>
    <row r="1701" spans="1:26" x14ac:dyDescent="0.25">
      <c r="A1701" t="s">
        <v>10</v>
      </c>
      <c r="B1701" t="s">
        <v>1063</v>
      </c>
      <c r="C1701" t="s">
        <v>2558</v>
      </c>
      <c r="E1701" t="s">
        <v>2558</v>
      </c>
      <c r="F1701" t="s">
        <v>14</v>
      </c>
      <c r="G1701" t="s">
        <v>2531</v>
      </c>
      <c r="H1701" t="s">
        <v>22</v>
      </c>
      <c r="I1701" t="s">
        <v>2559</v>
      </c>
      <c r="J1701" t="s">
        <v>2560</v>
      </c>
      <c r="K1701" t="str">
        <f t="shared" si="234"/>
        <v>10000.9</v>
      </c>
      <c r="N1701" t="str">
        <f t="shared" si="235"/>
        <v>HOLDING REGISTER</v>
      </c>
      <c r="O1701" t="str">
        <f t="shared" si="236"/>
        <v>BOOL</v>
      </c>
      <c r="P1701" t="str">
        <f t="shared" si="237"/>
        <v xml:space="preserve"> SOS 10</v>
      </c>
      <c r="R1701" t="str">
        <f t="shared" si="238"/>
        <v>SOS10 -Reset Allarmi</v>
      </c>
      <c r="U1701" t="str">
        <f t="shared" si="239"/>
        <v>Comando</v>
      </c>
      <c r="V1701" t="str">
        <f t="shared" si="240"/>
        <v>SOS 10</v>
      </c>
      <c r="W1701" t="str">
        <f t="shared" si="241"/>
        <v>GALLERIA SAN GIULIANO</v>
      </c>
      <c r="Z1701" t="str">
        <f t="shared" si="242"/>
        <v>10.220.80.16</v>
      </c>
    </row>
    <row r="1702" spans="1:26" x14ac:dyDescent="0.25">
      <c r="A1702" t="s">
        <v>10</v>
      </c>
      <c r="B1702" t="s">
        <v>1063</v>
      </c>
      <c r="C1702" t="s">
        <v>2561</v>
      </c>
      <c r="E1702" t="s">
        <v>2561</v>
      </c>
      <c r="F1702" t="s">
        <v>14</v>
      </c>
      <c r="G1702" t="s">
        <v>2531</v>
      </c>
      <c r="H1702" t="s">
        <v>22</v>
      </c>
      <c r="I1702" t="s">
        <v>2562</v>
      </c>
      <c r="J1702" t="s">
        <v>2563</v>
      </c>
      <c r="K1702" t="str">
        <f t="shared" si="234"/>
        <v>10000.10</v>
      </c>
      <c r="N1702" t="str">
        <f t="shared" si="235"/>
        <v>HOLDING REGISTER</v>
      </c>
      <c r="O1702" t="str">
        <f t="shared" si="236"/>
        <v>BOOL</v>
      </c>
      <c r="P1702" t="str">
        <f t="shared" si="237"/>
        <v xml:space="preserve"> SOS 11</v>
      </c>
      <c r="R1702" t="str">
        <f t="shared" si="238"/>
        <v>SOS11 -Reset Allarmi</v>
      </c>
      <c r="U1702" t="str">
        <f t="shared" si="239"/>
        <v>Comando</v>
      </c>
      <c r="V1702" t="str">
        <f t="shared" si="240"/>
        <v>SOS 11</v>
      </c>
      <c r="W1702" t="str">
        <f t="shared" si="241"/>
        <v>GALLERIA SAN GIULIANO</v>
      </c>
      <c r="Z1702" t="str">
        <f t="shared" si="242"/>
        <v>10.220.80.16</v>
      </c>
    </row>
    <row r="1703" spans="1:26" x14ac:dyDescent="0.25">
      <c r="A1703" t="s">
        <v>10</v>
      </c>
      <c r="B1703" t="s">
        <v>1063</v>
      </c>
      <c r="C1703" t="s">
        <v>2564</v>
      </c>
      <c r="E1703" t="s">
        <v>2564</v>
      </c>
      <c r="F1703" t="s">
        <v>14</v>
      </c>
      <c r="G1703" t="s">
        <v>2531</v>
      </c>
      <c r="H1703" t="s">
        <v>22</v>
      </c>
      <c r="I1703" t="s">
        <v>2565</v>
      </c>
      <c r="J1703" t="s">
        <v>2566</v>
      </c>
      <c r="K1703" t="str">
        <f t="shared" si="234"/>
        <v>10000.11</v>
      </c>
      <c r="N1703" t="str">
        <f t="shared" si="235"/>
        <v>HOLDING REGISTER</v>
      </c>
      <c r="O1703" t="str">
        <f t="shared" si="236"/>
        <v>BOOL</v>
      </c>
      <c r="P1703" t="str">
        <f t="shared" si="237"/>
        <v xml:space="preserve"> SOS 12</v>
      </c>
      <c r="R1703" t="str">
        <f t="shared" si="238"/>
        <v>SOS12 -Reset Allarmi</v>
      </c>
      <c r="U1703" t="str">
        <f t="shared" si="239"/>
        <v>Comando</v>
      </c>
      <c r="V1703" t="str">
        <f t="shared" si="240"/>
        <v>SOS 12</v>
      </c>
      <c r="W1703" t="str">
        <f t="shared" si="241"/>
        <v>GALLERIA SAN GIULIANO</v>
      </c>
      <c r="Z1703" t="str">
        <f t="shared" si="242"/>
        <v>10.220.80.16</v>
      </c>
    </row>
    <row r="1704" spans="1:26" x14ac:dyDescent="0.25">
      <c r="A1704" t="s">
        <v>10</v>
      </c>
      <c r="B1704" t="s">
        <v>1063</v>
      </c>
      <c r="C1704" t="s">
        <v>3662</v>
      </c>
      <c r="E1704" t="s">
        <v>2567</v>
      </c>
      <c r="F1704" t="s">
        <v>14</v>
      </c>
      <c r="G1704" t="s">
        <v>2531</v>
      </c>
      <c r="H1704" t="s">
        <v>22</v>
      </c>
      <c r="I1704" t="s">
        <v>2568</v>
      </c>
      <c r="J1704" t="s">
        <v>2569</v>
      </c>
      <c r="K1704" t="str">
        <f t="shared" si="234"/>
        <v>10000.12</v>
      </c>
      <c r="N1704" t="str">
        <f t="shared" si="235"/>
        <v>HOLDING REGISTER</v>
      </c>
      <c r="O1704" t="str">
        <f t="shared" si="236"/>
        <v>BOOL</v>
      </c>
      <c r="P1704" t="str">
        <f t="shared" si="237"/>
        <v xml:space="preserve"> SOS  ACC1</v>
      </c>
      <c r="R1704" t="str">
        <f t="shared" si="238"/>
        <v>SOSACC1 -Reset Allarmi</v>
      </c>
      <c r="U1704" t="str">
        <f t="shared" si="239"/>
        <v>Comando</v>
      </c>
      <c r="V1704" t="str">
        <f t="shared" si="240"/>
        <v>SOS _ACC1</v>
      </c>
      <c r="W1704" t="str">
        <f t="shared" si="241"/>
        <v>GALLERIA SAN GIULIANO</v>
      </c>
      <c r="Z1704" t="str">
        <f t="shared" si="242"/>
        <v>10.220.80.16</v>
      </c>
    </row>
    <row r="1705" spans="1:26" x14ac:dyDescent="0.25">
      <c r="A1705" t="s">
        <v>10</v>
      </c>
      <c r="B1705" t="s">
        <v>1063</v>
      </c>
      <c r="C1705" t="s">
        <v>3663</v>
      </c>
      <c r="E1705" t="s">
        <v>2570</v>
      </c>
      <c r="F1705" t="s">
        <v>14</v>
      </c>
      <c r="G1705" t="s">
        <v>2531</v>
      </c>
      <c r="H1705" t="s">
        <v>22</v>
      </c>
      <c r="I1705" t="s">
        <v>2571</v>
      </c>
      <c r="J1705" t="s">
        <v>2572</v>
      </c>
      <c r="K1705" t="str">
        <f t="shared" si="234"/>
        <v>10000.13</v>
      </c>
      <c r="N1705" t="str">
        <f t="shared" si="235"/>
        <v>HOLDING REGISTER</v>
      </c>
      <c r="O1705" t="str">
        <f t="shared" si="236"/>
        <v>BOOL</v>
      </c>
      <c r="P1705" t="str">
        <f t="shared" si="237"/>
        <v xml:space="preserve"> SOS  ACC2</v>
      </c>
      <c r="R1705" t="str">
        <f t="shared" si="238"/>
        <v>SOSACC2 -Reset Allarmi</v>
      </c>
      <c r="U1705" t="str">
        <f t="shared" si="239"/>
        <v>Comando</v>
      </c>
      <c r="V1705" t="str">
        <f t="shared" si="240"/>
        <v>SOS _ACC2</v>
      </c>
      <c r="W1705" t="str">
        <f t="shared" si="241"/>
        <v>GALLERIA SAN GIULIANO</v>
      </c>
      <c r="Z1705" t="str">
        <f t="shared" si="242"/>
        <v>10.220.80.16</v>
      </c>
    </row>
    <row r="1706" spans="1:26" x14ac:dyDescent="0.25">
      <c r="A1706" t="s">
        <v>10</v>
      </c>
      <c r="B1706" t="s">
        <v>1063</v>
      </c>
      <c r="C1706" t="s">
        <v>3664</v>
      </c>
      <c r="E1706" t="s">
        <v>2573</v>
      </c>
      <c r="F1706" t="s">
        <v>14</v>
      </c>
      <c r="G1706" t="s">
        <v>2531</v>
      </c>
      <c r="H1706" t="s">
        <v>22</v>
      </c>
      <c r="I1706" t="s">
        <v>2574</v>
      </c>
      <c r="J1706" t="s">
        <v>2575</v>
      </c>
      <c r="K1706" t="str">
        <f t="shared" si="234"/>
        <v>10000.14</v>
      </c>
      <c r="N1706" t="str">
        <f t="shared" si="235"/>
        <v>HOLDING REGISTER</v>
      </c>
      <c r="O1706" t="str">
        <f t="shared" si="236"/>
        <v>BOOL</v>
      </c>
      <c r="P1706" t="str">
        <f t="shared" si="237"/>
        <v xml:space="preserve"> SOS  PIAZZ</v>
      </c>
      <c r="R1706" t="str">
        <f t="shared" si="238"/>
        <v>SOSPIAZZ -Reset Allarmi</v>
      </c>
      <c r="U1706" t="str">
        <f t="shared" si="239"/>
        <v>Comando</v>
      </c>
      <c r="V1706" t="str">
        <f t="shared" si="240"/>
        <v>SOS _PIAZZ</v>
      </c>
      <c r="W1706" t="str">
        <f t="shared" si="241"/>
        <v>GALLERIA SAN GIULIANO</v>
      </c>
      <c r="Z1706" t="str">
        <f t="shared" si="242"/>
        <v>10.220.80.16</v>
      </c>
    </row>
    <row r="1707" spans="1:26" x14ac:dyDescent="0.25">
      <c r="A1707" t="s">
        <v>10</v>
      </c>
      <c r="B1707" t="s">
        <v>1063</v>
      </c>
      <c r="C1707" t="s">
        <v>2173</v>
      </c>
      <c r="D1707" t="s">
        <v>1619</v>
      </c>
      <c r="E1707" t="s">
        <v>2576</v>
      </c>
      <c r="F1707" t="s">
        <v>2577</v>
      </c>
      <c r="G1707" t="s">
        <v>2531</v>
      </c>
      <c r="H1707" t="s">
        <v>22</v>
      </c>
      <c r="I1707">
        <v>100</v>
      </c>
      <c r="J1707" t="s">
        <v>2578</v>
      </c>
      <c r="K1707">
        <f t="shared" si="234"/>
        <v>100</v>
      </c>
      <c r="N1707" t="str">
        <f t="shared" si="235"/>
        <v>Coil</v>
      </c>
      <c r="O1707" t="str">
        <f t="shared" si="236"/>
        <v>BOOL</v>
      </c>
      <c r="P1707" t="str">
        <f t="shared" si="237"/>
        <v xml:space="preserve">TELECAMERA T01S </v>
      </c>
      <c r="R1707" t="str">
        <f t="shared" si="238"/>
        <v>T01S -Escludi Allarmi Telecamera</v>
      </c>
      <c r="U1707" t="str">
        <f t="shared" si="239"/>
        <v>Comando</v>
      </c>
      <c r="V1707" t="str">
        <f t="shared" si="240"/>
        <v>GALLERIA</v>
      </c>
      <c r="W1707" t="str">
        <f t="shared" si="241"/>
        <v>GALLERIA SAN GIULIANO</v>
      </c>
      <c r="Z1707" t="str">
        <f t="shared" si="242"/>
        <v>10.220.80.16</v>
      </c>
    </row>
    <row r="1708" spans="1:26" x14ac:dyDescent="0.25">
      <c r="A1708" t="s">
        <v>10</v>
      </c>
      <c r="B1708" t="s">
        <v>1063</v>
      </c>
      <c r="C1708" t="s">
        <v>2173</v>
      </c>
      <c r="D1708" t="s">
        <v>1619</v>
      </c>
      <c r="E1708" t="s">
        <v>2576</v>
      </c>
      <c r="F1708" t="s">
        <v>2577</v>
      </c>
      <c r="G1708" t="s">
        <v>2531</v>
      </c>
      <c r="H1708" t="s">
        <v>22</v>
      </c>
      <c r="I1708">
        <v>101</v>
      </c>
      <c r="J1708" t="s">
        <v>2579</v>
      </c>
      <c r="K1708">
        <f t="shared" si="234"/>
        <v>101</v>
      </c>
      <c r="N1708" t="str">
        <f t="shared" si="235"/>
        <v>Coil</v>
      </c>
      <c r="O1708" t="str">
        <f t="shared" si="236"/>
        <v>BOOL</v>
      </c>
      <c r="P1708" t="str">
        <f t="shared" si="237"/>
        <v xml:space="preserve">TELECAMERA T01S </v>
      </c>
      <c r="R1708" t="str">
        <f t="shared" si="238"/>
        <v>T01S -Includi Allarmi Telecamera</v>
      </c>
      <c r="U1708" t="str">
        <f t="shared" si="239"/>
        <v>Comando</v>
      </c>
      <c r="V1708" t="str">
        <f t="shared" si="240"/>
        <v>GALLERIA</v>
      </c>
      <c r="W1708" t="str">
        <f t="shared" si="241"/>
        <v>GALLERIA SAN GIULIANO</v>
      </c>
      <c r="Z1708" t="str">
        <f t="shared" si="242"/>
        <v>10.220.80.16</v>
      </c>
    </row>
    <row r="1709" spans="1:26" x14ac:dyDescent="0.25">
      <c r="A1709" t="s">
        <v>10</v>
      </c>
      <c r="B1709" t="s">
        <v>1063</v>
      </c>
      <c r="C1709" t="s">
        <v>2173</v>
      </c>
      <c r="D1709" t="s">
        <v>1619</v>
      </c>
      <c r="E1709" t="s">
        <v>2576</v>
      </c>
      <c r="F1709" t="s">
        <v>2577</v>
      </c>
      <c r="G1709" t="s">
        <v>2531</v>
      </c>
      <c r="H1709" t="s">
        <v>22</v>
      </c>
      <c r="I1709">
        <v>102</v>
      </c>
      <c r="J1709" t="s">
        <v>2580</v>
      </c>
      <c r="K1709">
        <f t="shared" si="234"/>
        <v>102</v>
      </c>
      <c r="N1709" t="str">
        <f t="shared" si="235"/>
        <v>Coil</v>
      </c>
      <c r="O1709" t="str">
        <f t="shared" si="236"/>
        <v>BOOL</v>
      </c>
      <c r="P1709" t="str">
        <f t="shared" si="237"/>
        <v xml:space="preserve">TELECAMERA T01S </v>
      </c>
      <c r="R1709" t="str">
        <f t="shared" si="238"/>
        <v>T01S -Escludi Allarme Fumo</v>
      </c>
      <c r="U1709" t="str">
        <f t="shared" si="239"/>
        <v>Comando</v>
      </c>
      <c r="V1709" t="str">
        <f t="shared" si="240"/>
        <v>GALLERIA</v>
      </c>
      <c r="W1709" t="str">
        <f t="shared" si="241"/>
        <v>GALLERIA SAN GIULIANO</v>
      </c>
      <c r="Z1709" t="str">
        <f t="shared" si="242"/>
        <v>10.220.80.16</v>
      </c>
    </row>
    <row r="1710" spans="1:26" x14ac:dyDescent="0.25">
      <c r="A1710" t="s">
        <v>10</v>
      </c>
      <c r="B1710" t="s">
        <v>1063</v>
      </c>
      <c r="C1710" t="s">
        <v>2173</v>
      </c>
      <c r="D1710" t="s">
        <v>1619</v>
      </c>
      <c r="E1710" t="s">
        <v>2576</v>
      </c>
      <c r="F1710" t="s">
        <v>2577</v>
      </c>
      <c r="G1710" t="s">
        <v>2531</v>
      </c>
      <c r="H1710" t="s">
        <v>22</v>
      </c>
      <c r="I1710">
        <v>103</v>
      </c>
      <c r="J1710" t="s">
        <v>2581</v>
      </c>
      <c r="K1710">
        <f t="shared" si="234"/>
        <v>103</v>
      </c>
      <c r="N1710" t="str">
        <f t="shared" si="235"/>
        <v>Coil</v>
      </c>
      <c r="O1710" t="str">
        <f t="shared" si="236"/>
        <v>BOOL</v>
      </c>
      <c r="P1710" t="str">
        <f t="shared" si="237"/>
        <v xml:space="preserve">TELECAMERA T01S </v>
      </c>
      <c r="R1710" t="str">
        <f t="shared" si="238"/>
        <v>T01S -Includi Allarme Fumo</v>
      </c>
      <c r="U1710" t="str">
        <f t="shared" si="239"/>
        <v>Comando</v>
      </c>
      <c r="V1710" t="str">
        <f t="shared" si="240"/>
        <v>GALLERIA</v>
      </c>
      <c r="W1710" t="str">
        <f t="shared" si="241"/>
        <v>GALLERIA SAN GIULIANO</v>
      </c>
      <c r="Z1710" t="str">
        <f t="shared" si="242"/>
        <v>10.220.80.16</v>
      </c>
    </row>
    <row r="1711" spans="1:26" x14ac:dyDescent="0.25">
      <c r="A1711" t="s">
        <v>10</v>
      </c>
      <c r="B1711" t="s">
        <v>1063</v>
      </c>
      <c r="C1711" t="s">
        <v>2173</v>
      </c>
      <c r="D1711" t="s">
        <v>1619</v>
      </c>
      <c r="E1711" t="s">
        <v>2576</v>
      </c>
      <c r="F1711" t="s">
        <v>2577</v>
      </c>
      <c r="G1711" t="s">
        <v>2531</v>
      </c>
      <c r="H1711" t="s">
        <v>22</v>
      </c>
      <c r="I1711">
        <v>104</v>
      </c>
      <c r="J1711" t="s">
        <v>2582</v>
      </c>
      <c r="K1711">
        <f t="shared" si="234"/>
        <v>104</v>
      </c>
      <c r="N1711" t="str">
        <f t="shared" si="235"/>
        <v>Coil</v>
      </c>
      <c r="O1711" t="str">
        <f t="shared" si="236"/>
        <v>BOOL</v>
      </c>
      <c r="P1711" t="str">
        <f t="shared" si="237"/>
        <v xml:space="preserve">TELECAMERA T01S </v>
      </c>
      <c r="R1711" t="str">
        <f t="shared" si="238"/>
        <v>T01S -EScludi Allarmi Traffico</v>
      </c>
      <c r="U1711" t="str">
        <f t="shared" si="239"/>
        <v>Comando</v>
      </c>
      <c r="V1711" t="str">
        <f t="shared" si="240"/>
        <v>GALLERIA</v>
      </c>
      <c r="W1711" t="str">
        <f t="shared" si="241"/>
        <v>GALLERIA SAN GIULIANO</v>
      </c>
      <c r="Z1711" t="str">
        <f t="shared" si="242"/>
        <v>10.220.80.16</v>
      </c>
    </row>
    <row r="1712" spans="1:26" x14ac:dyDescent="0.25">
      <c r="A1712" t="s">
        <v>10</v>
      </c>
      <c r="B1712" t="s">
        <v>1063</v>
      </c>
      <c r="C1712" t="s">
        <v>2173</v>
      </c>
      <c r="D1712" t="s">
        <v>1619</v>
      </c>
      <c r="E1712" t="s">
        <v>2576</v>
      </c>
      <c r="F1712" t="s">
        <v>2577</v>
      </c>
      <c r="G1712" t="s">
        <v>2531</v>
      </c>
      <c r="H1712" t="s">
        <v>22</v>
      </c>
      <c r="I1712">
        <v>105</v>
      </c>
      <c r="J1712" t="s">
        <v>2583</v>
      </c>
      <c r="K1712">
        <f t="shared" si="234"/>
        <v>105</v>
      </c>
      <c r="N1712" t="str">
        <f t="shared" si="235"/>
        <v>Coil</v>
      </c>
      <c r="O1712" t="str">
        <f t="shared" si="236"/>
        <v>BOOL</v>
      </c>
      <c r="P1712" t="str">
        <f t="shared" si="237"/>
        <v xml:space="preserve">TELECAMERA T01S </v>
      </c>
      <c r="R1712" t="str">
        <f t="shared" si="238"/>
        <v>T01S -Includi Allarmi Traffico</v>
      </c>
      <c r="U1712" t="str">
        <f t="shared" si="239"/>
        <v>Comando</v>
      </c>
      <c r="V1712" t="str">
        <f t="shared" si="240"/>
        <v>GALLERIA</v>
      </c>
      <c r="W1712" t="str">
        <f t="shared" si="241"/>
        <v>GALLERIA SAN GIULIANO</v>
      </c>
      <c r="Z1712" t="str">
        <f t="shared" si="242"/>
        <v>10.220.80.16</v>
      </c>
    </row>
    <row r="1713" spans="1:26" x14ac:dyDescent="0.25">
      <c r="A1713" t="s">
        <v>10</v>
      </c>
      <c r="B1713" t="s">
        <v>1063</v>
      </c>
      <c r="C1713" t="s">
        <v>2173</v>
      </c>
      <c r="D1713" t="s">
        <v>1619</v>
      </c>
      <c r="E1713" t="s">
        <v>2576</v>
      </c>
      <c r="F1713" t="s">
        <v>2577</v>
      </c>
      <c r="G1713" t="s">
        <v>2531</v>
      </c>
      <c r="H1713" t="s">
        <v>22</v>
      </c>
      <c r="I1713">
        <v>106</v>
      </c>
      <c r="J1713" t="s">
        <v>2584</v>
      </c>
      <c r="K1713">
        <f t="shared" si="234"/>
        <v>106</v>
      </c>
      <c r="N1713" t="str">
        <f t="shared" si="235"/>
        <v>Coil</v>
      </c>
      <c r="O1713" t="str">
        <f t="shared" si="236"/>
        <v>BOOL</v>
      </c>
      <c r="P1713" t="str">
        <f t="shared" si="237"/>
        <v xml:space="preserve">TELECAMERA T01S </v>
      </c>
      <c r="R1713" t="str">
        <f t="shared" si="238"/>
        <v>T01S -Reset Allarmi Telecamera</v>
      </c>
      <c r="U1713" t="str">
        <f t="shared" si="239"/>
        <v>Comando</v>
      </c>
      <c r="V1713" t="str">
        <f t="shared" si="240"/>
        <v>GALLERIA</v>
      </c>
      <c r="W1713" t="str">
        <f t="shared" si="241"/>
        <v>GALLERIA SAN GIULIANO</v>
      </c>
      <c r="Z1713" t="str">
        <f t="shared" si="242"/>
        <v>10.220.80.16</v>
      </c>
    </row>
    <row r="1714" spans="1:26" x14ac:dyDescent="0.25">
      <c r="A1714" t="s">
        <v>10</v>
      </c>
      <c r="B1714" t="s">
        <v>1063</v>
      </c>
      <c r="C1714" t="s">
        <v>2173</v>
      </c>
      <c r="D1714" t="s">
        <v>1619</v>
      </c>
      <c r="E1714" t="s">
        <v>2585</v>
      </c>
      <c r="F1714" t="s">
        <v>2577</v>
      </c>
      <c r="G1714" t="s">
        <v>2531</v>
      </c>
      <c r="H1714" t="s">
        <v>22</v>
      </c>
      <c r="I1714">
        <v>107</v>
      </c>
      <c r="J1714" t="s">
        <v>2586</v>
      </c>
      <c r="K1714">
        <f t="shared" si="234"/>
        <v>107</v>
      </c>
      <c r="N1714" t="str">
        <f t="shared" si="235"/>
        <v>Coil</v>
      </c>
      <c r="O1714" t="str">
        <f t="shared" si="236"/>
        <v>BOOL</v>
      </c>
      <c r="P1714" t="str">
        <f t="shared" si="237"/>
        <v xml:space="preserve">TELECAMERA T02S </v>
      </c>
      <c r="R1714" t="str">
        <f t="shared" si="238"/>
        <v>T02S -Escludi Allarmi Telecamera</v>
      </c>
      <c r="U1714" t="str">
        <f t="shared" si="239"/>
        <v>Comando</v>
      </c>
      <c r="V1714" t="str">
        <f t="shared" si="240"/>
        <v>GALLERIA</v>
      </c>
      <c r="W1714" t="str">
        <f t="shared" si="241"/>
        <v>GALLERIA SAN GIULIANO</v>
      </c>
      <c r="Z1714" t="str">
        <f t="shared" si="242"/>
        <v>10.220.80.16</v>
      </c>
    </row>
    <row r="1715" spans="1:26" x14ac:dyDescent="0.25">
      <c r="A1715" t="s">
        <v>10</v>
      </c>
      <c r="B1715" t="s">
        <v>1063</v>
      </c>
      <c r="C1715" t="s">
        <v>2173</v>
      </c>
      <c r="D1715" t="s">
        <v>1619</v>
      </c>
      <c r="E1715" t="s">
        <v>2585</v>
      </c>
      <c r="F1715" t="s">
        <v>2577</v>
      </c>
      <c r="G1715" t="s">
        <v>2531</v>
      </c>
      <c r="H1715" t="s">
        <v>22</v>
      </c>
      <c r="I1715">
        <v>108</v>
      </c>
      <c r="J1715" t="s">
        <v>2587</v>
      </c>
      <c r="K1715">
        <f t="shared" si="234"/>
        <v>108</v>
      </c>
      <c r="N1715" t="str">
        <f t="shared" si="235"/>
        <v>Coil</v>
      </c>
      <c r="O1715" t="str">
        <f t="shared" si="236"/>
        <v>BOOL</v>
      </c>
      <c r="P1715" t="str">
        <f t="shared" si="237"/>
        <v xml:space="preserve">TELECAMERA T02S </v>
      </c>
      <c r="R1715" t="str">
        <f t="shared" si="238"/>
        <v>T02S -Includi Allarmi Telecamera</v>
      </c>
      <c r="U1715" t="str">
        <f t="shared" si="239"/>
        <v>Comando</v>
      </c>
      <c r="V1715" t="str">
        <f t="shared" si="240"/>
        <v>GALLERIA</v>
      </c>
      <c r="W1715" t="str">
        <f t="shared" si="241"/>
        <v>GALLERIA SAN GIULIANO</v>
      </c>
      <c r="Z1715" t="str">
        <f t="shared" si="242"/>
        <v>10.220.80.16</v>
      </c>
    </row>
    <row r="1716" spans="1:26" x14ac:dyDescent="0.25">
      <c r="A1716" t="s">
        <v>10</v>
      </c>
      <c r="B1716" t="s">
        <v>1063</v>
      </c>
      <c r="C1716" t="s">
        <v>2173</v>
      </c>
      <c r="D1716" t="s">
        <v>1619</v>
      </c>
      <c r="E1716" t="s">
        <v>2585</v>
      </c>
      <c r="F1716" t="s">
        <v>2577</v>
      </c>
      <c r="G1716" t="s">
        <v>2531</v>
      </c>
      <c r="H1716" t="s">
        <v>22</v>
      </c>
      <c r="I1716">
        <v>109</v>
      </c>
      <c r="J1716" t="s">
        <v>2588</v>
      </c>
      <c r="K1716">
        <f t="shared" si="234"/>
        <v>109</v>
      </c>
      <c r="N1716" t="str">
        <f t="shared" si="235"/>
        <v>Coil</v>
      </c>
      <c r="O1716" t="str">
        <f t="shared" si="236"/>
        <v>BOOL</v>
      </c>
      <c r="P1716" t="str">
        <f t="shared" si="237"/>
        <v xml:space="preserve">TELECAMERA T02S </v>
      </c>
      <c r="R1716" t="str">
        <f t="shared" si="238"/>
        <v>T02S -Escludi Allarme Fumo</v>
      </c>
      <c r="U1716" t="str">
        <f t="shared" si="239"/>
        <v>Comando</v>
      </c>
      <c r="V1716" t="str">
        <f t="shared" si="240"/>
        <v>GALLERIA</v>
      </c>
      <c r="W1716" t="str">
        <f t="shared" si="241"/>
        <v>GALLERIA SAN GIULIANO</v>
      </c>
      <c r="Z1716" t="str">
        <f t="shared" si="242"/>
        <v>10.220.80.16</v>
      </c>
    </row>
    <row r="1717" spans="1:26" x14ac:dyDescent="0.25">
      <c r="A1717" t="s">
        <v>10</v>
      </c>
      <c r="B1717" t="s">
        <v>1063</v>
      </c>
      <c r="C1717" t="s">
        <v>2173</v>
      </c>
      <c r="D1717" t="s">
        <v>1619</v>
      </c>
      <c r="E1717" t="s">
        <v>2585</v>
      </c>
      <c r="F1717" t="s">
        <v>2577</v>
      </c>
      <c r="G1717" t="s">
        <v>2531</v>
      </c>
      <c r="H1717" t="s">
        <v>22</v>
      </c>
      <c r="I1717">
        <v>110</v>
      </c>
      <c r="J1717" t="s">
        <v>2589</v>
      </c>
      <c r="K1717">
        <f t="shared" si="234"/>
        <v>110</v>
      </c>
      <c r="N1717" t="str">
        <f t="shared" si="235"/>
        <v>Coil</v>
      </c>
      <c r="O1717" t="str">
        <f t="shared" si="236"/>
        <v>BOOL</v>
      </c>
      <c r="P1717" t="str">
        <f t="shared" si="237"/>
        <v xml:space="preserve">TELECAMERA T02S </v>
      </c>
      <c r="R1717" t="str">
        <f t="shared" si="238"/>
        <v>T02S -Includi Allarme Fumo</v>
      </c>
      <c r="U1717" t="str">
        <f t="shared" si="239"/>
        <v>Comando</v>
      </c>
      <c r="V1717" t="str">
        <f t="shared" si="240"/>
        <v>GALLERIA</v>
      </c>
      <c r="W1717" t="str">
        <f t="shared" si="241"/>
        <v>GALLERIA SAN GIULIANO</v>
      </c>
      <c r="Z1717" t="str">
        <f t="shared" si="242"/>
        <v>10.220.80.16</v>
      </c>
    </row>
    <row r="1718" spans="1:26" x14ac:dyDescent="0.25">
      <c r="A1718" t="s">
        <v>10</v>
      </c>
      <c r="B1718" t="s">
        <v>1063</v>
      </c>
      <c r="C1718" t="s">
        <v>2173</v>
      </c>
      <c r="D1718" t="s">
        <v>1619</v>
      </c>
      <c r="E1718" t="s">
        <v>2585</v>
      </c>
      <c r="F1718" t="s">
        <v>2577</v>
      </c>
      <c r="G1718" t="s">
        <v>2531</v>
      </c>
      <c r="H1718" t="s">
        <v>22</v>
      </c>
      <c r="I1718">
        <v>111</v>
      </c>
      <c r="J1718" t="s">
        <v>2590</v>
      </c>
      <c r="K1718">
        <f t="shared" si="234"/>
        <v>111</v>
      </c>
      <c r="N1718" t="str">
        <f t="shared" si="235"/>
        <v>Coil</v>
      </c>
      <c r="O1718" t="str">
        <f t="shared" si="236"/>
        <v>BOOL</v>
      </c>
      <c r="P1718" t="str">
        <f t="shared" si="237"/>
        <v xml:space="preserve">TELECAMERA T02S </v>
      </c>
      <c r="R1718" t="str">
        <f t="shared" si="238"/>
        <v>T02S -EScludi Allarmi Traffico</v>
      </c>
      <c r="U1718" t="str">
        <f t="shared" si="239"/>
        <v>Comando</v>
      </c>
      <c r="V1718" t="str">
        <f t="shared" si="240"/>
        <v>GALLERIA</v>
      </c>
      <c r="W1718" t="str">
        <f t="shared" si="241"/>
        <v>GALLERIA SAN GIULIANO</v>
      </c>
      <c r="Z1718" t="str">
        <f t="shared" si="242"/>
        <v>10.220.80.16</v>
      </c>
    </row>
    <row r="1719" spans="1:26" x14ac:dyDescent="0.25">
      <c r="A1719" t="s">
        <v>10</v>
      </c>
      <c r="B1719" t="s">
        <v>1063</v>
      </c>
      <c r="C1719" t="s">
        <v>2173</v>
      </c>
      <c r="D1719" t="s">
        <v>1619</v>
      </c>
      <c r="E1719" t="s">
        <v>2585</v>
      </c>
      <c r="F1719" t="s">
        <v>2577</v>
      </c>
      <c r="G1719" t="s">
        <v>2531</v>
      </c>
      <c r="H1719" t="s">
        <v>22</v>
      </c>
      <c r="I1719">
        <v>112</v>
      </c>
      <c r="J1719" t="s">
        <v>2591</v>
      </c>
      <c r="K1719">
        <f t="shared" si="234"/>
        <v>112</v>
      </c>
      <c r="N1719" t="str">
        <f t="shared" si="235"/>
        <v>Coil</v>
      </c>
      <c r="O1719" t="str">
        <f t="shared" si="236"/>
        <v>BOOL</v>
      </c>
      <c r="P1719" t="str">
        <f t="shared" si="237"/>
        <v xml:space="preserve">TELECAMERA T02S </v>
      </c>
      <c r="R1719" t="str">
        <f t="shared" si="238"/>
        <v>T02S -Includi Allarmi Traffico</v>
      </c>
      <c r="U1719" t="str">
        <f t="shared" si="239"/>
        <v>Comando</v>
      </c>
      <c r="V1719" t="str">
        <f t="shared" si="240"/>
        <v>GALLERIA</v>
      </c>
      <c r="W1719" t="str">
        <f t="shared" si="241"/>
        <v>GALLERIA SAN GIULIANO</v>
      </c>
      <c r="Z1719" t="str">
        <f t="shared" si="242"/>
        <v>10.220.80.16</v>
      </c>
    </row>
    <row r="1720" spans="1:26" x14ac:dyDescent="0.25">
      <c r="A1720" t="s">
        <v>10</v>
      </c>
      <c r="B1720" t="s">
        <v>1063</v>
      </c>
      <c r="C1720" t="s">
        <v>2173</v>
      </c>
      <c r="D1720" t="s">
        <v>1619</v>
      </c>
      <c r="E1720" t="s">
        <v>2585</v>
      </c>
      <c r="F1720" t="s">
        <v>2577</v>
      </c>
      <c r="G1720" t="s">
        <v>2531</v>
      </c>
      <c r="H1720" t="s">
        <v>22</v>
      </c>
      <c r="I1720">
        <v>113</v>
      </c>
      <c r="J1720" t="s">
        <v>2592</v>
      </c>
      <c r="K1720">
        <f t="shared" si="234"/>
        <v>113</v>
      </c>
      <c r="N1720" t="str">
        <f t="shared" si="235"/>
        <v>Coil</v>
      </c>
      <c r="O1720" t="str">
        <f t="shared" si="236"/>
        <v>BOOL</v>
      </c>
      <c r="P1720" t="str">
        <f t="shared" si="237"/>
        <v xml:space="preserve">TELECAMERA T02S </v>
      </c>
      <c r="R1720" t="str">
        <f t="shared" si="238"/>
        <v>T02S -Reset Allarmi Telecamera</v>
      </c>
      <c r="U1720" t="str">
        <f t="shared" si="239"/>
        <v>Comando</v>
      </c>
      <c r="V1720" t="str">
        <f t="shared" si="240"/>
        <v>GALLERIA</v>
      </c>
      <c r="W1720" t="str">
        <f t="shared" si="241"/>
        <v>GALLERIA SAN GIULIANO</v>
      </c>
      <c r="Z1720" t="str">
        <f t="shared" si="242"/>
        <v>10.220.80.16</v>
      </c>
    </row>
    <row r="1721" spans="1:26" x14ac:dyDescent="0.25">
      <c r="A1721" t="s">
        <v>10</v>
      </c>
      <c r="B1721" t="s">
        <v>1063</v>
      </c>
      <c r="C1721" t="s">
        <v>2173</v>
      </c>
      <c r="D1721" t="s">
        <v>1619</v>
      </c>
      <c r="E1721" t="s">
        <v>2593</v>
      </c>
      <c r="F1721" t="s">
        <v>2577</v>
      </c>
      <c r="G1721" t="s">
        <v>2531</v>
      </c>
      <c r="H1721" t="s">
        <v>22</v>
      </c>
      <c r="I1721">
        <v>114</v>
      </c>
      <c r="J1721" t="s">
        <v>2594</v>
      </c>
      <c r="K1721">
        <f t="shared" si="234"/>
        <v>114</v>
      </c>
      <c r="N1721" t="str">
        <f t="shared" si="235"/>
        <v>Coil</v>
      </c>
      <c r="O1721" t="str">
        <f t="shared" si="236"/>
        <v>BOOL</v>
      </c>
      <c r="P1721" t="str">
        <f t="shared" si="237"/>
        <v xml:space="preserve">TELECAMERA T05S </v>
      </c>
      <c r="R1721" t="str">
        <f t="shared" si="238"/>
        <v>T05S -Escludi Allarmi Telecamera</v>
      </c>
      <c r="U1721" t="str">
        <f t="shared" si="239"/>
        <v>Comando</v>
      </c>
      <c r="V1721" t="str">
        <f t="shared" si="240"/>
        <v>GALLERIA</v>
      </c>
      <c r="W1721" t="str">
        <f t="shared" si="241"/>
        <v>GALLERIA SAN GIULIANO</v>
      </c>
      <c r="Z1721" t="str">
        <f t="shared" si="242"/>
        <v>10.220.80.16</v>
      </c>
    </row>
    <row r="1722" spans="1:26" x14ac:dyDescent="0.25">
      <c r="A1722" t="s">
        <v>10</v>
      </c>
      <c r="B1722" t="s">
        <v>1063</v>
      </c>
      <c r="C1722" t="s">
        <v>2173</v>
      </c>
      <c r="D1722" t="s">
        <v>1619</v>
      </c>
      <c r="E1722" t="s">
        <v>2593</v>
      </c>
      <c r="F1722" t="s">
        <v>2577</v>
      </c>
      <c r="G1722" t="s">
        <v>2531</v>
      </c>
      <c r="H1722" t="s">
        <v>22</v>
      </c>
      <c r="I1722">
        <v>115</v>
      </c>
      <c r="J1722" t="s">
        <v>2595</v>
      </c>
      <c r="K1722">
        <f t="shared" si="234"/>
        <v>115</v>
      </c>
      <c r="N1722" t="str">
        <f t="shared" si="235"/>
        <v>Coil</v>
      </c>
      <c r="O1722" t="str">
        <f t="shared" si="236"/>
        <v>BOOL</v>
      </c>
      <c r="P1722" t="str">
        <f t="shared" si="237"/>
        <v xml:space="preserve">TELECAMERA T05S </v>
      </c>
      <c r="R1722" t="str">
        <f t="shared" si="238"/>
        <v>T05S -Includi Allarmi Telecamera</v>
      </c>
      <c r="U1722" t="str">
        <f t="shared" si="239"/>
        <v>Comando</v>
      </c>
      <c r="V1722" t="str">
        <f t="shared" si="240"/>
        <v>GALLERIA</v>
      </c>
      <c r="W1722" t="str">
        <f t="shared" si="241"/>
        <v>GALLERIA SAN GIULIANO</v>
      </c>
      <c r="Z1722" t="str">
        <f t="shared" si="242"/>
        <v>10.220.80.16</v>
      </c>
    </row>
    <row r="1723" spans="1:26" x14ac:dyDescent="0.25">
      <c r="A1723" t="s">
        <v>10</v>
      </c>
      <c r="B1723" t="s">
        <v>1063</v>
      </c>
      <c r="C1723" t="s">
        <v>2173</v>
      </c>
      <c r="D1723" t="s">
        <v>1619</v>
      </c>
      <c r="E1723" t="s">
        <v>2593</v>
      </c>
      <c r="F1723" t="s">
        <v>2577</v>
      </c>
      <c r="G1723" t="s">
        <v>2531</v>
      </c>
      <c r="H1723" t="s">
        <v>22</v>
      </c>
      <c r="I1723">
        <v>116</v>
      </c>
      <c r="J1723" t="s">
        <v>2596</v>
      </c>
      <c r="K1723">
        <f t="shared" si="234"/>
        <v>116</v>
      </c>
      <c r="N1723" t="str">
        <f t="shared" si="235"/>
        <v>Coil</v>
      </c>
      <c r="O1723" t="str">
        <f t="shared" si="236"/>
        <v>BOOL</v>
      </c>
      <c r="P1723" t="str">
        <f t="shared" si="237"/>
        <v xml:space="preserve">TELECAMERA T05S </v>
      </c>
      <c r="R1723" t="str">
        <f t="shared" si="238"/>
        <v>T05S -Escludi Allarme Fumo</v>
      </c>
      <c r="U1723" t="str">
        <f t="shared" si="239"/>
        <v>Comando</v>
      </c>
      <c r="V1723" t="str">
        <f t="shared" si="240"/>
        <v>GALLERIA</v>
      </c>
      <c r="W1723" t="str">
        <f t="shared" si="241"/>
        <v>GALLERIA SAN GIULIANO</v>
      </c>
      <c r="Z1723" t="str">
        <f t="shared" si="242"/>
        <v>10.220.80.16</v>
      </c>
    </row>
    <row r="1724" spans="1:26" x14ac:dyDescent="0.25">
      <c r="A1724" t="s">
        <v>10</v>
      </c>
      <c r="B1724" t="s">
        <v>1063</v>
      </c>
      <c r="C1724" t="s">
        <v>2173</v>
      </c>
      <c r="D1724" t="s">
        <v>1619</v>
      </c>
      <c r="E1724" t="s">
        <v>2593</v>
      </c>
      <c r="F1724" t="s">
        <v>2577</v>
      </c>
      <c r="G1724" t="s">
        <v>2531</v>
      </c>
      <c r="H1724" t="s">
        <v>22</v>
      </c>
      <c r="I1724">
        <v>117</v>
      </c>
      <c r="J1724" t="s">
        <v>2597</v>
      </c>
      <c r="K1724">
        <f t="shared" si="234"/>
        <v>117</v>
      </c>
      <c r="N1724" t="str">
        <f t="shared" si="235"/>
        <v>Coil</v>
      </c>
      <c r="O1724" t="str">
        <f t="shared" si="236"/>
        <v>BOOL</v>
      </c>
      <c r="P1724" t="str">
        <f t="shared" si="237"/>
        <v xml:space="preserve">TELECAMERA T05S </v>
      </c>
      <c r="R1724" t="str">
        <f t="shared" si="238"/>
        <v>T05S -Includi Allarme Fumo</v>
      </c>
      <c r="U1724" t="str">
        <f t="shared" si="239"/>
        <v>Comando</v>
      </c>
      <c r="V1724" t="str">
        <f t="shared" si="240"/>
        <v>GALLERIA</v>
      </c>
      <c r="W1724" t="str">
        <f t="shared" si="241"/>
        <v>GALLERIA SAN GIULIANO</v>
      </c>
      <c r="Z1724" t="str">
        <f t="shared" si="242"/>
        <v>10.220.80.16</v>
      </c>
    </row>
    <row r="1725" spans="1:26" x14ac:dyDescent="0.25">
      <c r="A1725" t="s">
        <v>10</v>
      </c>
      <c r="B1725" t="s">
        <v>1063</v>
      </c>
      <c r="C1725" t="s">
        <v>2173</v>
      </c>
      <c r="D1725" t="s">
        <v>1619</v>
      </c>
      <c r="E1725" t="s">
        <v>2593</v>
      </c>
      <c r="F1725" t="s">
        <v>2577</v>
      </c>
      <c r="G1725" t="s">
        <v>2531</v>
      </c>
      <c r="H1725" t="s">
        <v>22</v>
      </c>
      <c r="I1725">
        <v>118</v>
      </c>
      <c r="J1725" t="s">
        <v>2598</v>
      </c>
      <c r="K1725">
        <f t="shared" si="234"/>
        <v>118</v>
      </c>
      <c r="N1725" t="str">
        <f t="shared" si="235"/>
        <v>Coil</v>
      </c>
      <c r="O1725" t="str">
        <f t="shared" si="236"/>
        <v>BOOL</v>
      </c>
      <c r="P1725" t="str">
        <f t="shared" si="237"/>
        <v xml:space="preserve">TELECAMERA T05S </v>
      </c>
      <c r="R1725" t="str">
        <f t="shared" si="238"/>
        <v>T05S -EScludi Allarmi Traffico</v>
      </c>
      <c r="U1725" t="str">
        <f t="shared" si="239"/>
        <v>Comando</v>
      </c>
      <c r="V1725" t="str">
        <f t="shared" si="240"/>
        <v>GALLERIA</v>
      </c>
      <c r="W1725" t="str">
        <f t="shared" si="241"/>
        <v>GALLERIA SAN GIULIANO</v>
      </c>
      <c r="Z1725" t="str">
        <f t="shared" si="242"/>
        <v>10.220.80.16</v>
      </c>
    </row>
    <row r="1726" spans="1:26" x14ac:dyDescent="0.25">
      <c r="A1726" t="s">
        <v>10</v>
      </c>
      <c r="B1726" t="s">
        <v>1063</v>
      </c>
      <c r="C1726" t="s">
        <v>2173</v>
      </c>
      <c r="D1726" t="s">
        <v>1619</v>
      </c>
      <c r="E1726" t="s">
        <v>2593</v>
      </c>
      <c r="F1726" t="s">
        <v>2577</v>
      </c>
      <c r="G1726" t="s">
        <v>2531</v>
      </c>
      <c r="H1726" t="s">
        <v>22</v>
      </c>
      <c r="I1726">
        <v>119</v>
      </c>
      <c r="J1726" t="s">
        <v>2599</v>
      </c>
      <c r="K1726">
        <f t="shared" si="234"/>
        <v>119</v>
      </c>
      <c r="N1726" t="str">
        <f t="shared" si="235"/>
        <v>Coil</v>
      </c>
      <c r="O1726" t="str">
        <f t="shared" si="236"/>
        <v>BOOL</v>
      </c>
      <c r="P1726" t="str">
        <f t="shared" si="237"/>
        <v xml:space="preserve">TELECAMERA T05S </v>
      </c>
      <c r="R1726" t="str">
        <f t="shared" si="238"/>
        <v>T05S -Includi Allarmi Traffico</v>
      </c>
      <c r="U1726" t="str">
        <f t="shared" si="239"/>
        <v>Comando</v>
      </c>
      <c r="V1726" t="str">
        <f t="shared" si="240"/>
        <v>GALLERIA</v>
      </c>
      <c r="W1726" t="str">
        <f t="shared" si="241"/>
        <v>GALLERIA SAN GIULIANO</v>
      </c>
      <c r="Z1726" t="str">
        <f t="shared" si="242"/>
        <v>10.220.80.16</v>
      </c>
    </row>
    <row r="1727" spans="1:26" x14ac:dyDescent="0.25">
      <c r="A1727" t="s">
        <v>10</v>
      </c>
      <c r="B1727" t="s">
        <v>1063</v>
      </c>
      <c r="C1727" t="s">
        <v>2173</v>
      </c>
      <c r="D1727" t="s">
        <v>1619</v>
      </c>
      <c r="E1727" t="s">
        <v>2593</v>
      </c>
      <c r="F1727" t="s">
        <v>2577</v>
      </c>
      <c r="G1727" t="s">
        <v>2531</v>
      </c>
      <c r="H1727" t="s">
        <v>22</v>
      </c>
      <c r="I1727">
        <v>120</v>
      </c>
      <c r="J1727" t="s">
        <v>2600</v>
      </c>
      <c r="K1727">
        <f t="shared" si="234"/>
        <v>120</v>
      </c>
      <c r="N1727" t="str">
        <f t="shared" si="235"/>
        <v>Coil</v>
      </c>
      <c r="O1727" t="str">
        <f t="shared" si="236"/>
        <v>BOOL</v>
      </c>
      <c r="P1727" t="str">
        <f t="shared" si="237"/>
        <v xml:space="preserve">TELECAMERA T05S </v>
      </c>
      <c r="R1727" t="str">
        <f t="shared" si="238"/>
        <v>T05S -Reset Allarmi Telecamera</v>
      </c>
      <c r="U1727" t="str">
        <f t="shared" si="239"/>
        <v>Comando</v>
      </c>
      <c r="V1727" t="str">
        <f t="shared" si="240"/>
        <v>GALLERIA</v>
      </c>
      <c r="W1727" t="str">
        <f t="shared" si="241"/>
        <v>GALLERIA SAN GIULIANO</v>
      </c>
      <c r="Z1727" t="str">
        <f t="shared" si="242"/>
        <v>10.220.80.16</v>
      </c>
    </row>
    <row r="1728" spans="1:26" x14ac:dyDescent="0.25">
      <c r="A1728" t="s">
        <v>10</v>
      </c>
      <c r="B1728" t="s">
        <v>1063</v>
      </c>
      <c r="C1728" t="s">
        <v>2173</v>
      </c>
      <c r="D1728" t="s">
        <v>1619</v>
      </c>
      <c r="E1728" t="s">
        <v>2601</v>
      </c>
      <c r="F1728" t="s">
        <v>2577</v>
      </c>
      <c r="G1728" t="s">
        <v>2531</v>
      </c>
      <c r="H1728" t="s">
        <v>22</v>
      </c>
      <c r="I1728">
        <v>121</v>
      </c>
      <c r="J1728" t="s">
        <v>2602</v>
      </c>
      <c r="K1728">
        <f t="shared" si="234"/>
        <v>121</v>
      </c>
      <c r="N1728" t="str">
        <f t="shared" si="235"/>
        <v>Coil</v>
      </c>
      <c r="O1728" t="str">
        <f t="shared" si="236"/>
        <v>BOOL</v>
      </c>
      <c r="P1728" t="str">
        <f t="shared" si="237"/>
        <v xml:space="preserve">TELECAMERA T06S </v>
      </c>
      <c r="R1728" t="str">
        <f t="shared" si="238"/>
        <v>T06S -Escludi Allarmi Telecamera</v>
      </c>
      <c r="U1728" t="str">
        <f t="shared" si="239"/>
        <v>Comando</v>
      </c>
      <c r="V1728" t="str">
        <f t="shared" si="240"/>
        <v>GALLERIA</v>
      </c>
      <c r="W1728" t="str">
        <f t="shared" si="241"/>
        <v>GALLERIA SAN GIULIANO</v>
      </c>
      <c r="Z1728" t="str">
        <f t="shared" si="242"/>
        <v>10.220.80.16</v>
      </c>
    </row>
    <row r="1729" spans="1:26" x14ac:dyDescent="0.25">
      <c r="A1729" t="s">
        <v>10</v>
      </c>
      <c r="B1729" t="s">
        <v>1063</v>
      </c>
      <c r="C1729" t="s">
        <v>2173</v>
      </c>
      <c r="D1729" t="s">
        <v>1619</v>
      </c>
      <c r="E1729" t="s">
        <v>2601</v>
      </c>
      <c r="F1729" t="s">
        <v>2577</v>
      </c>
      <c r="G1729" t="s">
        <v>2531</v>
      </c>
      <c r="H1729" t="s">
        <v>22</v>
      </c>
      <c r="I1729">
        <v>122</v>
      </c>
      <c r="J1729" t="s">
        <v>2603</v>
      </c>
      <c r="K1729">
        <f t="shared" si="234"/>
        <v>122</v>
      </c>
      <c r="N1729" t="str">
        <f t="shared" si="235"/>
        <v>Coil</v>
      </c>
      <c r="O1729" t="str">
        <f t="shared" si="236"/>
        <v>BOOL</v>
      </c>
      <c r="P1729" t="str">
        <f t="shared" si="237"/>
        <v xml:space="preserve">TELECAMERA T06S </v>
      </c>
      <c r="R1729" t="str">
        <f t="shared" si="238"/>
        <v>T06S -Includi Allarmi Telecamera</v>
      </c>
      <c r="U1729" t="str">
        <f t="shared" si="239"/>
        <v>Comando</v>
      </c>
      <c r="V1729" t="str">
        <f t="shared" si="240"/>
        <v>GALLERIA</v>
      </c>
      <c r="W1729" t="str">
        <f t="shared" si="241"/>
        <v>GALLERIA SAN GIULIANO</v>
      </c>
      <c r="Z1729" t="str">
        <f t="shared" si="242"/>
        <v>10.220.80.16</v>
      </c>
    </row>
    <row r="1730" spans="1:26" x14ac:dyDescent="0.25">
      <c r="A1730" t="s">
        <v>10</v>
      </c>
      <c r="B1730" t="s">
        <v>1063</v>
      </c>
      <c r="C1730" t="s">
        <v>2173</v>
      </c>
      <c r="D1730" t="s">
        <v>1619</v>
      </c>
      <c r="E1730" t="s">
        <v>2601</v>
      </c>
      <c r="F1730" t="s">
        <v>2577</v>
      </c>
      <c r="G1730" t="s">
        <v>2531</v>
      </c>
      <c r="H1730" t="s">
        <v>22</v>
      </c>
      <c r="I1730">
        <v>123</v>
      </c>
      <c r="J1730" t="s">
        <v>2604</v>
      </c>
      <c r="K1730">
        <f t="shared" si="234"/>
        <v>123</v>
      </c>
      <c r="N1730" t="str">
        <f t="shared" si="235"/>
        <v>Coil</v>
      </c>
      <c r="O1730" t="str">
        <f t="shared" si="236"/>
        <v>BOOL</v>
      </c>
      <c r="P1730" t="str">
        <f t="shared" si="237"/>
        <v xml:space="preserve">TELECAMERA T06S </v>
      </c>
      <c r="R1730" t="str">
        <f t="shared" si="238"/>
        <v>T06S -Escludi Allarme Fumo</v>
      </c>
      <c r="U1730" t="str">
        <f t="shared" si="239"/>
        <v>Comando</v>
      </c>
      <c r="V1730" t="str">
        <f t="shared" si="240"/>
        <v>GALLERIA</v>
      </c>
      <c r="W1730" t="str">
        <f t="shared" si="241"/>
        <v>GALLERIA SAN GIULIANO</v>
      </c>
      <c r="Z1730" t="str">
        <f t="shared" si="242"/>
        <v>10.220.80.16</v>
      </c>
    </row>
    <row r="1731" spans="1:26" x14ac:dyDescent="0.25">
      <c r="A1731" t="s">
        <v>10</v>
      </c>
      <c r="B1731" t="s">
        <v>1063</v>
      </c>
      <c r="C1731" t="s">
        <v>2173</v>
      </c>
      <c r="D1731" t="s">
        <v>1619</v>
      </c>
      <c r="E1731" t="s">
        <v>2601</v>
      </c>
      <c r="F1731" t="s">
        <v>2577</v>
      </c>
      <c r="G1731" t="s">
        <v>2531</v>
      </c>
      <c r="H1731" t="s">
        <v>22</v>
      </c>
      <c r="I1731">
        <v>124</v>
      </c>
      <c r="J1731" t="s">
        <v>2605</v>
      </c>
      <c r="K1731">
        <f t="shared" ref="K1731:K1794" si="243">IF(I1731="","",I1731)</f>
        <v>124</v>
      </c>
      <c r="N1731" t="str">
        <f t="shared" ref="N1731:N1794" si="244">IF(F1731="","",F1731)</f>
        <v>Coil</v>
      </c>
      <c r="O1731" t="str">
        <f t="shared" ref="O1731:O1794" si="245">IF(H1731="","",H1731)</f>
        <v>BOOL</v>
      </c>
      <c r="P1731" t="str">
        <f t="shared" ref="P1731:P1794" si="246">_xlfn.CONCAT(D1731," ",E1731)</f>
        <v xml:space="preserve">TELECAMERA T06S </v>
      </c>
      <c r="R1731" t="str">
        <f t="shared" ref="R1731:R1794" si="247">IF(J1731="","",J1731)</f>
        <v>T06S -Includi Allarme Fumo</v>
      </c>
      <c r="U1731" t="str">
        <f t="shared" ref="U1731:U1794" si="248">IF(G1731="","",G1731)</f>
        <v>Comando</v>
      </c>
      <c r="V1731" t="str">
        <f t="shared" ref="V1731:V1794" si="249">IF(C1731="","",C1731)</f>
        <v>GALLERIA</v>
      </c>
      <c r="W1731" t="str">
        <f t="shared" ref="W1731:W1794" si="250">IF(B1731="","",B1731)</f>
        <v>GALLERIA SAN GIULIANO</v>
      </c>
      <c r="Z1731" t="str">
        <f t="shared" ref="Z1731:Z1794" si="251">IF(A1731="","",A1731)</f>
        <v>10.220.80.16</v>
      </c>
    </row>
    <row r="1732" spans="1:26" x14ac:dyDescent="0.25">
      <c r="A1732" t="s">
        <v>10</v>
      </c>
      <c r="B1732" t="s">
        <v>1063</v>
      </c>
      <c r="C1732" t="s">
        <v>2173</v>
      </c>
      <c r="D1732" t="s">
        <v>1619</v>
      </c>
      <c r="E1732" t="s">
        <v>2601</v>
      </c>
      <c r="F1732" t="s">
        <v>2577</v>
      </c>
      <c r="G1732" t="s">
        <v>2531</v>
      </c>
      <c r="H1732" t="s">
        <v>22</v>
      </c>
      <c r="I1732">
        <v>125</v>
      </c>
      <c r="J1732" t="s">
        <v>2606</v>
      </c>
      <c r="K1732">
        <f t="shared" si="243"/>
        <v>125</v>
      </c>
      <c r="N1732" t="str">
        <f t="shared" si="244"/>
        <v>Coil</v>
      </c>
      <c r="O1732" t="str">
        <f t="shared" si="245"/>
        <v>BOOL</v>
      </c>
      <c r="P1732" t="str">
        <f t="shared" si="246"/>
        <v xml:space="preserve">TELECAMERA T06S </v>
      </c>
      <c r="R1732" t="str">
        <f t="shared" si="247"/>
        <v>T06S -EScludi Allarmi Traffico</v>
      </c>
      <c r="U1732" t="str">
        <f t="shared" si="248"/>
        <v>Comando</v>
      </c>
      <c r="V1732" t="str">
        <f t="shared" si="249"/>
        <v>GALLERIA</v>
      </c>
      <c r="W1732" t="str">
        <f t="shared" si="250"/>
        <v>GALLERIA SAN GIULIANO</v>
      </c>
      <c r="Z1732" t="str">
        <f t="shared" si="251"/>
        <v>10.220.80.16</v>
      </c>
    </row>
    <row r="1733" spans="1:26" x14ac:dyDescent="0.25">
      <c r="A1733" t="s">
        <v>10</v>
      </c>
      <c r="B1733" t="s">
        <v>1063</v>
      </c>
      <c r="C1733" t="s">
        <v>2173</v>
      </c>
      <c r="D1733" t="s">
        <v>1619</v>
      </c>
      <c r="E1733" t="s">
        <v>2601</v>
      </c>
      <c r="F1733" t="s">
        <v>2577</v>
      </c>
      <c r="G1733" t="s">
        <v>2531</v>
      </c>
      <c r="H1733" t="s">
        <v>22</v>
      </c>
      <c r="I1733">
        <v>126</v>
      </c>
      <c r="J1733" t="s">
        <v>2607</v>
      </c>
      <c r="K1733">
        <f t="shared" si="243"/>
        <v>126</v>
      </c>
      <c r="N1733" t="str">
        <f t="shared" si="244"/>
        <v>Coil</v>
      </c>
      <c r="O1733" t="str">
        <f t="shared" si="245"/>
        <v>BOOL</v>
      </c>
      <c r="P1733" t="str">
        <f t="shared" si="246"/>
        <v xml:space="preserve">TELECAMERA T06S </v>
      </c>
      <c r="R1733" t="str">
        <f t="shared" si="247"/>
        <v>T06S -Includi Allarmi Traffico</v>
      </c>
      <c r="U1733" t="str">
        <f t="shared" si="248"/>
        <v>Comando</v>
      </c>
      <c r="V1733" t="str">
        <f t="shared" si="249"/>
        <v>GALLERIA</v>
      </c>
      <c r="W1733" t="str">
        <f t="shared" si="250"/>
        <v>GALLERIA SAN GIULIANO</v>
      </c>
      <c r="Z1733" t="str">
        <f t="shared" si="251"/>
        <v>10.220.80.16</v>
      </c>
    </row>
    <row r="1734" spans="1:26" x14ac:dyDescent="0.25">
      <c r="A1734" t="s">
        <v>10</v>
      </c>
      <c r="B1734" t="s">
        <v>1063</v>
      </c>
      <c r="C1734" t="s">
        <v>2173</v>
      </c>
      <c r="D1734" t="s">
        <v>1619</v>
      </c>
      <c r="E1734" t="s">
        <v>2601</v>
      </c>
      <c r="F1734" t="s">
        <v>2577</v>
      </c>
      <c r="G1734" t="s">
        <v>2531</v>
      </c>
      <c r="H1734" t="s">
        <v>22</v>
      </c>
      <c r="I1734">
        <v>127</v>
      </c>
      <c r="J1734" t="s">
        <v>2608</v>
      </c>
      <c r="K1734">
        <f t="shared" si="243"/>
        <v>127</v>
      </c>
      <c r="N1734" t="str">
        <f t="shared" si="244"/>
        <v>Coil</v>
      </c>
      <c r="O1734" t="str">
        <f t="shared" si="245"/>
        <v>BOOL</v>
      </c>
      <c r="P1734" t="str">
        <f t="shared" si="246"/>
        <v xml:space="preserve">TELECAMERA T06S </v>
      </c>
      <c r="R1734" t="str">
        <f t="shared" si="247"/>
        <v>T06S -Reset Allarmi Telecamera</v>
      </c>
      <c r="U1734" t="str">
        <f t="shared" si="248"/>
        <v>Comando</v>
      </c>
      <c r="V1734" t="str">
        <f t="shared" si="249"/>
        <v>GALLERIA</v>
      </c>
      <c r="W1734" t="str">
        <f t="shared" si="250"/>
        <v>GALLERIA SAN GIULIANO</v>
      </c>
      <c r="Z1734" t="str">
        <f t="shared" si="251"/>
        <v>10.220.80.16</v>
      </c>
    </row>
    <row r="1735" spans="1:26" x14ac:dyDescent="0.25">
      <c r="A1735" t="s">
        <v>10</v>
      </c>
      <c r="B1735" t="s">
        <v>1063</v>
      </c>
      <c r="C1735" t="s">
        <v>2173</v>
      </c>
      <c r="D1735" t="s">
        <v>1619</v>
      </c>
      <c r="E1735" t="s">
        <v>2609</v>
      </c>
      <c r="F1735" t="s">
        <v>2577</v>
      </c>
      <c r="G1735" t="s">
        <v>2531</v>
      </c>
      <c r="H1735" t="s">
        <v>22</v>
      </c>
      <c r="I1735">
        <v>128</v>
      </c>
      <c r="J1735" t="s">
        <v>2610</v>
      </c>
      <c r="K1735">
        <f t="shared" si="243"/>
        <v>128</v>
      </c>
      <c r="N1735" t="str">
        <f t="shared" si="244"/>
        <v>Coil</v>
      </c>
      <c r="O1735" t="str">
        <f t="shared" si="245"/>
        <v>BOOL</v>
      </c>
      <c r="P1735" t="str">
        <f t="shared" si="246"/>
        <v xml:space="preserve">TELECAMERA T07S </v>
      </c>
      <c r="R1735" t="str">
        <f t="shared" si="247"/>
        <v>T07S -Escludi Allarmi Telecamera</v>
      </c>
      <c r="U1735" t="str">
        <f t="shared" si="248"/>
        <v>Comando</v>
      </c>
      <c r="V1735" t="str">
        <f t="shared" si="249"/>
        <v>GALLERIA</v>
      </c>
      <c r="W1735" t="str">
        <f t="shared" si="250"/>
        <v>GALLERIA SAN GIULIANO</v>
      </c>
      <c r="Z1735" t="str">
        <f t="shared" si="251"/>
        <v>10.220.80.16</v>
      </c>
    </row>
    <row r="1736" spans="1:26" x14ac:dyDescent="0.25">
      <c r="A1736" t="s">
        <v>10</v>
      </c>
      <c r="B1736" t="s">
        <v>1063</v>
      </c>
      <c r="C1736" t="s">
        <v>2173</v>
      </c>
      <c r="D1736" t="s">
        <v>1619</v>
      </c>
      <c r="E1736" t="s">
        <v>2609</v>
      </c>
      <c r="F1736" t="s">
        <v>2577</v>
      </c>
      <c r="G1736" t="s">
        <v>2531</v>
      </c>
      <c r="H1736" t="s">
        <v>22</v>
      </c>
      <c r="I1736">
        <v>129</v>
      </c>
      <c r="J1736" t="s">
        <v>2611</v>
      </c>
      <c r="K1736">
        <f t="shared" si="243"/>
        <v>129</v>
      </c>
      <c r="N1736" t="str">
        <f t="shared" si="244"/>
        <v>Coil</v>
      </c>
      <c r="O1736" t="str">
        <f t="shared" si="245"/>
        <v>BOOL</v>
      </c>
      <c r="P1736" t="str">
        <f t="shared" si="246"/>
        <v xml:space="preserve">TELECAMERA T07S </v>
      </c>
      <c r="R1736" t="str">
        <f t="shared" si="247"/>
        <v>T07S -Includi Allarmi Telecamera</v>
      </c>
      <c r="U1736" t="str">
        <f t="shared" si="248"/>
        <v>Comando</v>
      </c>
      <c r="V1736" t="str">
        <f t="shared" si="249"/>
        <v>GALLERIA</v>
      </c>
      <c r="W1736" t="str">
        <f t="shared" si="250"/>
        <v>GALLERIA SAN GIULIANO</v>
      </c>
      <c r="Z1736" t="str">
        <f t="shared" si="251"/>
        <v>10.220.80.16</v>
      </c>
    </row>
    <row r="1737" spans="1:26" x14ac:dyDescent="0.25">
      <c r="A1737" t="s">
        <v>10</v>
      </c>
      <c r="B1737" t="s">
        <v>1063</v>
      </c>
      <c r="C1737" t="s">
        <v>2173</v>
      </c>
      <c r="D1737" t="s">
        <v>1619</v>
      </c>
      <c r="E1737" t="s">
        <v>2609</v>
      </c>
      <c r="F1737" t="s">
        <v>2577</v>
      </c>
      <c r="G1737" t="s">
        <v>2531</v>
      </c>
      <c r="H1737" t="s">
        <v>22</v>
      </c>
      <c r="I1737">
        <v>130</v>
      </c>
      <c r="J1737" t="s">
        <v>2612</v>
      </c>
      <c r="K1737">
        <f t="shared" si="243"/>
        <v>130</v>
      </c>
      <c r="N1737" t="str">
        <f t="shared" si="244"/>
        <v>Coil</v>
      </c>
      <c r="O1737" t="str">
        <f t="shared" si="245"/>
        <v>BOOL</v>
      </c>
      <c r="P1737" t="str">
        <f t="shared" si="246"/>
        <v xml:space="preserve">TELECAMERA T07S </v>
      </c>
      <c r="R1737" t="str">
        <f t="shared" si="247"/>
        <v>T07S -Escludi Allarme Fumo</v>
      </c>
      <c r="U1737" t="str">
        <f t="shared" si="248"/>
        <v>Comando</v>
      </c>
      <c r="V1737" t="str">
        <f t="shared" si="249"/>
        <v>GALLERIA</v>
      </c>
      <c r="W1737" t="str">
        <f t="shared" si="250"/>
        <v>GALLERIA SAN GIULIANO</v>
      </c>
      <c r="Z1737" t="str">
        <f t="shared" si="251"/>
        <v>10.220.80.16</v>
      </c>
    </row>
    <row r="1738" spans="1:26" x14ac:dyDescent="0.25">
      <c r="A1738" t="s">
        <v>10</v>
      </c>
      <c r="B1738" t="s">
        <v>1063</v>
      </c>
      <c r="C1738" t="s">
        <v>2173</v>
      </c>
      <c r="D1738" t="s">
        <v>1619</v>
      </c>
      <c r="E1738" t="s">
        <v>2609</v>
      </c>
      <c r="F1738" t="s">
        <v>2577</v>
      </c>
      <c r="G1738" t="s">
        <v>2531</v>
      </c>
      <c r="H1738" t="s">
        <v>22</v>
      </c>
      <c r="I1738">
        <v>131</v>
      </c>
      <c r="J1738" t="s">
        <v>2613</v>
      </c>
      <c r="K1738">
        <f t="shared" si="243"/>
        <v>131</v>
      </c>
      <c r="N1738" t="str">
        <f t="shared" si="244"/>
        <v>Coil</v>
      </c>
      <c r="O1738" t="str">
        <f t="shared" si="245"/>
        <v>BOOL</v>
      </c>
      <c r="P1738" t="str">
        <f t="shared" si="246"/>
        <v xml:space="preserve">TELECAMERA T07S </v>
      </c>
      <c r="R1738" t="str">
        <f t="shared" si="247"/>
        <v>T07S -Includi Allarme Fumo</v>
      </c>
      <c r="U1738" t="str">
        <f t="shared" si="248"/>
        <v>Comando</v>
      </c>
      <c r="V1738" t="str">
        <f t="shared" si="249"/>
        <v>GALLERIA</v>
      </c>
      <c r="W1738" t="str">
        <f t="shared" si="250"/>
        <v>GALLERIA SAN GIULIANO</v>
      </c>
      <c r="Z1738" t="str">
        <f t="shared" si="251"/>
        <v>10.220.80.16</v>
      </c>
    </row>
    <row r="1739" spans="1:26" x14ac:dyDescent="0.25">
      <c r="A1739" t="s">
        <v>10</v>
      </c>
      <c r="B1739" t="s">
        <v>1063</v>
      </c>
      <c r="C1739" t="s">
        <v>2173</v>
      </c>
      <c r="D1739" t="s">
        <v>1619</v>
      </c>
      <c r="E1739" t="s">
        <v>2609</v>
      </c>
      <c r="F1739" t="s">
        <v>2577</v>
      </c>
      <c r="G1739" t="s">
        <v>2531</v>
      </c>
      <c r="H1739" t="s">
        <v>22</v>
      </c>
      <c r="I1739">
        <v>132</v>
      </c>
      <c r="J1739" t="s">
        <v>2614</v>
      </c>
      <c r="K1739">
        <f t="shared" si="243"/>
        <v>132</v>
      </c>
      <c r="N1739" t="str">
        <f t="shared" si="244"/>
        <v>Coil</v>
      </c>
      <c r="O1739" t="str">
        <f t="shared" si="245"/>
        <v>BOOL</v>
      </c>
      <c r="P1739" t="str">
        <f t="shared" si="246"/>
        <v xml:space="preserve">TELECAMERA T07S </v>
      </c>
      <c r="R1739" t="str">
        <f t="shared" si="247"/>
        <v>T07S -EScludi Allarmi Traffico</v>
      </c>
      <c r="U1739" t="str">
        <f t="shared" si="248"/>
        <v>Comando</v>
      </c>
      <c r="V1739" t="str">
        <f t="shared" si="249"/>
        <v>GALLERIA</v>
      </c>
      <c r="W1739" t="str">
        <f t="shared" si="250"/>
        <v>GALLERIA SAN GIULIANO</v>
      </c>
      <c r="Z1739" t="str">
        <f t="shared" si="251"/>
        <v>10.220.80.16</v>
      </c>
    </row>
    <row r="1740" spans="1:26" x14ac:dyDescent="0.25">
      <c r="A1740" t="s">
        <v>10</v>
      </c>
      <c r="B1740" t="s">
        <v>1063</v>
      </c>
      <c r="C1740" t="s">
        <v>2173</v>
      </c>
      <c r="D1740" t="s">
        <v>1619</v>
      </c>
      <c r="E1740" t="s">
        <v>2609</v>
      </c>
      <c r="F1740" t="s">
        <v>2577</v>
      </c>
      <c r="G1740" t="s">
        <v>2531</v>
      </c>
      <c r="H1740" t="s">
        <v>22</v>
      </c>
      <c r="I1740">
        <v>133</v>
      </c>
      <c r="J1740" t="s">
        <v>2615</v>
      </c>
      <c r="K1740">
        <f t="shared" si="243"/>
        <v>133</v>
      </c>
      <c r="N1740" t="str">
        <f t="shared" si="244"/>
        <v>Coil</v>
      </c>
      <c r="O1740" t="str">
        <f t="shared" si="245"/>
        <v>BOOL</v>
      </c>
      <c r="P1740" t="str">
        <f t="shared" si="246"/>
        <v xml:space="preserve">TELECAMERA T07S </v>
      </c>
      <c r="R1740" t="str">
        <f t="shared" si="247"/>
        <v>T07S -Includi Allarmi Traffico</v>
      </c>
      <c r="U1740" t="str">
        <f t="shared" si="248"/>
        <v>Comando</v>
      </c>
      <c r="V1740" t="str">
        <f t="shared" si="249"/>
        <v>GALLERIA</v>
      </c>
      <c r="W1740" t="str">
        <f t="shared" si="250"/>
        <v>GALLERIA SAN GIULIANO</v>
      </c>
      <c r="Z1740" t="str">
        <f t="shared" si="251"/>
        <v>10.220.80.16</v>
      </c>
    </row>
    <row r="1741" spans="1:26" x14ac:dyDescent="0.25">
      <c r="A1741" t="s">
        <v>10</v>
      </c>
      <c r="B1741" t="s">
        <v>1063</v>
      </c>
      <c r="C1741" t="s">
        <v>2173</v>
      </c>
      <c r="D1741" t="s">
        <v>1619</v>
      </c>
      <c r="E1741" t="s">
        <v>2609</v>
      </c>
      <c r="F1741" t="s">
        <v>2577</v>
      </c>
      <c r="G1741" t="s">
        <v>2531</v>
      </c>
      <c r="H1741" t="s">
        <v>22</v>
      </c>
      <c r="I1741">
        <v>134</v>
      </c>
      <c r="J1741" t="s">
        <v>2616</v>
      </c>
      <c r="K1741">
        <f t="shared" si="243"/>
        <v>134</v>
      </c>
      <c r="N1741" t="str">
        <f t="shared" si="244"/>
        <v>Coil</v>
      </c>
      <c r="O1741" t="str">
        <f t="shared" si="245"/>
        <v>BOOL</v>
      </c>
      <c r="P1741" t="str">
        <f t="shared" si="246"/>
        <v xml:space="preserve">TELECAMERA T07S </v>
      </c>
      <c r="R1741" t="str">
        <f t="shared" si="247"/>
        <v>T07S -Reset Allarmi Telecamera</v>
      </c>
      <c r="U1741" t="str">
        <f t="shared" si="248"/>
        <v>Comando</v>
      </c>
      <c r="V1741" t="str">
        <f t="shared" si="249"/>
        <v>GALLERIA</v>
      </c>
      <c r="W1741" t="str">
        <f t="shared" si="250"/>
        <v>GALLERIA SAN GIULIANO</v>
      </c>
      <c r="Z1741" t="str">
        <f t="shared" si="251"/>
        <v>10.220.80.16</v>
      </c>
    </row>
    <row r="1742" spans="1:26" x14ac:dyDescent="0.25">
      <c r="A1742" t="s">
        <v>10</v>
      </c>
      <c r="B1742" t="s">
        <v>1063</v>
      </c>
      <c r="C1742" t="s">
        <v>2173</v>
      </c>
      <c r="D1742" t="s">
        <v>1619</v>
      </c>
      <c r="E1742" t="s">
        <v>2617</v>
      </c>
      <c r="F1742" t="s">
        <v>2577</v>
      </c>
      <c r="G1742" t="s">
        <v>2531</v>
      </c>
      <c r="H1742" t="s">
        <v>22</v>
      </c>
      <c r="I1742">
        <v>135</v>
      </c>
      <c r="J1742" t="s">
        <v>2618</v>
      </c>
      <c r="K1742">
        <f t="shared" si="243"/>
        <v>135</v>
      </c>
      <c r="N1742" t="str">
        <f t="shared" si="244"/>
        <v>Coil</v>
      </c>
      <c r="O1742" t="str">
        <f t="shared" si="245"/>
        <v>BOOL</v>
      </c>
      <c r="P1742" t="str">
        <f t="shared" si="246"/>
        <v>TELECAMERA T010S</v>
      </c>
      <c r="R1742" t="str">
        <f t="shared" si="247"/>
        <v>T010S -Escludi Allarmi Telecamera</v>
      </c>
      <c r="U1742" t="str">
        <f t="shared" si="248"/>
        <v>Comando</v>
      </c>
      <c r="V1742" t="str">
        <f t="shared" si="249"/>
        <v>GALLERIA</v>
      </c>
      <c r="W1742" t="str">
        <f t="shared" si="250"/>
        <v>GALLERIA SAN GIULIANO</v>
      </c>
      <c r="Z1742" t="str">
        <f t="shared" si="251"/>
        <v>10.220.80.16</v>
      </c>
    </row>
    <row r="1743" spans="1:26" x14ac:dyDescent="0.25">
      <c r="A1743" t="s">
        <v>10</v>
      </c>
      <c r="B1743" t="s">
        <v>1063</v>
      </c>
      <c r="C1743" t="s">
        <v>2173</v>
      </c>
      <c r="D1743" t="s">
        <v>1619</v>
      </c>
      <c r="E1743" t="s">
        <v>2617</v>
      </c>
      <c r="F1743" t="s">
        <v>2577</v>
      </c>
      <c r="G1743" t="s">
        <v>2531</v>
      </c>
      <c r="H1743" t="s">
        <v>22</v>
      </c>
      <c r="I1743">
        <v>136</v>
      </c>
      <c r="J1743" t="s">
        <v>2619</v>
      </c>
      <c r="K1743">
        <f t="shared" si="243"/>
        <v>136</v>
      </c>
      <c r="N1743" t="str">
        <f t="shared" si="244"/>
        <v>Coil</v>
      </c>
      <c r="O1743" t="str">
        <f t="shared" si="245"/>
        <v>BOOL</v>
      </c>
      <c r="P1743" t="str">
        <f t="shared" si="246"/>
        <v>TELECAMERA T010S</v>
      </c>
      <c r="R1743" t="str">
        <f t="shared" si="247"/>
        <v>T010S -Includi Allarmi Telecamera</v>
      </c>
      <c r="U1743" t="str">
        <f t="shared" si="248"/>
        <v>Comando</v>
      </c>
      <c r="V1743" t="str">
        <f t="shared" si="249"/>
        <v>GALLERIA</v>
      </c>
      <c r="W1743" t="str">
        <f t="shared" si="250"/>
        <v>GALLERIA SAN GIULIANO</v>
      </c>
      <c r="Z1743" t="str">
        <f t="shared" si="251"/>
        <v>10.220.80.16</v>
      </c>
    </row>
    <row r="1744" spans="1:26" x14ac:dyDescent="0.25">
      <c r="A1744" t="s">
        <v>10</v>
      </c>
      <c r="B1744" t="s">
        <v>1063</v>
      </c>
      <c r="C1744" t="s">
        <v>2173</v>
      </c>
      <c r="D1744" t="s">
        <v>1619</v>
      </c>
      <c r="E1744" t="s">
        <v>2617</v>
      </c>
      <c r="F1744" t="s">
        <v>2577</v>
      </c>
      <c r="G1744" t="s">
        <v>2531</v>
      </c>
      <c r="H1744" t="s">
        <v>22</v>
      </c>
      <c r="I1744">
        <v>137</v>
      </c>
      <c r="J1744" t="s">
        <v>2620</v>
      </c>
      <c r="K1744">
        <f t="shared" si="243"/>
        <v>137</v>
      </c>
      <c r="N1744" t="str">
        <f t="shared" si="244"/>
        <v>Coil</v>
      </c>
      <c r="O1744" t="str">
        <f t="shared" si="245"/>
        <v>BOOL</v>
      </c>
      <c r="P1744" t="str">
        <f t="shared" si="246"/>
        <v>TELECAMERA T010S</v>
      </c>
      <c r="R1744" t="str">
        <f t="shared" si="247"/>
        <v>T010S -Escludi Allarme Fumo</v>
      </c>
      <c r="U1744" t="str">
        <f t="shared" si="248"/>
        <v>Comando</v>
      </c>
      <c r="V1744" t="str">
        <f t="shared" si="249"/>
        <v>GALLERIA</v>
      </c>
      <c r="W1744" t="str">
        <f t="shared" si="250"/>
        <v>GALLERIA SAN GIULIANO</v>
      </c>
      <c r="Z1744" t="str">
        <f t="shared" si="251"/>
        <v>10.220.80.16</v>
      </c>
    </row>
    <row r="1745" spans="1:26" x14ac:dyDescent="0.25">
      <c r="A1745" t="s">
        <v>10</v>
      </c>
      <c r="B1745" t="s">
        <v>1063</v>
      </c>
      <c r="C1745" t="s">
        <v>2173</v>
      </c>
      <c r="D1745" t="s">
        <v>1619</v>
      </c>
      <c r="E1745" t="s">
        <v>2617</v>
      </c>
      <c r="F1745" t="s">
        <v>2577</v>
      </c>
      <c r="G1745" t="s">
        <v>2531</v>
      </c>
      <c r="H1745" t="s">
        <v>22</v>
      </c>
      <c r="I1745">
        <v>138</v>
      </c>
      <c r="J1745" t="s">
        <v>2621</v>
      </c>
      <c r="K1745">
        <f t="shared" si="243"/>
        <v>138</v>
      </c>
      <c r="N1745" t="str">
        <f t="shared" si="244"/>
        <v>Coil</v>
      </c>
      <c r="O1745" t="str">
        <f t="shared" si="245"/>
        <v>BOOL</v>
      </c>
      <c r="P1745" t="str">
        <f t="shared" si="246"/>
        <v>TELECAMERA T010S</v>
      </c>
      <c r="R1745" t="str">
        <f t="shared" si="247"/>
        <v>T010S -Includi Allarme Fumo</v>
      </c>
      <c r="U1745" t="str">
        <f t="shared" si="248"/>
        <v>Comando</v>
      </c>
      <c r="V1745" t="str">
        <f t="shared" si="249"/>
        <v>GALLERIA</v>
      </c>
      <c r="W1745" t="str">
        <f t="shared" si="250"/>
        <v>GALLERIA SAN GIULIANO</v>
      </c>
      <c r="Z1745" t="str">
        <f t="shared" si="251"/>
        <v>10.220.80.16</v>
      </c>
    </row>
    <row r="1746" spans="1:26" x14ac:dyDescent="0.25">
      <c r="A1746" t="s">
        <v>10</v>
      </c>
      <c r="B1746" t="s">
        <v>1063</v>
      </c>
      <c r="C1746" t="s">
        <v>2173</v>
      </c>
      <c r="D1746" t="s">
        <v>1619</v>
      </c>
      <c r="E1746" t="s">
        <v>2617</v>
      </c>
      <c r="F1746" t="s">
        <v>2577</v>
      </c>
      <c r="G1746" t="s">
        <v>2531</v>
      </c>
      <c r="H1746" t="s">
        <v>22</v>
      </c>
      <c r="I1746">
        <v>139</v>
      </c>
      <c r="J1746" t="s">
        <v>2622</v>
      </c>
      <c r="K1746">
        <f t="shared" si="243"/>
        <v>139</v>
      </c>
      <c r="N1746" t="str">
        <f t="shared" si="244"/>
        <v>Coil</v>
      </c>
      <c r="O1746" t="str">
        <f t="shared" si="245"/>
        <v>BOOL</v>
      </c>
      <c r="P1746" t="str">
        <f t="shared" si="246"/>
        <v>TELECAMERA T010S</v>
      </c>
      <c r="R1746" t="str">
        <f t="shared" si="247"/>
        <v>T010S -EScludi Allarmi Traffico</v>
      </c>
      <c r="U1746" t="str">
        <f t="shared" si="248"/>
        <v>Comando</v>
      </c>
      <c r="V1746" t="str">
        <f t="shared" si="249"/>
        <v>GALLERIA</v>
      </c>
      <c r="W1746" t="str">
        <f t="shared" si="250"/>
        <v>GALLERIA SAN GIULIANO</v>
      </c>
      <c r="Z1746" t="str">
        <f t="shared" si="251"/>
        <v>10.220.80.16</v>
      </c>
    </row>
    <row r="1747" spans="1:26" x14ac:dyDescent="0.25">
      <c r="A1747" t="s">
        <v>10</v>
      </c>
      <c r="B1747" t="s">
        <v>1063</v>
      </c>
      <c r="C1747" t="s">
        <v>2173</v>
      </c>
      <c r="D1747" t="s">
        <v>1619</v>
      </c>
      <c r="E1747" t="s">
        <v>2617</v>
      </c>
      <c r="F1747" t="s">
        <v>2577</v>
      </c>
      <c r="G1747" t="s">
        <v>2531</v>
      </c>
      <c r="H1747" t="s">
        <v>22</v>
      </c>
      <c r="I1747">
        <v>140</v>
      </c>
      <c r="J1747" t="s">
        <v>2623</v>
      </c>
      <c r="K1747">
        <f t="shared" si="243"/>
        <v>140</v>
      </c>
      <c r="N1747" t="str">
        <f t="shared" si="244"/>
        <v>Coil</v>
      </c>
      <c r="O1747" t="str">
        <f t="shared" si="245"/>
        <v>BOOL</v>
      </c>
      <c r="P1747" t="str">
        <f t="shared" si="246"/>
        <v>TELECAMERA T010S</v>
      </c>
      <c r="R1747" t="str">
        <f t="shared" si="247"/>
        <v>T010S -Includi Allarmi Traffico</v>
      </c>
      <c r="U1747" t="str">
        <f t="shared" si="248"/>
        <v>Comando</v>
      </c>
      <c r="V1747" t="str">
        <f t="shared" si="249"/>
        <v>GALLERIA</v>
      </c>
      <c r="W1747" t="str">
        <f t="shared" si="250"/>
        <v>GALLERIA SAN GIULIANO</v>
      </c>
      <c r="Z1747" t="str">
        <f t="shared" si="251"/>
        <v>10.220.80.16</v>
      </c>
    </row>
    <row r="1748" spans="1:26" x14ac:dyDescent="0.25">
      <c r="A1748" t="s">
        <v>10</v>
      </c>
      <c r="B1748" t="s">
        <v>1063</v>
      </c>
      <c r="C1748" t="s">
        <v>2173</v>
      </c>
      <c r="D1748" t="s">
        <v>1619</v>
      </c>
      <c r="E1748" t="s">
        <v>2617</v>
      </c>
      <c r="F1748" t="s">
        <v>2577</v>
      </c>
      <c r="G1748" t="s">
        <v>2531</v>
      </c>
      <c r="H1748" t="s">
        <v>22</v>
      </c>
      <c r="I1748">
        <v>141</v>
      </c>
      <c r="J1748" t="s">
        <v>2624</v>
      </c>
      <c r="K1748">
        <f t="shared" si="243"/>
        <v>141</v>
      </c>
      <c r="N1748" t="str">
        <f t="shared" si="244"/>
        <v>Coil</v>
      </c>
      <c r="O1748" t="str">
        <f t="shared" si="245"/>
        <v>BOOL</v>
      </c>
      <c r="P1748" t="str">
        <f t="shared" si="246"/>
        <v>TELECAMERA T010S</v>
      </c>
      <c r="R1748" t="str">
        <f t="shared" si="247"/>
        <v>T010S -Reset Allarmi Telecamera</v>
      </c>
      <c r="U1748" t="str">
        <f t="shared" si="248"/>
        <v>Comando</v>
      </c>
      <c r="V1748" t="str">
        <f t="shared" si="249"/>
        <v>GALLERIA</v>
      </c>
      <c r="W1748" t="str">
        <f t="shared" si="250"/>
        <v>GALLERIA SAN GIULIANO</v>
      </c>
      <c r="Z1748" t="str">
        <f t="shared" si="251"/>
        <v>10.220.80.16</v>
      </c>
    </row>
    <row r="1749" spans="1:26" x14ac:dyDescent="0.25">
      <c r="A1749" t="s">
        <v>10</v>
      </c>
      <c r="B1749" t="s">
        <v>1063</v>
      </c>
      <c r="C1749" t="s">
        <v>2173</v>
      </c>
      <c r="D1749" t="s">
        <v>1619</v>
      </c>
      <c r="E1749" t="s">
        <v>2625</v>
      </c>
      <c r="F1749" t="s">
        <v>2577</v>
      </c>
      <c r="G1749" t="s">
        <v>2531</v>
      </c>
      <c r="H1749" t="s">
        <v>22</v>
      </c>
      <c r="I1749">
        <v>142</v>
      </c>
      <c r="J1749" t="s">
        <v>2626</v>
      </c>
      <c r="K1749">
        <f t="shared" si="243"/>
        <v>142</v>
      </c>
      <c r="N1749" t="str">
        <f t="shared" si="244"/>
        <v>Coil</v>
      </c>
      <c r="O1749" t="str">
        <f t="shared" si="245"/>
        <v>BOOL</v>
      </c>
      <c r="P1749" t="str">
        <f t="shared" si="246"/>
        <v>TELECAMERA T011S</v>
      </c>
      <c r="R1749" t="str">
        <f t="shared" si="247"/>
        <v>T011S -Escludi Allarmi Telecamera</v>
      </c>
      <c r="U1749" t="str">
        <f t="shared" si="248"/>
        <v>Comando</v>
      </c>
      <c r="V1749" t="str">
        <f t="shared" si="249"/>
        <v>GALLERIA</v>
      </c>
      <c r="W1749" t="str">
        <f t="shared" si="250"/>
        <v>GALLERIA SAN GIULIANO</v>
      </c>
      <c r="Z1749" t="str">
        <f t="shared" si="251"/>
        <v>10.220.80.16</v>
      </c>
    </row>
    <row r="1750" spans="1:26" x14ac:dyDescent="0.25">
      <c r="A1750" t="s">
        <v>10</v>
      </c>
      <c r="B1750" t="s">
        <v>1063</v>
      </c>
      <c r="C1750" t="s">
        <v>2173</v>
      </c>
      <c r="D1750" t="s">
        <v>1619</v>
      </c>
      <c r="E1750" t="s">
        <v>2625</v>
      </c>
      <c r="F1750" t="s">
        <v>2577</v>
      </c>
      <c r="G1750" t="s">
        <v>2531</v>
      </c>
      <c r="H1750" t="s">
        <v>22</v>
      </c>
      <c r="I1750">
        <v>143</v>
      </c>
      <c r="J1750" t="s">
        <v>2627</v>
      </c>
      <c r="K1750">
        <f t="shared" si="243"/>
        <v>143</v>
      </c>
      <c r="N1750" t="str">
        <f t="shared" si="244"/>
        <v>Coil</v>
      </c>
      <c r="O1750" t="str">
        <f t="shared" si="245"/>
        <v>BOOL</v>
      </c>
      <c r="P1750" t="str">
        <f t="shared" si="246"/>
        <v>TELECAMERA T011S</v>
      </c>
      <c r="R1750" t="str">
        <f t="shared" si="247"/>
        <v>T011S -Includi Allarmi Telecamera</v>
      </c>
      <c r="U1750" t="str">
        <f t="shared" si="248"/>
        <v>Comando</v>
      </c>
      <c r="V1750" t="str">
        <f t="shared" si="249"/>
        <v>GALLERIA</v>
      </c>
      <c r="W1750" t="str">
        <f t="shared" si="250"/>
        <v>GALLERIA SAN GIULIANO</v>
      </c>
      <c r="Z1750" t="str">
        <f t="shared" si="251"/>
        <v>10.220.80.16</v>
      </c>
    </row>
    <row r="1751" spans="1:26" x14ac:dyDescent="0.25">
      <c r="A1751" t="s">
        <v>10</v>
      </c>
      <c r="B1751" t="s">
        <v>1063</v>
      </c>
      <c r="C1751" t="s">
        <v>2173</v>
      </c>
      <c r="D1751" t="s">
        <v>1619</v>
      </c>
      <c r="E1751" t="s">
        <v>2625</v>
      </c>
      <c r="F1751" t="s">
        <v>2577</v>
      </c>
      <c r="G1751" t="s">
        <v>2531</v>
      </c>
      <c r="H1751" t="s">
        <v>22</v>
      </c>
      <c r="I1751">
        <v>144</v>
      </c>
      <c r="J1751" t="s">
        <v>2628</v>
      </c>
      <c r="K1751">
        <f t="shared" si="243"/>
        <v>144</v>
      </c>
      <c r="N1751" t="str">
        <f t="shared" si="244"/>
        <v>Coil</v>
      </c>
      <c r="O1751" t="str">
        <f t="shared" si="245"/>
        <v>BOOL</v>
      </c>
      <c r="P1751" t="str">
        <f t="shared" si="246"/>
        <v>TELECAMERA T011S</v>
      </c>
      <c r="R1751" t="str">
        <f t="shared" si="247"/>
        <v>T011S -Escludi Allarme Fumo</v>
      </c>
      <c r="U1751" t="str">
        <f t="shared" si="248"/>
        <v>Comando</v>
      </c>
      <c r="V1751" t="str">
        <f t="shared" si="249"/>
        <v>GALLERIA</v>
      </c>
      <c r="W1751" t="str">
        <f t="shared" si="250"/>
        <v>GALLERIA SAN GIULIANO</v>
      </c>
      <c r="Z1751" t="str">
        <f t="shared" si="251"/>
        <v>10.220.80.16</v>
      </c>
    </row>
    <row r="1752" spans="1:26" x14ac:dyDescent="0.25">
      <c r="A1752" t="s">
        <v>10</v>
      </c>
      <c r="B1752" t="s">
        <v>1063</v>
      </c>
      <c r="C1752" t="s">
        <v>2173</v>
      </c>
      <c r="D1752" t="s">
        <v>1619</v>
      </c>
      <c r="E1752" t="s">
        <v>2625</v>
      </c>
      <c r="F1752" t="s">
        <v>2577</v>
      </c>
      <c r="G1752" t="s">
        <v>2531</v>
      </c>
      <c r="H1752" t="s">
        <v>22</v>
      </c>
      <c r="I1752">
        <v>145</v>
      </c>
      <c r="J1752" t="s">
        <v>2629</v>
      </c>
      <c r="K1752">
        <f t="shared" si="243"/>
        <v>145</v>
      </c>
      <c r="N1752" t="str">
        <f t="shared" si="244"/>
        <v>Coil</v>
      </c>
      <c r="O1752" t="str">
        <f t="shared" si="245"/>
        <v>BOOL</v>
      </c>
      <c r="P1752" t="str">
        <f t="shared" si="246"/>
        <v>TELECAMERA T011S</v>
      </c>
      <c r="R1752" t="str">
        <f t="shared" si="247"/>
        <v>T011S -Includi Allarme Fumo</v>
      </c>
      <c r="U1752" t="str">
        <f t="shared" si="248"/>
        <v>Comando</v>
      </c>
      <c r="V1752" t="str">
        <f t="shared" si="249"/>
        <v>GALLERIA</v>
      </c>
      <c r="W1752" t="str">
        <f t="shared" si="250"/>
        <v>GALLERIA SAN GIULIANO</v>
      </c>
      <c r="Z1752" t="str">
        <f t="shared" si="251"/>
        <v>10.220.80.16</v>
      </c>
    </row>
    <row r="1753" spans="1:26" x14ac:dyDescent="0.25">
      <c r="A1753" t="s">
        <v>10</v>
      </c>
      <c r="B1753" t="s">
        <v>1063</v>
      </c>
      <c r="C1753" t="s">
        <v>2173</v>
      </c>
      <c r="D1753" t="s">
        <v>1619</v>
      </c>
      <c r="E1753" t="s">
        <v>2625</v>
      </c>
      <c r="F1753" t="s">
        <v>2577</v>
      </c>
      <c r="G1753" t="s">
        <v>2531</v>
      </c>
      <c r="H1753" t="s">
        <v>22</v>
      </c>
      <c r="I1753">
        <v>146</v>
      </c>
      <c r="J1753" t="s">
        <v>2630</v>
      </c>
      <c r="K1753">
        <f t="shared" si="243"/>
        <v>146</v>
      </c>
      <c r="N1753" t="str">
        <f t="shared" si="244"/>
        <v>Coil</v>
      </c>
      <c r="O1753" t="str">
        <f t="shared" si="245"/>
        <v>BOOL</v>
      </c>
      <c r="P1753" t="str">
        <f t="shared" si="246"/>
        <v>TELECAMERA T011S</v>
      </c>
      <c r="R1753" t="str">
        <f t="shared" si="247"/>
        <v>T011S -EScludi Allarmi Traffico</v>
      </c>
      <c r="U1753" t="str">
        <f t="shared" si="248"/>
        <v>Comando</v>
      </c>
      <c r="V1753" t="str">
        <f t="shared" si="249"/>
        <v>GALLERIA</v>
      </c>
      <c r="W1753" t="str">
        <f t="shared" si="250"/>
        <v>GALLERIA SAN GIULIANO</v>
      </c>
      <c r="Z1753" t="str">
        <f t="shared" si="251"/>
        <v>10.220.80.16</v>
      </c>
    </row>
    <row r="1754" spans="1:26" x14ac:dyDescent="0.25">
      <c r="A1754" t="s">
        <v>10</v>
      </c>
      <c r="B1754" t="s">
        <v>1063</v>
      </c>
      <c r="C1754" t="s">
        <v>2173</v>
      </c>
      <c r="D1754" t="s">
        <v>1619</v>
      </c>
      <c r="E1754" t="s">
        <v>2625</v>
      </c>
      <c r="F1754" t="s">
        <v>2577</v>
      </c>
      <c r="G1754" t="s">
        <v>2531</v>
      </c>
      <c r="H1754" t="s">
        <v>22</v>
      </c>
      <c r="I1754">
        <v>147</v>
      </c>
      <c r="J1754" t="s">
        <v>2631</v>
      </c>
      <c r="K1754">
        <f t="shared" si="243"/>
        <v>147</v>
      </c>
      <c r="N1754" t="str">
        <f t="shared" si="244"/>
        <v>Coil</v>
      </c>
      <c r="O1754" t="str">
        <f t="shared" si="245"/>
        <v>BOOL</v>
      </c>
      <c r="P1754" t="str">
        <f t="shared" si="246"/>
        <v>TELECAMERA T011S</v>
      </c>
      <c r="R1754" t="str">
        <f t="shared" si="247"/>
        <v>T011S -Includi Allarmi Traffico</v>
      </c>
      <c r="U1754" t="str">
        <f t="shared" si="248"/>
        <v>Comando</v>
      </c>
      <c r="V1754" t="str">
        <f t="shared" si="249"/>
        <v>GALLERIA</v>
      </c>
      <c r="W1754" t="str">
        <f t="shared" si="250"/>
        <v>GALLERIA SAN GIULIANO</v>
      </c>
      <c r="Z1754" t="str">
        <f t="shared" si="251"/>
        <v>10.220.80.16</v>
      </c>
    </row>
    <row r="1755" spans="1:26" x14ac:dyDescent="0.25">
      <c r="A1755" t="s">
        <v>10</v>
      </c>
      <c r="B1755" t="s">
        <v>1063</v>
      </c>
      <c r="C1755" t="s">
        <v>2173</v>
      </c>
      <c r="D1755" t="s">
        <v>1619</v>
      </c>
      <c r="E1755" t="s">
        <v>2625</v>
      </c>
      <c r="F1755" t="s">
        <v>2577</v>
      </c>
      <c r="G1755" t="s">
        <v>2531</v>
      </c>
      <c r="H1755" t="s">
        <v>22</v>
      </c>
      <c r="I1755">
        <v>148</v>
      </c>
      <c r="J1755" t="s">
        <v>2632</v>
      </c>
      <c r="K1755">
        <f t="shared" si="243"/>
        <v>148</v>
      </c>
      <c r="N1755" t="str">
        <f t="shared" si="244"/>
        <v>Coil</v>
      </c>
      <c r="O1755" t="str">
        <f t="shared" si="245"/>
        <v>BOOL</v>
      </c>
      <c r="P1755" t="str">
        <f t="shared" si="246"/>
        <v>TELECAMERA T011S</v>
      </c>
      <c r="R1755" t="str">
        <f t="shared" si="247"/>
        <v>T011S -Reset Allarmi Telecamera</v>
      </c>
      <c r="U1755" t="str">
        <f t="shared" si="248"/>
        <v>Comando</v>
      </c>
      <c r="V1755" t="str">
        <f t="shared" si="249"/>
        <v>GALLERIA</v>
      </c>
      <c r="W1755" t="str">
        <f t="shared" si="250"/>
        <v>GALLERIA SAN GIULIANO</v>
      </c>
      <c r="Z1755" t="str">
        <f t="shared" si="251"/>
        <v>10.220.80.16</v>
      </c>
    </row>
    <row r="1756" spans="1:26" x14ac:dyDescent="0.25">
      <c r="A1756" t="s">
        <v>10</v>
      </c>
      <c r="B1756" t="s">
        <v>1063</v>
      </c>
      <c r="C1756" t="s">
        <v>2173</v>
      </c>
      <c r="D1756" t="s">
        <v>1619</v>
      </c>
      <c r="E1756" t="s">
        <v>2633</v>
      </c>
      <c r="F1756" t="s">
        <v>2577</v>
      </c>
      <c r="G1756" t="s">
        <v>2531</v>
      </c>
      <c r="H1756" t="s">
        <v>22</v>
      </c>
      <c r="I1756">
        <v>149</v>
      </c>
      <c r="J1756" t="s">
        <v>2634</v>
      </c>
      <c r="K1756">
        <f t="shared" si="243"/>
        <v>149</v>
      </c>
      <c r="N1756" t="str">
        <f t="shared" si="244"/>
        <v>Coil</v>
      </c>
      <c r="O1756" t="str">
        <f t="shared" si="245"/>
        <v>BOOL</v>
      </c>
      <c r="P1756" t="str">
        <f t="shared" si="246"/>
        <v>TELECAMERA T012S</v>
      </c>
      <c r="R1756" t="str">
        <f t="shared" si="247"/>
        <v>T012S -Escludi Allarmi Telecamera</v>
      </c>
      <c r="U1756" t="str">
        <f t="shared" si="248"/>
        <v>Comando</v>
      </c>
      <c r="V1756" t="str">
        <f t="shared" si="249"/>
        <v>GALLERIA</v>
      </c>
      <c r="W1756" t="str">
        <f t="shared" si="250"/>
        <v>GALLERIA SAN GIULIANO</v>
      </c>
      <c r="Z1756" t="str">
        <f t="shared" si="251"/>
        <v>10.220.80.16</v>
      </c>
    </row>
    <row r="1757" spans="1:26" x14ac:dyDescent="0.25">
      <c r="A1757" t="s">
        <v>10</v>
      </c>
      <c r="B1757" t="s">
        <v>1063</v>
      </c>
      <c r="C1757" t="s">
        <v>2173</v>
      </c>
      <c r="D1757" t="s">
        <v>1619</v>
      </c>
      <c r="E1757" t="s">
        <v>2633</v>
      </c>
      <c r="F1757" t="s">
        <v>2577</v>
      </c>
      <c r="G1757" t="s">
        <v>2531</v>
      </c>
      <c r="H1757" t="s">
        <v>22</v>
      </c>
      <c r="I1757">
        <v>150</v>
      </c>
      <c r="J1757" t="s">
        <v>2635</v>
      </c>
      <c r="K1757">
        <f t="shared" si="243"/>
        <v>150</v>
      </c>
      <c r="N1757" t="str">
        <f t="shared" si="244"/>
        <v>Coil</v>
      </c>
      <c r="O1757" t="str">
        <f t="shared" si="245"/>
        <v>BOOL</v>
      </c>
      <c r="P1757" t="str">
        <f t="shared" si="246"/>
        <v>TELECAMERA T012S</v>
      </c>
      <c r="R1757" t="str">
        <f t="shared" si="247"/>
        <v>T012S -Includi Allarmi Telecamera</v>
      </c>
      <c r="U1757" t="str">
        <f t="shared" si="248"/>
        <v>Comando</v>
      </c>
      <c r="V1757" t="str">
        <f t="shared" si="249"/>
        <v>GALLERIA</v>
      </c>
      <c r="W1757" t="str">
        <f t="shared" si="250"/>
        <v>GALLERIA SAN GIULIANO</v>
      </c>
      <c r="Z1757" t="str">
        <f t="shared" si="251"/>
        <v>10.220.80.16</v>
      </c>
    </row>
    <row r="1758" spans="1:26" x14ac:dyDescent="0.25">
      <c r="A1758" t="s">
        <v>10</v>
      </c>
      <c r="B1758" t="s">
        <v>1063</v>
      </c>
      <c r="C1758" t="s">
        <v>2173</v>
      </c>
      <c r="D1758" t="s">
        <v>1619</v>
      </c>
      <c r="E1758" t="s">
        <v>2633</v>
      </c>
      <c r="F1758" t="s">
        <v>2577</v>
      </c>
      <c r="G1758" t="s">
        <v>2531</v>
      </c>
      <c r="H1758" t="s">
        <v>22</v>
      </c>
      <c r="I1758">
        <v>151</v>
      </c>
      <c r="J1758" t="s">
        <v>2636</v>
      </c>
      <c r="K1758">
        <f t="shared" si="243"/>
        <v>151</v>
      </c>
      <c r="N1758" t="str">
        <f t="shared" si="244"/>
        <v>Coil</v>
      </c>
      <c r="O1758" t="str">
        <f t="shared" si="245"/>
        <v>BOOL</v>
      </c>
      <c r="P1758" t="str">
        <f t="shared" si="246"/>
        <v>TELECAMERA T012S</v>
      </c>
      <c r="R1758" t="str">
        <f t="shared" si="247"/>
        <v>T012S -Escludi Allarme Fumo</v>
      </c>
      <c r="U1758" t="str">
        <f t="shared" si="248"/>
        <v>Comando</v>
      </c>
      <c r="V1758" t="str">
        <f t="shared" si="249"/>
        <v>GALLERIA</v>
      </c>
      <c r="W1758" t="str">
        <f t="shared" si="250"/>
        <v>GALLERIA SAN GIULIANO</v>
      </c>
      <c r="Z1758" t="str">
        <f t="shared" si="251"/>
        <v>10.220.80.16</v>
      </c>
    </row>
    <row r="1759" spans="1:26" x14ac:dyDescent="0.25">
      <c r="A1759" t="s">
        <v>10</v>
      </c>
      <c r="B1759" t="s">
        <v>1063</v>
      </c>
      <c r="C1759" t="s">
        <v>2173</v>
      </c>
      <c r="D1759" t="s">
        <v>1619</v>
      </c>
      <c r="E1759" t="s">
        <v>2633</v>
      </c>
      <c r="F1759" t="s">
        <v>2577</v>
      </c>
      <c r="G1759" t="s">
        <v>2531</v>
      </c>
      <c r="H1759" t="s">
        <v>22</v>
      </c>
      <c r="I1759">
        <v>152</v>
      </c>
      <c r="J1759" t="s">
        <v>2637</v>
      </c>
      <c r="K1759">
        <f t="shared" si="243"/>
        <v>152</v>
      </c>
      <c r="N1759" t="str">
        <f t="shared" si="244"/>
        <v>Coil</v>
      </c>
      <c r="O1759" t="str">
        <f t="shared" si="245"/>
        <v>BOOL</v>
      </c>
      <c r="P1759" t="str">
        <f t="shared" si="246"/>
        <v>TELECAMERA T012S</v>
      </c>
      <c r="R1759" t="str">
        <f t="shared" si="247"/>
        <v>T012S -Includi Allarme Fumo</v>
      </c>
      <c r="U1759" t="str">
        <f t="shared" si="248"/>
        <v>Comando</v>
      </c>
      <c r="V1759" t="str">
        <f t="shared" si="249"/>
        <v>GALLERIA</v>
      </c>
      <c r="W1759" t="str">
        <f t="shared" si="250"/>
        <v>GALLERIA SAN GIULIANO</v>
      </c>
      <c r="Z1759" t="str">
        <f t="shared" si="251"/>
        <v>10.220.80.16</v>
      </c>
    </row>
    <row r="1760" spans="1:26" x14ac:dyDescent="0.25">
      <c r="A1760" t="s">
        <v>10</v>
      </c>
      <c r="B1760" t="s">
        <v>1063</v>
      </c>
      <c r="C1760" t="s">
        <v>2173</v>
      </c>
      <c r="D1760" t="s">
        <v>1619</v>
      </c>
      <c r="E1760" t="s">
        <v>2633</v>
      </c>
      <c r="F1760" t="s">
        <v>2577</v>
      </c>
      <c r="G1760" t="s">
        <v>2531</v>
      </c>
      <c r="H1760" t="s">
        <v>22</v>
      </c>
      <c r="I1760">
        <v>153</v>
      </c>
      <c r="J1760" t="s">
        <v>2638</v>
      </c>
      <c r="K1760">
        <f t="shared" si="243"/>
        <v>153</v>
      </c>
      <c r="N1760" t="str">
        <f t="shared" si="244"/>
        <v>Coil</v>
      </c>
      <c r="O1760" t="str">
        <f t="shared" si="245"/>
        <v>BOOL</v>
      </c>
      <c r="P1760" t="str">
        <f t="shared" si="246"/>
        <v>TELECAMERA T012S</v>
      </c>
      <c r="R1760" t="str">
        <f t="shared" si="247"/>
        <v>T012S -EScludi Allarmi Traffico</v>
      </c>
      <c r="U1760" t="str">
        <f t="shared" si="248"/>
        <v>Comando</v>
      </c>
      <c r="V1760" t="str">
        <f t="shared" si="249"/>
        <v>GALLERIA</v>
      </c>
      <c r="W1760" t="str">
        <f t="shared" si="250"/>
        <v>GALLERIA SAN GIULIANO</v>
      </c>
      <c r="Z1760" t="str">
        <f t="shared" si="251"/>
        <v>10.220.80.16</v>
      </c>
    </row>
    <row r="1761" spans="1:26" x14ac:dyDescent="0.25">
      <c r="A1761" t="s">
        <v>10</v>
      </c>
      <c r="B1761" t="s">
        <v>1063</v>
      </c>
      <c r="C1761" t="s">
        <v>2173</v>
      </c>
      <c r="D1761" t="s">
        <v>1619</v>
      </c>
      <c r="E1761" t="s">
        <v>2633</v>
      </c>
      <c r="F1761" t="s">
        <v>2577</v>
      </c>
      <c r="G1761" t="s">
        <v>2531</v>
      </c>
      <c r="H1761" t="s">
        <v>22</v>
      </c>
      <c r="I1761">
        <v>154</v>
      </c>
      <c r="J1761" t="s">
        <v>2639</v>
      </c>
      <c r="K1761">
        <f t="shared" si="243"/>
        <v>154</v>
      </c>
      <c r="N1761" t="str">
        <f t="shared" si="244"/>
        <v>Coil</v>
      </c>
      <c r="O1761" t="str">
        <f t="shared" si="245"/>
        <v>BOOL</v>
      </c>
      <c r="P1761" t="str">
        <f t="shared" si="246"/>
        <v>TELECAMERA T012S</v>
      </c>
      <c r="R1761" t="str">
        <f t="shared" si="247"/>
        <v>T012S -Includi Allarmi Traffico</v>
      </c>
      <c r="U1761" t="str">
        <f t="shared" si="248"/>
        <v>Comando</v>
      </c>
      <c r="V1761" t="str">
        <f t="shared" si="249"/>
        <v>GALLERIA</v>
      </c>
      <c r="W1761" t="str">
        <f t="shared" si="250"/>
        <v>GALLERIA SAN GIULIANO</v>
      </c>
      <c r="Z1761" t="str">
        <f t="shared" si="251"/>
        <v>10.220.80.16</v>
      </c>
    </row>
    <row r="1762" spans="1:26" x14ac:dyDescent="0.25">
      <c r="A1762" t="s">
        <v>10</v>
      </c>
      <c r="B1762" t="s">
        <v>1063</v>
      </c>
      <c r="C1762" t="s">
        <v>2173</v>
      </c>
      <c r="D1762" t="s">
        <v>1619</v>
      </c>
      <c r="E1762" t="s">
        <v>2633</v>
      </c>
      <c r="F1762" t="s">
        <v>2577</v>
      </c>
      <c r="G1762" t="s">
        <v>2531</v>
      </c>
      <c r="H1762" t="s">
        <v>22</v>
      </c>
      <c r="I1762">
        <v>155</v>
      </c>
      <c r="J1762" t="s">
        <v>2640</v>
      </c>
      <c r="K1762">
        <f t="shared" si="243"/>
        <v>155</v>
      </c>
      <c r="N1762" t="str">
        <f t="shared" si="244"/>
        <v>Coil</v>
      </c>
      <c r="O1762" t="str">
        <f t="shared" si="245"/>
        <v>BOOL</v>
      </c>
      <c r="P1762" t="str">
        <f t="shared" si="246"/>
        <v>TELECAMERA T012S</v>
      </c>
      <c r="R1762" t="str">
        <f t="shared" si="247"/>
        <v>T012S -Reset Allarmi Telecamera</v>
      </c>
      <c r="U1762" t="str">
        <f t="shared" si="248"/>
        <v>Comando</v>
      </c>
      <c r="V1762" t="str">
        <f t="shared" si="249"/>
        <v>GALLERIA</v>
      </c>
      <c r="W1762" t="str">
        <f t="shared" si="250"/>
        <v>GALLERIA SAN GIULIANO</v>
      </c>
      <c r="Z1762" t="str">
        <f t="shared" si="251"/>
        <v>10.220.80.16</v>
      </c>
    </row>
    <row r="1763" spans="1:26" x14ac:dyDescent="0.25">
      <c r="A1763" t="s">
        <v>10</v>
      </c>
      <c r="B1763" t="s">
        <v>1063</v>
      </c>
      <c r="C1763" t="s">
        <v>2173</v>
      </c>
      <c r="D1763" t="s">
        <v>1619</v>
      </c>
      <c r="E1763" t="s">
        <v>2641</v>
      </c>
      <c r="F1763" t="s">
        <v>2577</v>
      </c>
      <c r="G1763" t="s">
        <v>2531</v>
      </c>
      <c r="H1763" t="s">
        <v>22</v>
      </c>
      <c r="I1763">
        <v>156</v>
      </c>
      <c r="J1763" t="s">
        <v>2642</v>
      </c>
      <c r="K1763">
        <f t="shared" si="243"/>
        <v>156</v>
      </c>
      <c r="N1763" t="str">
        <f t="shared" si="244"/>
        <v>Coil</v>
      </c>
      <c r="O1763" t="str">
        <f t="shared" si="245"/>
        <v>BOOL</v>
      </c>
      <c r="P1763" t="str">
        <f t="shared" si="246"/>
        <v xml:space="preserve">TELECAMERA T13N </v>
      </c>
      <c r="R1763" t="str">
        <f t="shared" si="247"/>
        <v>T13N -Escludi Allarmi Telecamera</v>
      </c>
      <c r="U1763" t="str">
        <f t="shared" si="248"/>
        <v>Comando</v>
      </c>
      <c r="V1763" t="str">
        <f t="shared" si="249"/>
        <v>GALLERIA</v>
      </c>
      <c r="W1763" t="str">
        <f t="shared" si="250"/>
        <v>GALLERIA SAN GIULIANO</v>
      </c>
      <c r="Z1763" t="str">
        <f t="shared" si="251"/>
        <v>10.220.80.16</v>
      </c>
    </row>
    <row r="1764" spans="1:26" x14ac:dyDescent="0.25">
      <c r="A1764" t="s">
        <v>10</v>
      </c>
      <c r="B1764" t="s">
        <v>1063</v>
      </c>
      <c r="C1764" t="s">
        <v>2173</v>
      </c>
      <c r="D1764" t="s">
        <v>1619</v>
      </c>
      <c r="E1764" t="s">
        <v>2641</v>
      </c>
      <c r="F1764" t="s">
        <v>2577</v>
      </c>
      <c r="G1764" t="s">
        <v>2531</v>
      </c>
      <c r="H1764" t="s">
        <v>22</v>
      </c>
      <c r="I1764">
        <v>157</v>
      </c>
      <c r="J1764" t="s">
        <v>2643</v>
      </c>
      <c r="K1764">
        <f t="shared" si="243"/>
        <v>157</v>
      </c>
      <c r="N1764" t="str">
        <f t="shared" si="244"/>
        <v>Coil</v>
      </c>
      <c r="O1764" t="str">
        <f t="shared" si="245"/>
        <v>BOOL</v>
      </c>
      <c r="P1764" t="str">
        <f t="shared" si="246"/>
        <v xml:space="preserve">TELECAMERA T13N </v>
      </c>
      <c r="R1764" t="str">
        <f t="shared" si="247"/>
        <v>T13N -Includi Allarmi Telecamera</v>
      </c>
      <c r="U1764" t="str">
        <f t="shared" si="248"/>
        <v>Comando</v>
      </c>
      <c r="V1764" t="str">
        <f t="shared" si="249"/>
        <v>GALLERIA</v>
      </c>
      <c r="W1764" t="str">
        <f t="shared" si="250"/>
        <v>GALLERIA SAN GIULIANO</v>
      </c>
      <c r="Z1764" t="str">
        <f t="shared" si="251"/>
        <v>10.220.80.16</v>
      </c>
    </row>
    <row r="1765" spans="1:26" x14ac:dyDescent="0.25">
      <c r="A1765" t="s">
        <v>10</v>
      </c>
      <c r="B1765" t="s">
        <v>1063</v>
      </c>
      <c r="C1765" t="s">
        <v>2173</v>
      </c>
      <c r="D1765" t="s">
        <v>1619</v>
      </c>
      <c r="E1765" t="s">
        <v>2641</v>
      </c>
      <c r="F1765" t="s">
        <v>2577</v>
      </c>
      <c r="G1765" t="s">
        <v>2531</v>
      </c>
      <c r="H1765" t="s">
        <v>22</v>
      </c>
      <c r="I1765">
        <v>158</v>
      </c>
      <c r="J1765" t="s">
        <v>2644</v>
      </c>
      <c r="K1765">
        <f t="shared" si="243"/>
        <v>158</v>
      </c>
      <c r="N1765" t="str">
        <f t="shared" si="244"/>
        <v>Coil</v>
      </c>
      <c r="O1765" t="str">
        <f t="shared" si="245"/>
        <v>BOOL</v>
      </c>
      <c r="P1765" t="str">
        <f t="shared" si="246"/>
        <v xml:space="preserve">TELECAMERA T13N </v>
      </c>
      <c r="R1765" t="str">
        <f t="shared" si="247"/>
        <v>T13N -Escludi Allarme Fumo</v>
      </c>
      <c r="U1765" t="str">
        <f t="shared" si="248"/>
        <v>Comando</v>
      </c>
      <c r="V1765" t="str">
        <f t="shared" si="249"/>
        <v>GALLERIA</v>
      </c>
      <c r="W1765" t="str">
        <f t="shared" si="250"/>
        <v>GALLERIA SAN GIULIANO</v>
      </c>
      <c r="Z1765" t="str">
        <f t="shared" si="251"/>
        <v>10.220.80.16</v>
      </c>
    </row>
    <row r="1766" spans="1:26" x14ac:dyDescent="0.25">
      <c r="A1766" t="s">
        <v>10</v>
      </c>
      <c r="B1766" t="s">
        <v>1063</v>
      </c>
      <c r="C1766" t="s">
        <v>2173</v>
      </c>
      <c r="D1766" t="s">
        <v>1619</v>
      </c>
      <c r="E1766" t="s">
        <v>2641</v>
      </c>
      <c r="F1766" t="s">
        <v>2577</v>
      </c>
      <c r="G1766" t="s">
        <v>2531</v>
      </c>
      <c r="H1766" t="s">
        <v>22</v>
      </c>
      <c r="I1766">
        <v>159</v>
      </c>
      <c r="J1766" t="s">
        <v>2645</v>
      </c>
      <c r="K1766">
        <f t="shared" si="243"/>
        <v>159</v>
      </c>
      <c r="N1766" t="str">
        <f t="shared" si="244"/>
        <v>Coil</v>
      </c>
      <c r="O1766" t="str">
        <f t="shared" si="245"/>
        <v>BOOL</v>
      </c>
      <c r="P1766" t="str">
        <f t="shared" si="246"/>
        <v xml:space="preserve">TELECAMERA T13N </v>
      </c>
      <c r="R1766" t="str">
        <f t="shared" si="247"/>
        <v>T13N -Includi Allarme Fumo</v>
      </c>
      <c r="U1766" t="str">
        <f t="shared" si="248"/>
        <v>Comando</v>
      </c>
      <c r="V1766" t="str">
        <f t="shared" si="249"/>
        <v>GALLERIA</v>
      </c>
      <c r="W1766" t="str">
        <f t="shared" si="250"/>
        <v>GALLERIA SAN GIULIANO</v>
      </c>
      <c r="Z1766" t="str">
        <f t="shared" si="251"/>
        <v>10.220.80.16</v>
      </c>
    </row>
    <row r="1767" spans="1:26" x14ac:dyDescent="0.25">
      <c r="A1767" t="s">
        <v>10</v>
      </c>
      <c r="B1767" t="s">
        <v>1063</v>
      </c>
      <c r="C1767" t="s">
        <v>2173</v>
      </c>
      <c r="D1767" t="s">
        <v>1619</v>
      </c>
      <c r="E1767" t="s">
        <v>2641</v>
      </c>
      <c r="F1767" t="s">
        <v>2577</v>
      </c>
      <c r="G1767" t="s">
        <v>2531</v>
      </c>
      <c r="H1767" t="s">
        <v>22</v>
      </c>
      <c r="I1767">
        <v>160</v>
      </c>
      <c r="J1767" t="s">
        <v>2646</v>
      </c>
      <c r="K1767">
        <f t="shared" si="243"/>
        <v>160</v>
      </c>
      <c r="N1767" t="str">
        <f t="shared" si="244"/>
        <v>Coil</v>
      </c>
      <c r="O1767" t="str">
        <f t="shared" si="245"/>
        <v>BOOL</v>
      </c>
      <c r="P1767" t="str">
        <f t="shared" si="246"/>
        <v xml:space="preserve">TELECAMERA T13N </v>
      </c>
      <c r="R1767" t="str">
        <f t="shared" si="247"/>
        <v>T13N -EScludi Allarmi Traffico</v>
      </c>
      <c r="U1767" t="str">
        <f t="shared" si="248"/>
        <v>Comando</v>
      </c>
      <c r="V1767" t="str">
        <f t="shared" si="249"/>
        <v>GALLERIA</v>
      </c>
      <c r="W1767" t="str">
        <f t="shared" si="250"/>
        <v>GALLERIA SAN GIULIANO</v>
      </c>
      <c r="Z1767" t="str">
        <f t="shared" si="251"/>
        <v>10.220.80.16</v>
      </c>
    </row>
    <row r="1768" spans="1:26" x14ac:dyDescent="0.25">
      <c r="A1768" t="s">
        <v>10</v>
      </c>
      <c r="B1768" t="s">
        <v>1063</v>
      </c>
      <c r="C1768" t="s">
        <v>2173</v>
      </c>
      <c r="D1768" t="s">
        <v>1619</v>
      </c>
      <c r="E1768" t="s">
        <v>2641</v>
      </c>
      <c r="F1768" t="s">
        <v>2577</v>
      </c>
      <c r="G1768" t="s">
        <v>2531</v>
      </c>
      <c r="H1768" t="s">
        <v>22</v>
      </c>
      <c r="I1768">
        <v>161</v>
      </c>
      <c r="J1768" t="s">
        <v>2647</v>
      </c>
      <c r="K1768">
        <f t="shared" si="243"/>
        <v>161</v>
      </c>
      <c r="N1768" t="str">
        <f t="shared" si="244"/>
        <v>Coil</v>
      </c>
      <c r="O1768" t="str">
        <f t="shared" si="245"/>
        <v>BOOL</v>
      </c>
      <c r="P1768" t="str">
        <f t="shared" si="246"/>
        <v xml:space="preserve">TELECAMERA T13N </v>
      </c>
      <c r="R1768" t="str">
        <f t="shared" si="247"/>
        <v>T13N -Includi Allarmi Traffico</v>
      </c>
      <c r="U1768" t="str">
        <f t="shared" si="248"/>
        <v>Comando</v>
      </c>
      <c r="V1768" t="str">
        <f t="shared" si="249"/>
        <v>GALLERIA</v>
      </c>
      <c r="W1768" t="str">
        <f t="shared" si="250"/>
        <v>GALLERIA SAN GIULIANO</v>
      </c>
      <c r="Z1768" t="str">
        <f t="shared" si="251"/>
        <v>10.220.80.16</v>
      </c>
    </row>
    <row r="1769" spans="1:26" x14ac:dyDescent="0.25">
      <c r="A1769" t="s">
        <v>10</v>
      </c>
      <c r="B1769" t="s">
        <v>1063</v>
      </c>
      <c r="C1769" t="s">
        <v>2173</v>
      </c>
      <c r="D1769" t="s">
        <v>1619</v>
      </c>
      <c r="E1769" t="s">
        <v>2641</v>
      </c>
      <c r="F1769" t="s">
        <v>2577</v>
      </c>
      <c r="G1769" t="s">
        <v>2531</v>
      </c>
      <c r="H1769" t="s">
        <v>22</v>
      </c>
      <c r="I1769">
        <v>162</v>
      </c>
      <c r="J1769" t="s">
        <v>2648</v>
      </c>
      <c r="K1769">
        <f t="shared" si="243"/>
        <v>162</v>
      </c>
      <c r="N1769" t="str">
        <f t="shared" si="244"/>
        <v>Coil</v>
      </c>
      <c r="O1769" t="str">
        <f t="shared" si="245"/>
        <v>BOOL</v>
      </c>
      <c r="P1769" t="str">
        <f t="shared" si="246"/>
        <v xml:space="preserve">TELECAMERA T13N </v>
      </c>
      <c r="R1769" t="str">
        <f t="shared" si="247"/>
        <v>T13N -Reset Allarmi Telecamera</v>
      </c>
      <c r="U1769" t="str">
        <f t="shared" si="248"/>
        <v>Comando</v>
      </c>
      <c r="V1769" t="str">
        <f t="shared" si="249"/>
        <v>GALLERIA</v>
      </c>
      <c r="W1769" t="str">
        <f t="shared" si="250"/>
        <v>GALLERIA SAN GIULIANO</v>
      </c>
      <c r="Z1769" t="str">
        <f t="shared" si="251"/>
        <v>10.220.80.16</v>
      </c>
    </row>
    <row r="1770" spans="1:26" x14ac:dyDescent="0.25">
      <c r="A1770" t="s">
        <v>10</v>
      </c>
      <c r="B1770" t="s">
        <v>1063</v>
      </c>
      <c r="C1770" t="s">
        <v>2173</v>
      </c>
      <c r="D1770" t="s">
        <v>1619</v>
      </c>
      <c r="E1770" t="s">
        <v>2649</v>
      </c>
      <c r="F1770" t="s">
        <v>2577</v>
      </c>
      <c r="G1770" t="s">
        <v>2531</v>
      </c>
      <c r="H1770" t="s">
        <v>22</v>
      </c>
      <c r="I1770">
        <v>163</v>
      </c>
      <c r="J1770" t="s">
        <v>2650</v>
      </c>
      <c r="K1770">
        <f t="shared" si="243"/>
        <v>163</v>
      </c>
      <c r="N1770" t="str">
        <f t="shared" si="244"/>
        <v>Coil</v>
      </c>
      <c r="O1770" t="str">
        <f t="shared" si="245"/>
        <v>BOOL</v>
      </c>
      <c r="P1770" t="str">
        <f t="shared" si="246"/>
        <v xml:space="preserve">TELECAMERA T14N </v>
      </c>
      <c r="R1770" t="str">
        <f t="shared" si="247"/>
        <v>T14N -Escludi Allarmi Telecamera</v>
      </c>
      <c r="U1770" t="str">
        <f t="shared" si="248"/>
        <v>Comando</v>
      </c>
      <c r="V1770" t="str">
        <f t="shared" si="249"/>
        <v>GALLERIA</v>
      </c>
      <c r="W1770" t="str">
        <f t="shared" si="250"/>
        <v>GALLERIA SAN GIULIANO</v>
      </c>
      <c r="Z1770" t="str">
        <f t="shared" si="251"/>
        <v>10.220.80.16</v>
      </c>
    </row>
    <row r="1771" spans="1:26" x14ac:dyDescent="0.25">
      <c r="A1771" t="s">
        <v>10</v>
      </c>
      <c r="B1771" t="s">
        <v>1063</v>
      </c>
      <c r="C1771" t="s">
        <v>2173</v>
      </c>
      <c r="D1771" t="s">
        <v>1619</v>
      </c>
      <c r="E1771" t="s">
        <v>2649</v>
      </c>
      <c r="F1771" t="s">
        <v>2577</v>
      </c>
      <c r="G1771" t="s">
        <v>2531</v>
      </c>
      <c r="H1771" t="s">
        <v>22</v>
      </c>
      <c r="I1771">
        <v>164</v>
      </c>
      <c r="J1771" t="s">
        <v>2651</v>
      </c>
      <c r="K1771">
        <f t="shared" si="243"/>
        <v>164</v>
      </c>
      <c r="N1771" t="str">
        <f t="shared" si="244"/>
        <v>Coil</v>
      </c>
      <c r="O1771" t="str">
        <f t="shared" si="245"/>
        <v>BOOL</v>
      </c>
      <c r="P1771" t="str">
        <f t="shared" si="246"/>
        <v xml:space="preserve">TELECAMERA T14N </v>
      </c>
      <c r="R1771" t="str">
        <f t="shared" si="247"/>
        <v>T14N -Includi Allarmi Telecamera</v>
      </c>
      <c r="U1771" t="str">
        <f t="shared" si="248"/>
        <v>Comando</v>
      </c>
      <c r="V1771" t="str">
        <f t="shared" si="249"/>
        <v>GALLERIA</v>
      </c>
      <c r="W1771" t="str">
        <f t="shared" si="250"/>
        <v>GALLERIA SAN GIULIANO</v>
      </c>
      <c r="Z1771" t="str">
        <f t="shared" si="251"/>
        <v>10.220.80.16</v>
      </c>
    </row>
    <row r="1772" spans="1:26" x14ac:dyDescent="0.25">
      <c r="A1772" t="s">
        <v>10</v>
      </c>
      <c r="B1772" t="s">
        <v>1063</v>
      </c>
      <c r="C1772" t="s">
        <v>2173</v>
      </c>
      <c r="D1772" t="s">
        <v>1619</v>
      </c>
      <c r="E1772" t="s">
        <v>2649</v>
      </c>
      <c r="F1772" t="s">
        <v>2577</v>
      </c>
      <c r="G1772" t="s">
        <v>2531</v>
      </c>
      <c r="H1772" t="s">
        <v>22</v>
      </c>
      <c r="I1772">
        <v>165</v>
      </c>
      <c r="J1772" t="s">
        <v>2652</v>
      </c>
      <c r="K1772">
        <f t="shared" si="243"/>
        <v>165</v>
      </c>
      <c r="N1772" t="str">
        <f t="shared" si="244"/>
        <v>Coil</v>
      </c>
      <c r="O1772" t="str">
        <f t="shared" si="245"/>
        <v>BOOL</v>
      </c>
      <c r="P1772" t="str">
        <f t="shared" si="246"/>
        <v xml:space="preserve">TELECAMERA T14N </v>
      </c>
      <c r="R1772" t="str">
        <f t="shared" si="247"/>
        <v>T14N -Escludi Allarme Fumo</v>
      </c>
      <c r="U1772" t="str">
        <f t="shared" si="248"/>
        <v>Comando</v>
      </c>
      <c r="V1772" t="str">
        <f t="shared" si="249"/>
        <v>GALLERIA</v>
      </c>
      <c r="W1772" t="str">
        <f t="shared" si="250"/>
        <v>GALLERIA SAN GIULIANO</v>
      </c>
      <c r="Z1772" t="str">
        <f t="shared" si="251"/>
        <v>10.220.80.16</v>
      </c>
    </row>
    <row r="1773" spans="1:26" x14ac:dyDescent="0.25">
      <c r="A1773" t="s">
        <v>10</v>
      </c>
      <c r="B1773" t="s">
        <v>1063</v>
      </c>
      <c r="C1773" t="s">
        <v>2173</v>
      </c>
      <c r="D1773" t="s">
        <v>1619</v>
      </c>
      <c r="E1773" t="s">
        <v>2649</v>
      </c>
      <c r="F1773" t="s">
        <v>2577</v>
      </c>
      <c r="G1773" t="s">
        <v>2531</v>
      </c>
      <c r="H1773" t="s">
        <v>22</v>
      </c>
      <c r="I1773">
        <v>166</v>
      </c>
      <c r="J1773" t="s">
        <v>2653</v>
      </c>
      <c r="K1773">
        <f t="shared" si="243"/>
        <v>166</v>
      </c>
      <c r="N1773" t="str">
        <f t="shared" si="244"/>
        <v>Coil</v>
      </c>
      <c r="O1773" t="str">
        <f t="shared" si="245"/>
        <v>BOOL</v>
      </c>
      <c r="P1773" t="str">
        <f t="shared" si="246"/>
        <v xml:space="preserve">TELECAMERA T14N </v>
      </c>
      <c r="R1773" t="str">
        <f t="shared" si="247"/>
        <v>T14N -Includi Allarme Fumo</v>
      </c>
      <c r="U1773" t="str">
        <f t="shared" si="248"/>
        <v>Comando</v>
      </c>
      <c r="V1773" t="str">
        <f t="shared" si="249"/>
        <v>GALLERIA</v>
      </c>
      <c r="W1773" t="str">
        <f t="shared" si="250"/>
        <v>GALLERIA SAN GIULIANO</v>
      </c>
      <c r="Z1773" t="str">
        <f t="shared" si="251"/>
        <v>10.220.80.16</v>
      </c>
    </row>
    <row r="1774" spans="1:26" x14ac:dyDescent="0.25">
      <c r="A1774" t="s">
        <v>10</v>
      </c>
      <c r="B1774" t="s">
        <v>1063</v>
      </c>
      <c r="C1774" t="s">
        <v>2173</v>
      </c>
      <c r="D1774" t="s">
        <v>1619</v>
      </c>
      <c r="E1774" t="s">
        <v>2649</v>
      </c>
      <c r="F1774" t="s">
        <v>2577</v>
      </c>
      <c r="G1774" t="s">
        <v>2531</v>
      </c>
      <c r="H1774" t="s">
        <v>22</v>
      </c>
      <c r="I1774">
        <v>167</v>
      </c>
      <c r="J1774" t="s">
        <v>2654</v>
      </c>
      <c r="K1774">
        <f t="shared" si="243"/>
        <v>167</v>
      </c>
      <c r="N1774" t="str">
        <f t="shared" si="244"/>
        <v>Coil</v>
      </c>
      <c r="O1774" t="str">
        <f t="shared" si="245"/>
        <v>BOOL</v>
      </c>
      <c r="P1774" t="str">
        <f t="shared" si="246"/>
        <v xml:space="preserve">TELECAMERA T14N </v>
      </c>
      <c r="R1774" t="str">
        <f t="shared" si="247"/>
        <v>T14N -EScludi Allarmi Traffico</v>
      </c>
      <c r="U1774" t="str">
        <f t="shared" si="248"/>
        <v>Comando</v>
      </c>
      <c r="V1774" t="str">
        <f t="shared" si="249"/>
        <v>GALLERIA</v>
      </c>
      <c r="W1774" t="str">
        <f t="shared" si="250"/>
        <v>GALLERIA SAN GIULIANO</v>
      </c>
      <c r="Z1774" t="str">
        <f t="shared" si="251"/>
        <v>10.220.80.16</v>
      </c>
    </row>
    <row r="1775" spans="1:26" x14ac:dyDescent="0.25">
      <c r="A1775" t="s">
        <v>10</v>
      </c>
      <c r="B1775" t="s">
        <v>1063</v>
      </c>
      <c r="C1775" t="s">
        <v>2173</v>
      </c>
      <c r="D1775" t="s">
        <v>1619</v>
      </c>
      <c r="E1775" t="s">
        <v>2649</v>
      </c>
      <c r="F1775" t="s">
        <v>2577</v>
      </c>
      <c r="G1775" t="s">
        <v>2531</v>
      </c>
      <c r="H1775" t="s">
        <v>22</v>
      </c>
      <c r="I1775">
        <v>168</v>
      </c>
      <c r="J1775" t="s">
        <v>2655</v>
      </c>
      <c r="K1775">
        <f t="shared" si="243"/>
        <v>168</v>
      </c>
      <c r="N1775" t="str">
        <f t="shared" si="244"/>
        <v>Coil</v>
      </c>
      <c r="O1775" t="str">
        <f t="shared" si="245"/>
        <v>BOOL</v>
      </c>
      <c r="P1775" t="str">
        <f t="shared" si="246"/>
        <v xml:space="preserve">TELECAMERA T14N </v>
      </c>
      <c r="R1775" t="str">
        <f t="shared" si="247"/>
        <v>T14N -Includi Allarmi Traffico</v>
      </c>
      <c r="U1775" t="str">
        <f t="shared" si="248"/>
        <v>Comando</v>
      </c>
      <c r="V1775" t="str">
        <f t="shared" si="249"/>
        <v>GALLERIA</v>
      </c>
      <c r="W1775" t="str">
        <f t="shared" si="250"/>
        <v>GALLERIA SAN GIULIANO</v>
      </c>
      <c r="Z1775" t="str">
        <f t="shared" si="251"/>
        <v>10.220.80.16</v>
      </c>
    </row>
    <row r="1776" spans="1:26" x14ac:dyDescent="0.25">
      <c r="A1776" t="s">
        <v>10</v>
      </c>
      <c r="B1776" t="s">
        <v>1063</v>
      </c>
      <c r="C1776" t="s">
        <v>2173</v>
      </c>
      <c r="D1776" t="s">
        <v>1619</v>
      </c>
      <c r="E1776" t="s">
        <v>2649</v>
      </c>
      <c r="F1776" t="s">
        <v>2577</v>
      </c>
      <c r="G1776" t="s">
        <v>2531</v>
      </c>
      <c r="H1776" t="s">
        <v>22</v>
      </c>
      <c r="I1776">
        <v>169</v>
      </c>
      <c r="J1776" t="s">
        <v>2656</v>
      </c>
      <c r="K1776">
        <f t="shared" si="243"/>
        <v>169</v>
      </c>
      <c r="N1776" t="str">
        <f t="shared" si="244"/>
        <v>Coil</v>
      </c>
      <c r="O1776" t="str">
        <f t="shared" si="245"/>
        <v>BOOL</v>
      </c>
      <c r="P1776" t="str">
        <f t="shared" si="246"/>
        <v xml:space="preserve">TELECAMERA T14N </v>
      </c>
      <c r="R1776" t="str">
        <f t="shared" si="247"/>
        <v>T14N -Reset Allarmi Telecamera</v>
      </c>
      <c r="U1776" t="str">
        <f t="shared" si="248"/>
        <v>Comando</v>
      </c>
      <c r="V1776" t="str">
        <f t="shared" si="249"/>
        <v>GALLERIA</v>
      </c>
      <c r="W1776" t="str">
        <f t="shared" si="250"/>
        <v>GALLERIA SAN GIULIANO</v>
      </c>
      <c r="Z1776" t="str">
        <f t="shared" si="251"/>
        <v>10.220.80.16</v>
      </c>
    </row>
    <row r="1777" spans="1:26" x14ac:dyDescent="0.25">
      <c r="A1777" t="s">
        <v>10</v>
      </c>
      <c r="B1777" t="s">
        <v>1063</v>
      </c>
      <c r="C1777" t="s">
        <v>2173</v>
      </c>
      <c r="D1777" t="s">
        <v>1619</v>
      </c>
      <c r="E1777" t="s">
        <v>2657</v>
      </c>
      <c r="F1777" t="s">
        <v>2577</v>
      </c>
      <c r="G1777" t="s">
        <v>2531</v>
      </c>
      <c r="H1777" t="s">
        <v>22</v>
      </c>
      <c r="I1777">
        <v>170</v>
      </c>
      <c r="J1777" t="s">
        <v>2658</v>
      </c>
      <c r="K1777">
        <f t="shared" si="243"/>
        <v>170</v>
      </c>
      <c r="N1777" t="str">
        <f t="shared" si="244"/>
        <v>Coil</v>
      </c>
      <c r="O1777" t="str">
        <f t="shared" si="245"/>
        <v>BOOL</v>
      </c>
      <c r="P1777" t="str">
        <f t="shared" si="246"/>
        <v xml:space="preserve">TELECAMERA T15N </v>
      </c>
      <c r="R1777" t="str">
        <f t="shared" si="247"/>
        <v>T15N -Escludi Allarmi Telecamera</v>
      </c>
      <c r="U1777" t="str">
        <f t="shared" si="248"/>
        <v>Comando</v>
      </c>
      <c r="V1777" t="str">
        <f t="shared" si="249"/>
        <v>GALLERIA</v>
      </c>
      <c r="W1777" t="str">
        <f t="shared" si="250"/>
        <v>GALLERIA SAN GIULIANO</v>
      </c>
      <c r="Z1777" t="str">
        <f t="shared" si="251"/>
        <v>10.220.80.16</v>
      </c>
    </row>
    <row r="1778" spans="1:26" x14ac:dyDescent="0.25">
      <c r="A1778" t="s">
        <v>10</v>
      </c>
      <c r="B1778" t="s">
        <v>1063</v>
      </c>
      <c r="C1778" t="s">
        <v>2173</v>
      </c>
      <c r="D1778" t="s">
        <v>1619</v>
      </c>
      <c r="E1778" t="s">
        <v>2657</v>
      </c>
      <c r="F1778" t="s">
        <v>2577</v>
      </c>
      <c r="G1778" t="s">
        <v>2531</v>
      </c>
      <c r="H1778" t="s">
        <v>22</v>
      </c>
      <c r="I1778">
        <v>171</v>
      </c>
      <c r="J1778" t="s">
        <v>2659</v>
      </c>
      <c r="K1778">
        <f t="shared" si="243"/>
        <v>171</v>
      </c>
      <c r="N1778" t="str">
        <f t="shared" si="244"/>
        <v>Coil</v>
      </c>
      <c r="O1778" t="str">
        <f t="shared" si="245"/>
        <v>BOOL</v>
      </c>
      <c r="P1778" t="str">
        <f t="shared" si="246"/>
        <v xml:space="preserve">TELECAMERA T15N </v>
      </c>
      <c r="R1778" t="str">
        <f t="shared" si="247"/>
        <v>T15N -Includi Allarmi Telecamera</v>
      </c>
      <c r="U1778" t="str">
        <f t="shared" si="248"/>
        <v>Comando</v>
      </c>
      <c r="V1778" t="str">
        <f t="shared" si="249"/>
        <v>GALLERIA</v>
      </c>
      <c r="W1778" t="str">
        <f t="shared" si="250"/>
        <v>GALLERIA SAN GIULIANO</v>
      </c>
      <c r="Z1778" t="str">
        <f t="shared" si="251"/>
        <v>10.220.80.16</v>
      </c>
    </row>
    <row r="1779" spans="1:26" x14ac:dyDescent="0.25">
      <c r="A1779" t="s">
        <v>10</v>
      </c>
      <c r="B1779" t="s">
        <v>1063</v>
      </c>
      <c r="C1779" t="s">
        <v>2173</v>
      </c>
      <c r="D1779" t="s">
        <v>1619</v>
      </c>
      <c r="E1779" t="s">
        <v>2657</v>
      </c>
      <c r="F1779" t="s">
        <v>2577</v>
      </c>
      <c r="G1779" t="s">
        <v>2531</v>
      </c>
      <c r="H1779" t="s">
        <v>22</v>
      </c>
      <c r="I1779">
        <v>172</v>
      </c>
      <c r="J1779" t="s">
        <v>2660</v>
      </c>
      <c r="K1779">
        <f t="shared" si="243"/>
        <v>172</v>
      </c>
      <c r="N1779" t="str">
        <f t="shared" si="244"/>
        <v>Coil</v>
      </c>
      <c r="O1779" t="str">
        <f t="shared" si="245"/>
        <v>BOOL</v>
      </c>
      <c r="P1779" t="str">
        <f t="shared" si="246"/>
        <v xml:space="preserve">TELECAMERA T15N </v>
      </c>
      <c r="R1779" t="str">
        <f t="shared" si="247"/>
        <v>T15N -Escludi Allarme Fumo</v>
      </c>
      <c r="U1779" t="str">
        <f t="shared" si="248"/>
        <v>Comando</v>
      </c>
      <c r="V1779" t="str">
        <f t="shared" si="249"/>
        <v>GALLERIA</v>
      </c>
      <c r="W1779" t="str">
        <f t="shared" si="250"/>
        <v>GALLERIA SAN GIULIANO</v>
      </c>
      <c r="Z1779" t="str">
        <f t="shared" si="251"/>
        <v>10.220.80.16</v>
      </c>
    </row>
    <row r="1780" spans="1:26" x14ac:dyDescent="0.25">
      <c r="A1780" t="s">
        <v>10</v>
      </c>
      <c r="B1780" t="s">
        <v>1063</v>
      </c>
      <c r="C1780" t="s">
        <v>2173</v>
      </c>
      <c r="D1780" t="s">
        <v>1619</v>
      </c>
      <c r="E1780" t="s">
        <v>2657</v>
      </c>
      <c r="F1780" t="s">
        <v>2577</v>
      </c>
      <c r="G1780" t="s">
        <v>2531</v>
      </c>
      <c r="H1780" t="s">
        <v>22</v>
      </c>
      <c r="I1780">
        <v>173</v>
      </c>
      <c r="J1780" t="s">
        <v>2661</v>
      </c>
      <c r="K1780">
        <f t="shared" si="243"/>
        <v>173</v>
      </c>
      <c r="N1780" t="str">
        <f t="shared" si="244"/>
        <v>Coil</v>
      </c>
      <c r="O1780" t="str">
        <f t="shared" si="245"/>
        <v>BOOL</v>
      </c>
      <c r="P1780" t="str">
        <f t="shared" si="246"/>
        <v xml:space="preserve">TELECAMERA T15N </v>
      </c>
      <c r="R1780" t="str">
        <f t="shared" si="247"/>
        <v>T15N -Includi Allarme Fumo</v>
      </c>
      <c r="U1780" t="str">
        <f t="shared" si="248"/>
        <v>Comando</v>
      </c>
      <c r="V1780" t="str">
        <f t="shared" si="249"/>
        <v>GALLERIA</v>
      </c>
      <c r="W1780" t="str">
        <f t="shared" si="250"/>
        <v>GALLERIA SAN GIULIANO</v>
      </c>
      <c r="Z1780" t="str">
        <f t="shared" si="251"/>
        <v>10.220.80.16</v>
      </c>
    </row>
    <row r="1781" spans="1:26" x14ac:dyDescent="0.25">
      <c r="A1781" t="s">
        <v>10</v>
      </c>
      <c r="B1781" t="s">
        <v>1063</v>
      </c>
      <c r="C1781" t="s">
        <v>2173</v>
      </c>
      <c r="D1781" t="s">
        <v>1619</v>
      </c>
      <c r="E1781" t="s">
        <v>2657</v>
      </c>
      <c r="F1781" t="s">
        <v>2577</v>
      </c>
      <c r="G1781" t="s">
        <v>2531</v>
      </c>
      <c r="H1781" t="s">
        <v>22</v>
      </c>
      <c r="I1781">
        <v>174</v>
      </c>
      <c r="J1781" t="s">
        <v>2662</v>
      </c>
      <c r="K1781">
        <f t="shared" si="243"/>
        <v>174</v>
      </c>
      <c r="N1781" t="str">
        <f t="shared" si="244"/>
        <v>Coil</v>
      </c>
      <c r="O1781" t="str">
        <f t="shared" si="245"/>
        <v>BOOL</v>
      </c>
      <c r="P1781" t="str">
        <f t="shared" si="246"/>
        <v xml:space="preserve">TELECAMERA T15N </v>
      </c>
      <c r="R1781" t="str">
        <f t="shared" si="247"/>
        <v>T15N -EScludi Allarmi Traffico</v>
      </c>
      <c r="U1781" t="str">
        <f t="shared" si="248"/>
        <v>Comando</v>
      </c>
      <c r="V1781" t="str">
        <f t="shared" si="249"/>
        <v>GALLERIA</v>
      </c>
      <c r="W1781" t="str">
        <f t="shared" si="250"/>
        <v>GALLERIA SAN GIULIANO</v>
      </c>
      <c r="Z1781" t="str">
        <f t="shared" si="251"/>
        <v>10.220.80.16</v>
      </c>
    </row>
    <row r="1782" spans="1:26" x14ac:dyDescent="0.25">
      <c r="A1782" t="s">
        <v>10</v>
      </c>
      <c r="B1782" t="s">
        <v>1063</v>
      </c>
      <c r="C1782" t="s">
        <v>2173</v>
      </c>
      <c r="D1782" t="s">
        <v>1619</v>
      </c>
      <c r="E1782" t="s">
        <v>2657</v>
      </c>
      <c r="F1782" t="s">
        <v>2577</v>
      </c>
      <c r="G1782" t="s">
        <v>2531</v>
      </c>
      <c r="H1782" t="s">
        <v>22</v>
      </c>
      <c r="I1782">
        <v>175</v>
      </c>
      <c r="J1782" t="s">
        <v>2663</v>
      </c>
      <c r="K1782">
        <f t="shared" si="243"/>
        <v>175</v>
      </c>
      <c r="N1782" t="str">
        <f t="shared" si="244"/>
        <v>Coil</v>
      </c>
      <c r="O1782" t="str">
        <f t="shared" si="245"/>
        <v>BOOL</v>
      </c>
      <c r="P1782" t="str">
        <f t="shared" si="246"/>
        <v xml:space="preserve">TELECAMERA T15N </v>
      </c>
      <c r="R1782" t="str">
        <f t="shared" si="247"/>
        <v>T15N -Includi Allarmi Traffico</v>
      </c>
      <c r="U1782" t="str">
        <f t="shared" si="248"/>
        <v>Comando</v>
      </c>
      <c r="V1782" t="str">
        <f t="shared" si="249"/>
        <v>GALLERIA</v>
      </c>
      <c r="W1782" t="str">
        <f t="shared" si="250"/>
        <v>GALLERIA SAN GIULIANO</v>
      </c>
      <c r="Z1782" t="str">
        <f t="shared" si="251"/>
        <v>10.220.80.16</v>
      </c>
    </row>
    <row r="1783" spans="1:26" x14ac:dyDescent="0.25">
      <c r="A1783" t="s">
        <v>10</v>
      </c>
      <c r="B1783" t="s">
        <v>1063</v>
      </c>
      <c r="C1783" t="s">
        <v>2173</v>
      </c>
      <c r="D1783" t="s">
        <v>1619</v>
      </c>
      <c r="E1783" t="s">
        <v>2657</v>
      </c>
      <c r="F1783" t="s">
        <v>2577</v>
      </c>
      <c r="G1783" t="s">
        <v>2531</v>
      </c>
      <c r="H1783" t="s">
        <v>22</v>
      </c>
      <c r="I1783">
        <v>176</v>
      </c>
      <c r="J1783" t="s">
        <v>2664</v>
      </c>
      <c r="K1783">
        <f t="shared" si="243"/>
        <v>176</v>
      </c>
      <c r="N1783" t="str">
        <f t="shared" si="244"/>
        <v>Coil</v>
      </c>
      <c r="O1783" t="str">
        <f t="shared" si="245"/>
        <v>BOOL</v>
      </c>
      <c r="P1783" t="str">
        <f t="shared" si="246"/>
        <v xml:space="preserve">TELECAMERA T15N </v>
      </c>
      <c r="R1783" t="str">
        <f t="shared" si="247"/>
        <v>T15N -Reset Allarmi Telecamera</v>
      </c>
      <c r="U1783" t="str">
        <f t="shared" si="248"/>
        <v>Comando</v>
      </c>
      <c r="V1783" t="str">
        <f t="shared" si="249"/>
        <v>GALLERIA</v>
      </c>
      <c r="W1783" t="str">
        <f t="shared" si="250"/>
        <v>GALLERIA SAN GIULIANO</v>
      </c>
      <c r="Z1783" t="str">
        <f t="shared" si="251"/>
        <v>10.220.80.16</v>
      </c>
    </row>
    <row r="1784" spans="1:26" x14ac:dyDescent="0.25">
      <c r="A1784" t="s">
        <v>10</v>
      </c>
      <c r="B1784" t="s">
        <v>1063</v>
      </c>
      <c r="C1784" t="s">
        <v>2173</v>
      </c>
      <c r="D1784" t="s">
        <v>1619</v>
      </c>
      <c r="E1784" t="s">
        <v>2665</v>
      </c>
      <c r="F1784" t="s">
        <v>2577</v>
      </c>
      <c r="G1784" t="s">
        <v>2531</v>
      </c>
      <c r="H1784" t="s">
        <v>22</v>
      </c>
      <c r="I1784">
        <v>177</v>
      </c>
      <c r="J1784" t="s">
        <v>2666</v>
      </c>
      <c r="K1784">
        <f t="shared" si="243"/>
        <v>177</v>
      </c>
      <c r="N1784" t="str">
        <f t="shared" si="244"/>
        <v>Coil</v>
      </c>
      <c r="O1784" t="str">
        <f t="shared" si="245"/>
        <v>BOOL</v>
      </c>
      <c r="P1784" t="str">
        <f t="shared" si="246"/>
        <v xml:space="preserve">TELECAMERA T16N </v>
      </c>
      <c r="R1784" t="str">
        <f t="shared" si="247"/>
        <v>T16N -Escludi Allarmi Telecamera</v>
      </c>
      <c r="U1784" t="str">
        <f t="shared" si="248"/>
        <v>Comando</v>
      </c>
      <c r="V1784" t="str">
        <f t="shared" si="249"/>
        <v>GALLERIA</v>
      </c>
      <c r="W1784" t="str">
        <f t="shared" si="250"/>
        <v>GALLERIA SAN GIULIANO</v>
      </c>
      <c r="Z1784" t="str">
        <f t="shared" si="251"/>
        <v>10.220.80.16</v>
      </c>
    </row>
    <row r="1785" spans="1:26" x14ac:dyDescent="0.25">
      <c r="A1785" t="s">
        <v>10</v>
      </c>
      <c r="B1785" t="s">
        <v>1063</v>
      </c>
      <c r="C1785" t="s">
        <v>2173</v>
      </c>
      <c r="D1785" t="s">
        <v>1619</v>
      </c>
      <c r="E1785" t="s">
        <v>2665</v>
      </c>
      <c r="F1785" t="s">
        <v>2577</v>
      </c>
      <c r="G1785" t="s">
        <v>2531</v>
      </c>
      <c r="H1785" t="s">
        <v>22</v>
      </c>
      <c r="I1785">
        <v>178</v>
      </c>
      <c r="J1785" t="s">
        <v>2667</v>
      </c>
      <c r="K1785">
        <f t="shared" si="243"/>
        <v>178</v>
      </c>
      <c r="N1785" t="str">
        <f t="shared" si="244"/>
        <v>Coil</v>
      </c>
      <c r="O1785" t="str">
        <f t="shared" si="245"/>
        <v>BOOL</v>
      </c>
      <c r="P1785" t="str">
        <f t="shared" si="246"/>
        <v xml:space="preserve">TELECAMERA T16N </v>
      </c>
      <c r="R1785" t="str">
        <f t="shared" si="247"/>
        <v>T16N -Includi Allarmi Telecamera</v>
      </c>
      <c r="U1785" t="str">
        <f t="shared" si="248"/>
        <v>Comando</v>
      </c>
      <c r="V1785" t="str">
        <f t="shared" si="249"/>
        <v>GALLERIA</v>
      </c>
      <c r="W1785" t="str">
        <f t="shared" si="250"/>
        <v>GALLERIA SAN GIULIANO</v>
      </c>
      <c r="Z1785" t="str">
        <f t="shared" si="251"/>
        <v>10.220.80.16</v>
      </c>
    </row>
    <row r="1786" spans="1:26" x14ac:dyDescent="0.25">
      <c r="A1786" t="s">
        <v>10</v>
      </c>
      <c r="B1786" t="s">
        <v>1063</v>
      </c>
      <c r="C1786" t="s">
        <v>2173</v>
      </c>
      <c r="D1786" t="s">
        <v>1619</v>
      </c>
      <c r="E1786" t="s">
        <v>2665</v>
      </c>
      <c r="F1786" t="s">
        <v>2577</v>
      </c>
      <c r="G1786" t="s">
        <v>2531</v>
      </c>
      <c r="H1786" t="s">
        <v>22</v>
      </c>
      <c r="I1786">
        <v>179</v>
      </c>
      <c r="J1786" t="s">
        <v>2668</v>
      </c>
      <c r="K1786">
        <f t="shared" si="243"/>
        <v>179</v>
      </c>
      <c r="N1786" t="str">
        <f t="shared" si="244"/>
        <v>Coil</v>
      </c>
      <c r="O1786" t="str">
        <f t="shared" si="245"/>
        <v>BOOL</v>
      </c>
      <c r="P1786" t="str">
        <f t="shared" si="246"/>
        <v xml:space="preserve">TELECAMERA T16N </v>
      </c>
      <c r="R1786" t="str">
        <f t="shared" si="247"/>
        <v>T16N -Escludi Allarme Fumo</v>
      </c>
      <c r="U1786" t="str">
        <f t="shared" si="248"/>
        <v>Comando</v>
      </c>
      <c r="V1786" t="str">
        <f t="shared" si="249"/>
        <v>GALLERIA</v>
      </c>
      <c r="W1786" t="str">
        <f t="shared" si="250"/>
        <v>GALLERIA SAN GIULIANO</v>
      </c>
      <c r="Z1786" t="str">
        <f t="shared" si="251"/>
        <v>10.220.80.16</v>
      </c>
    </row>
    <row r="1787" spans="1:26" x14ac:dyDescent="0.25">
      <c r="A1787" t="s">
        <v>10</v>
      </c>
      <c r="B1787" t="s">
        <v>1063</v>
      </c>
      <c r="C1787" t="s">
        <v>2173</v>
      </c>
      <c r="D1787" t="s">
        <v>1619</v>
      </c>
      <c r="E1787" t="s">
        <v>2665</v>
      </c>
      <c r="F1787" t="s">
        <v>2577</v>
      </c>
      <c r="G1787" t="s">
        <v>2531</v>
      </c>
      <c r="H1787" t="s">
        <v>22</v>
      </c>
      <c r="I1787">
        <v>180</v>
      </c>
      <c r="J1787" t="s">
        <v>2669</v>
      </c>
      <c r="K1787">
        <f t="shared" si="243"/>
        <v>180</v>
      </c>
      <c r="N1787" t="str">
        <f t="shared" si="244"/>
        <v>Coil</v>
      </c>
      <c r="O1787" t="str">
        <f t="shared" si="245"/>
        <v>BOOL</v>
      </c>
      <c r="P1787" t="str">
        <f t="shared" si="246"/>
        <v xml:space="preserve">TELECAMERA T16N </v>
      </c>
      <c r="R1787" t="str">
        <f t="shared" si="247"/>
        <v>T16N -Includi Allarme Fumo</v>
      </c>
      <c r="U1787" t="str">
        <f t="shared" si="248"/>
        <v>Comando</v>
      </c>
      <c r="V1787" t="str">
        <f t="shared" si="249"/>
        <v>GALLERIA</v>
      </c>
      <c r="W1787" t="str">
        <f t="shared" si="250"/>
        <v>GALLERIA SAN GIULIANO</v>
      </c>
      <c r="Z1787" t="str">
        <f t="shared" si="251"/>
        <v>10.220.80.16</v>
      </c>
    </row>
    <row r="1788" spans="1:26" x14ac:dyDescent="0.25">
      <c r="A1788" t="s">
        <v>10</v>
      </c>
      <c r="B1788" t="s">
        <v>1063</v>
      </c>
      <c r="C1788" t="s">
        <v>2173</v>
      </c>
      <c r="D1788" t="s">
        <v>1619</v>
      </c>
      <c r="E1788" t="s">
        <v>2665</v>
      </c>
      <c r="F1788" t="s">
        <v>2577</v>
      </c>
      <c r="G1788" t="s">
        <v>2531</v>
      </c>
      <c r="H1788" t="s">
        <v>22</v>
      </c>
      <c r="I1788">
        <v>181</v>
      </c>
      <c r="J1788" t="s">
        <v>2670</v>
      </c>
      <c r="K1788">
        <f t="shared" si="243"/>
        <v>181</v>
      </c>
      <c r="N1788" t="str">
        <f t="shared" si="244"/>
        <v>Coil</v>
      </c>
      <c r="O1788" t="str">
        <f t="shared" si="245"/>
        <v>BOOL</v>
      </c>
      <c r="P1788" t="str">
        <f t="shared" si="246"/>
        <v xml:space="preserve">TELECAMERA T16N </v>
      </c>
      <c r="R1788" t="str">
        <f t="shared" si="247"/>
        <v>T16N -EScludi Allarmi Traffico</v>
      </c>
      <c r="U1788" t="str">
        <f t="shared" si="248"/>
        <v>Comando</v>
      </c>
      <c r="V1788" t="str">
        <f t="shared" si="249"/>
        <v>GALLERIA</v>
      </c>
      <c r="W1788" t="str">
        <f t="shared" si="250"/>
        <v>GALLERIA SAN GIULIANO</v>
      </c>
      <c r="Z1788" t="str">
        <f t="shared" si="251"/>
        <v>10.220.80.16</v>
      </c>
    </row>
    <row r="1789" spans="1:26" x14ac:dyDescent="0.25">
      <c r="A1789" t="s">
        <v>10</v>
      </c>
      <c r="B1789" t="s">
        <v>1063</v>
      </c>
      <c r="C1789" t="s">
        <v>2173</v>
      </c>
      <c r="D1789" t="s">
        <v>1619</v>
      </c>
      <c r="E1789" t="s">
        <v>2665</v>
      </c>
      <c r="F1789" t="s">
        <v>2577</v>
      </c>
      <c r="G1789" t="s">
        <v>2531</v>
      </c>
      <c r="H1789" t="s">
        <v>22</v>
      </c>
      <c r="I1789">
        <v>182</v>
      </c>
      <c r="J1789" t="s">
        <v>2671</v>
      </c>
      <c r="K1789">
        <f t="shared" si="243"/>
        <v>182</v>
      </c>
      <c r="N1789" t="str">
        <f t="shared" si="244"/>
        <v>Coil</v>
      </c>
      <c r="O1789" t="str">
        <f t="shared" si="245"/>
        <v>BOOL</v>
      </c>
      <c r="P1789" t="str">
        <f t="shared" si="246"/>
        <v xml:space="preserve">TELECAMERA T16N </v>
      </c>
      <c r="R1789" t="str">
        <f t="shared" si="247"/>
        <v>T16N -Includi Allarmi Traffico</v>
      </c>
      <c r="U1789" t="str">
        <f t="shared" si="248"/>
        <v>Comando</v>
      </c>
      <c r="V1789" t="str">
        <f t="shared" si="249"/>
        <v>GALLERIA</v>
      </c>
      <c r="W1789" t="str">
        <f t="shared" si="250"/>
        <v>GALLERIA SAN GIULIANO</v>
      </c>
      <c r="Z1789" t="str">
        <f t="shared" si="251"/>
        <v>10.220.80.16</v>
      </c>
    </row>
    <row r="1790" spans="1:26" x14ac:dyDescent="0.25">
      <c r="A1790" t="s">
        <v>10</v>
      </c>
      <c r="B1790" t="s">
        <v>1063</v>
      </c>
      <c r="C1790" t="s">
        <v>2173</v>
      </c>
      <c r="D1790" t="s">
        <v>1619</v>
      </c>
      <c r="E1790" t="s">
        <v>2665</v>
      </c>
      <c r="F1790" t="s">
        <v>2577</v>
      </c>
      <c r="G1790" t="s">
        <v>2531</v>
      </c>
      <c r="H1790" t="s">
        <v>22</v>
      </c>
      <c r="I1790">
        <v>183</v>
      </c>
      <c r="J1790" t="s">
        <v>2672</v>
      </c>
      <c r="K1790">
        <f t="shared" si="243"/>
        <v>183</v>
      </c>
      <c r="N1790" t="str">
        <f t="shared" si="244"/>
        <v>Coil</v>
      </c>
      <c r="O1790" t="str">
        <f t="shared" si="245"/>
        <v>BOOL</v>
      </c>
      <c r="P1790" t="str">
        <f t="shared" si="246"/>
        <v xml:space="preserve">TELECAMERA T16N </v>
      </c>
      <c r="R1790" t="str">
        <f t="shared" si="247"/>
        <v>T16N -Reset Allarmi Telecamera</v>
      </c>
      <c r="U1790" t="str">
        <f t="shared" si="248"/>
        <v>Comando</v>
      </c>
      <c r="V1790" t="str">
        <f t="shared" si="249"/>
        <v>GALLERIA</v>
      </c>
      <c r="W1790" t="str">
        <f t="shared" si="250"/>
        <v>GALLERIA SAN GIULIANO</v>
      </c>
      <c r="Z1790" t="str">
        <f t="shared" si="251"/>
        <v>10.220.80.16</v>
      </c>
    </row>
    <row r="1791" spans="1:26" x14ac:dyDescent="0.25">
      <c r="A1791" t="s">
        <v>10</v>
      </c>
      <c r="B1791" t="s">
        <v>1063</v>
      </c>
      <c r="C1791" t="s">
        <v>2173</v>
      </c>
      <c r="D1791" t="s">
        <v>1619</v>
      </c>
      <c r="E1791" t="s">
        <v>2673</v>
      </c>
      <c r="F1791" t="s">
        <v>2577</v>
      </c>
      <c r="G1791" t="s">
        <v>2531</v>
      </c>
      <c r="H1791" t="s">
        <v>22</v>
      </c>
      <c r="I1791">
        <v>184</v>
      </c>
      <c r="J1791" t="s">
        <v>2674</v>
      </c>
      <c r="K1791">
        <f t="shared" si="243"/>
        <v>184</v>
      </c>
      <c r="N1791" t="str">
        <f t="shared" si="244"/>
        <v>Coil</v>
      </c>
      <c r="O1791" t="str">
        <f t="shared" si="245"/>
        <v>BOOL</v>
      </c>
      <c r="P1791" t="str">
        <f t="shared" si="246"/>
        <v xml:space="preserve">TELECAMERA T19N </v>
      </c>
      <c r="R1791" t="str">
        <f t="shared" si="247"/>
        <v>T19N -Escludi Allarmi Telecamera</v>
      </c>
      <c r="U1791" t="str">
        <f t="shared" si="248"/>
        <v>Comando</v>
      </c>
      <c r="V1791" t="str">
        <f t="shared" si="249"/>
        <v>GALLERIA</v>
      </c>
      <c r="W1791" t="str">
        <f t="shared" si="250"/>
        <v>GALLERIA SAN GIULIANO</v>
      </c>
      <c r="Z1791" t="str">
        <f t="shared" si="251"/>
        <v>10.220.80.16</v>
      </c>
    </row>
    <row r="1792" spans="1:26" x14ac:dyDescent="0.25">
      <c r="A1792" t="s">
        <v>10</v>
      </c>
      <c r="B1792" t="s">
        <v>1063</v>
      </c>
      <c r="C1792" t="s">
        <v>2173</v>
      </c>
      <c r="D1792" t="s">
        <v>1619</v>
      </c>
      <c r="E1792" t="s">
        <v>2673</v>
      </c>
      <c r="F1792" t="s">
        <v>2577</v>
      </c>
      <c r="G1792" t="s">
        <v>2531</v>
      </c>
      <c r="H1792" t="s">
        <v>22</v>
      </c>
      <c r="I1792">
        <v>185</v>
      </c>
      <c r="J1792" t="s">
        <v>2675</v>
      </c>
      <c r="K1792">
        <f t="shared" si="243"/>
        <v>185</v>
      </c>
      <c r="N1792" t="str">
        <f t="shared" si="244"/>
        <v>Coil</v>
      </c>
      <c r="O1792" t="str">
        <f t="shared" si="245"/>
        <v>BOOL</v>
      </c>
      <c r="P1792" t="str">
        <f t="shared" si="246"/>
        <v xml:space="preserve">TELECAMERA T19N </v>
      </c>
      <c r="R1792" t="str">
        <f t="shared" si="247"/>
        <v>T19N -Includi Allarmi Telecamera</v>
      </c>
      <c r="U1792" t="str">
        <f t="shared" si="248"/>
        <v>Comando</v>
      </c>
      <c r="V1792" t="str">
        <f t="shared" si="249"/>
        <v>GALLERIA</v>
      </c>
      <c r="W1792" t="str">
        <f t="shared" si="250"/>
        <v>GALLERIA SAN GIULIANO</v>
      </c>
      <c r="Z1792" t="str">
        <f t="shared" si="251"/>
        <v>10.220.80.16</v>
      </c>
    </row>
    <row r="1793" spans="1:26" x14ac:dyDescent="0.25">
      <c r="A1793" t="s">
        <v>10</v>
      </c>
      <c r="B1793" t="s">
        <v>1063</v>
      </c>
      <c r="C1793" t="s">
        <v>2173</v>
      </c>
      <c r="D1793" t="s">
        <v>1619</v>
      </c>
      <c r="E1793" t="s">
        <v>2673</v>
      </c>
      <c r="F1793" t="s">
        <v>2577</v>
      </c>
      <c r="G1793" t="s">
        <v>2531</v>
      </c>
      <c r="H1793" t="s">
        <v>22</v>
      </c>
      <c r="I1793">
        <v>186</v>
      </c>
      <c r="J1793" t="s">
        <v>2676</v>
      </c>
      <c r="K1793">
        <f t="shared" si="243"/>
        <v>186</v>
      </c>
      <c r="N1793" t="str">
        <f t="shared" si="244"/>
        <v>Coil</v>
      </c>
      <c r="O1793" t="str">
        <f t="shared" si="245"/>
        <v>BOOL</v>
      </c>
      <c r="P1793" t="str">
        <f t="shared" si="246"/>
        <v xml:space="preserve">TELECAMERA T19N </v>
      </c>
      <c r="R1793" t="str">
        <f t="shared" si="247"/>
        <v>T19N -Escludi Allarme Fumo</v>
      </c>
      <c r="U1793" t="str">
        <f t="shared" si="248"/>
        <v>Comando</v>
      </c>
      <c r="V1793" t="str">
        <f t="shared" si="249"/>
        <v>GALLERIA</v>
      </c>
      <c r="W1793" t="str">
        <f t="shared" si="250"/>
        <v>GALLERIA SAN GIULIANO</v>
      </c>
      <c r="Z1793" t="str">
        <f t="shared" si="251"/>
        <v>10.220.80.16</v>
      </c>
    </row>
    <row r="1794" spans="1:26" x14ac:dyDescent="0.25">
      <c r="A1794" t="s">
        <v>10</v>
      </c>
      <c r="B1794" t="s">
        <v>1063</v>
      </c>
      <c r="C1794" t="s">
        <v>2173</v>
      </c>
      <c r="D1794" t="s">
        <v>1619</v>
      </c>
      <c r="E1794" t="s">
        <v>2673</v>
      </c>
      <c r="F1794" t="s">
        <v>2577</v>
      </c>
      <c r="G1794" t="s">
        <v>2531</v>
      </c>
      <c r="H1794" t="s">
        <v>22</v>
      </c>
      <c r="I1794">
        <v>187</v>
      </c>
      <c r="J1794" t="s">
        <v>2677</v>
      </c>
      <c r="K1794">
        <f t="shared" si="243"/>
        <v>187</v>
      </c>
      <c r="N1794" t="str">
        <f t="shared" si="244"/>
        <v>Coil</v>
      </c>
      <c r="O1794" t="str">
        <f t="shared" si="245"/>
        <v>BOOL</v>
      </c>
      <c r="P1794" t="str">
        <f t="shared" si="246"/>
        <v xml:space="preserve">TELECAMERA T19N </v>
      </c>
      <c r="R1794" t="str">
        <f t="shared" si="247"/>
        <v>T19N -Includi Allarme Fumo</v>
      </c>
      <c r="U1794" t="str">
        <f t="shared" si="248"/>
        <v>Comando</v>
      </c>
      <c r="V1794" t="str">
        <f t="shared" si="249"/>
        <v>GALLERIA</v>
      </c>
      <c r="W1794" t="str">
        <f t="shared" si="250"/>
        <v>GALLERIA SAN GIULIANO</v>
      </c>
      <c r="Z1794" t="str">
        <f t="shared" si="251"/>
        <v>10.220.80.16</v>
      </c>
    </row>
    <row r="1795" spans="1:26" x14ac:dyDescent="0.25">
      <c r="A1795" t="s">
        <v>10</v>
      </c>
      <c r="B1795" t="s">
        <v>1063</v>
      </c>
      <c r="C1795" t="s">
        <v>2173</v>
      </c>
      <c r="D1795" t="s">
        <v>1619</v>
      </c>
      <c r="E1795" t="s">
        <v>2673</v>
      </c>
      <c r="F1795" t="s">
        <v>2577</v>
      </c>
      <c r="G1795" t="s">
        <v>2531</v>
      </c>
      <c r="H1795" t="s">
        <v>22</v>
      </c>
      <c r="I1795">
        <v>188</v>
      </c>
      <c r="J1795" t="s">
        <v>2678</v>
      </c>
      <c r="K1795">
        <f t="shared" ref="K1795:K1858" si="252">IF(I1795="","",I1795)</f>
        <v>188</v>
      </c>
      <c r="N1795" t="str">
        <f t="shared" ref="N1795:N1858" si="253">IF(F1795="","",F1795)</f>
        <v>Coil</v>
      </c>
      <c r="O1795" t="str">
        <f t="shared" ref="O1795:O1858" si="254">IF(H1795="","",H1795)</f>
        <v>BOOL</v>
      </c>
      <c r="P1795" t="str">
        <f t="shared" ref="P1795:P1858" si="255">_xlfn.CONCAT(D1795," ",E1795)</f>
        <v xml:space="preserve">TELECAMERA T19N </v>
      </c>
      <c r="R1795" t="str">
        <f t="shared" ref="R1795:R1858" si="256">IF(J1795="","",J1795)</f>
        <v>T19N -EScludi Allarmi Traffico</v>
      </c>
      <c r="U1795" t="str">
        <f t="shared" ref="U1795:U1858" si="257">IF(G1795="","",G1795)</f>
        <v>Comando</v>
      </c>
      <c r="V1795" t="str">
        <f t="shared" ref="V1795:V1858" si="258">IF(C1795="","",C1795)</f>
        <v>GALLERIA</v>
      </c>
      <c r="W1795" t="str">
        <f t="shared" ref="W1795:W1858" si="259">IF(B1795="","",B1795)</f>
        <v>GALLERIA SAN GIULIANO</v>
      </c>
      <c r="Z1795" t="str">
        <f t="shared" ref="Z1795:Z1858" si="260">IF(A1795="","",A1795)</f>
        <v>10.220.80.16</v>
      </c>
    </row>
    <row r="1796" spans="1:26" x14ac:dyDescent="0.25">
      <c r="A1796" t="s">
        <v>10</v>
      </c>
      <c r="B1796" t="s">
        <v>1063</v>
      </c>
      <c r="C1796" t="s">
        <v>2173</v>
      </c>
      <c r="D1796" t="s">
        <v>1619</v>
      </c>
      <c r="E1796" t="s">
        <v>2673</v>
      </c>
      <c r="F1796" t="s">
        <v>2577</v>
      </c>
      <c r="G1796" t="s">
        <v>2531</v>
      </c>
      <c r="H1796" t="s">
        <v>22</v>
      </c>
      <c r="I1796">
        <v>189</v>
      </c>
      <c r="J1796" t="s">
        <v>2679</v>
      </c>
      <c r="K1796">
        <f t="shared" si="252"/>
        <v>189</v>
      </c>
      <c r="N1796" t="str">
        <f t="shared" si="253"/>
        <v>Coil</v>
      </c>
      <c r="O1796" t="str">
        <f t="shared" si="254"/>
        <v>BOOL</v>
      </c>
      <c r="P1796" t="str">
        <f t="shared" si="255"/>
        <v xml:space="preserve">TELECAMERA T19N </v>
      </c>
      <c r="R1796" t="str">
        <f t="shared" si="256"/>
        <v>T19N -Includi Allarmi Traffico</v>
      </c>
      <c r="U1796" t="str">
        <f t="shared" si="257"/>
        <v>Comando</v>
      </c>
      <c r="V1796" t="str">
        <f t="shared" si="258"/>
        <v>GALLERIA</v>
      </c>
      <c r="W1796" t="str">
        <f t="shared" si="259"/>
        <v>GALLERIA SAN GIULIANO</v>
      </c>
      <c r="Z1796" t="str">
        <f t="shared" si="260"/>
        <v>10.220.80.16</v>
      </c>
    </row>
    <row r="1797" spans="1:26" x14ac:dyDescent="0.25">
      <c r="A1797" t="s">
        <v>10</v>
      </c>
      <c r="B1797" t="s">
        <v>1063</v>
      </c>
      <c r="C1797" t="s">
        <v>2173</v>
      </c>
      <c r="D1797" t="s">
        <v>1619</v>
      </c>
      <c r="E1797" t="s">
        <v>2673</v>
      </c>
      <c r="F1797" t="s">
        <v>2577</v>
      </c>
      <c r="G1797" t="s">
        <v>2531</v>
      </c>
      <c r="H1797" t="s">
        <v>22</v>
      </c>
      <c r="I1797">
        <v>190</v>
      </c>
      <c r="J1797" t="s">
        <v>2680</v>
      </c>
      <c r="K1797">
        <f t="shared" si="252"/>
        <v>190</v>
      </c>
      <c r="N1797" t="str">
        <f t="shared" si="253"/>
        <v>Coil</v>
      </c>
      <c r="O1797" t="str">
        <f t="shared" si="254"/>
        <v>BOOL</v>
      </c>
      <c r="P1797" t="str">
        <f t="shared" si="255"/>
        <v xml:space="preserve">TELECAMERA T19N </v>
      </c>
      <c r="R1797" t="str">
        <f t="shared" si="256"/>
        <v>T19N -Reset Allarmi Telecamera</v>
      </c>
      <c r="U1797" t="str">
        <f t="shared" si="257"/>
        <v>Comando</v>
      </c>
      <c r="V1797" t="str">
        <f t="shared" si="258"/>
        <v>GALLERIA</v>
      </c>
      <c r="W1797" t="str">
        <f t="shared" si="259"/>
        <v>GALLERIA SAN GIULIANO</v>
      </c>
      <c r="Z1797" t="str">
        <f t="shared" si="260"/>
        <v>10.220.80.16</v>
      </c>
    </row>
    <row r="1798" spans="1:26" x14ac:dyDescent="0.25">
      <c r="A1798" t="s">
        <v>10</v>
      </c>
      <c r="B1798" t="s">
        <v>1063</v>
      </c>
      <c r="C1798" t="s">
        <v>2173</v>
      </c>
      <c r="D1798" t="s">
        <v>1619</v>
      </c>
      <c r="E1798" t="s">
        <v>2681</v>
      </c>
      <c r="F1798" t="s">
        <v>2577</v>
      </c>
      <c r="G1798" t="s">
        <v>2531</v>
      </c>
      <c r="H1798" t="s">
        <v>22</v>
      </c>
      <c r="I1798">
        <v>191</v>
      </c>
      <c r="J1798" t="s">
        <v>2682</v>
      </c>
      <c r="K1798">
        <f t="shared" si="252"/>
        <v>191</v>
      </c>
      <c r="N1798" t="str">
        <f t="shared" si="253"/>
        <v>Coil</v>
      </c>
      <c r="O1798" t="str">
        <f t="shared" si="254"/>
        <v>BOOL</v>
      </c>
      <c r="P1798" t="str">
        <f t="shared" si="255"/>
        <v xml:space="preserve">TELECAMERA T20N </v>
      </c>
      <c r="R1798" t="str">
        <f t="shared" si="256"/>
        <v>T20N -Escludi Allarmi Telecamera</v>
      </c>
      <c r="U1798" t="str">
        <f t="shared" si="257"/>
        <v>Comando</v>
      </c>
      <c r="V1798" t="str">
        <f t="shared" si="258"/>
        <v>GALLERIA</v>
      </c>
      <c r="W1798" t="str">
        <f t="shared" si="259"/>
        <v>GALLERIA SAN GIULIANO</v>
      </c>
      <c r="Z1798" t="str">
        <f t="shared" si="260"/>
        <v>10.220.80.16</v>
      </c>
    </row>
    <row r="1799" spans="1:26" x14ac:dyDescent="0.25">
      <c r="A1799" t="s">
        <v>10</v>
      </c>
      <c r="B1799" t="s">
        <v>1063</v>
      </c>
      <c r="C1799" t="s">
        <v>2173</v>
      </c>
      <c r="D1799" t="s">
        <v>1619</v>
      </c>
      <c r="E1799" t="s">
        <v>2681</v>
      </c>
      <c r="F1799" t="s">
        <v>2577</v>
      </c>
      <c r="G1799" t="s">
        <v>2531</v>
      </c>
      <c r="H1799" t="s">
        <v>22</v>
      </c>
      <c r="I1799">
        <v>192</v>
      </c>
      <c r="J1799" t="s">
        <v>2683</v>
      </c>
      <c r="K1799">
        <f t="shared" si="252"/>
        <v>192</v>
      </c>
      <c r="N1799" t="str">
        <f t="shared" si="253"/>
        <v>Coil</v>
      </c>
      <c r="O1799" t="str">
        <f t="shared" si="254"/>
        <v>BOOL</v>
      </c>
      <c r="P1799" t="str">
        <f t="shared" si="255"/>
        <v xml:space="preserve">TELECAMERA T20N </v>
      </c>
      <c r="R1799" t="str">
        <f t="shared" si="256"/>
        <v>T20N -Includi Allarmi Telecamera</v>
      </c>
      <c r="U1799" t="str">
        <f t="shared" si="257"/>
        <v>Comando</v>
      </c>
      <c r="V1799" t="str">
        <f t="shared" si="258"/>
        <v>GALLERIA</v>
      </c>
      <c r="W1799" t="str">
        <f t="shared" si="259"/>
        <v>GALLERIA SAN GIULIANO</v>
      </c>
      <c r="Z1799" t="str">
        <f t="shared" si="260"/>
        <v>10.220.80.16</v>
      </c>
    </row>
    <row r="1800" spans="1:26" x14ac:dyDescent="0.25">
      <c r="A1800" t="s">
        <v>10</v>
      </c>
      <c r="B1800" t="s">
        <v>1063</v>
      </c>
      <c r="C1800" t="s">
        <v>2173</v>
      </c>
      <c r="D1800" t="s">
        <v>1619</v>
      </c>
      <c r="E1800" t="s">
        <v>2681</v>
      </c>
      <c r="F1800" t="s">
        <v>2577</v>
      </c>
      <c r="G1800" t="s">
        <v>2531</v>
      </c>
      <c r="H1800" t="s">
        <v>22</v>
      </c>
      <c r="I1800">
        <v>193</v>
      </c>
      <c r="J1800" t="s">
        <v>2684</v>
      </c>
      <c r="K1800">
        <f t="shared" si="252"/>
        <v>193</v>
      </c>
      <c r="N1800" t="str">
        <f t="shared" si="253"/>
        <v>Coil</v>
      </c>
      <c r="O1800" t="str">
        <f t="shared" si="254"/>
        <v>BOOL</v>
      </c>
      <c r="P1800" t="str">
        <f t="shared" si="255"/>
        <v xml:space="preserve">TELECAMERA T20N </v>
      </c>
      <c r="R1800" t="str">
        <f t="shared" si="256"/>
        <v>T20N -Escludi Allarme Fumo</v>
      </c>
      <c r="U1800" t="str">
        <f t="shared" si="257"/>
        <v>Comando</v>
      </c>
      <c r="V1800" t="str">
        <f t="shared" si="258"/>
        <v>GALLERIA</v>
      </c>
      <c r="W1800" t="str">
        <f t="shared" si="259"/>
        <v>GALLERIA SAN GIULIANO</v>
      </c>
      <c r="Z1800" t="str">
        <f t="shared" si="260"/>
        <v>10.220.80.16</v>
      </c>
    </row>
    <row r="1801" spans="1:26" x14ac:dyDescent="0.25">
      <c r="A1801" t="s">
        <v>10</v>
      </c>
      <c r="B1801" t="s">
        <v>1063</v>
      </c>
      <c r="C1801" t="s">
        <v>2173</v>
      </c>
      <c r="D1801" t="s">
        <v>1619</v>
      </c>
      <c r="E1801" t="s">
        <v>2681</v>
      </c>
      <c r="F1801" t="s">
        <v>2577</v>
      </c>
      <c r="G1801" t="s">
        <v>2531</v>
      </c>
      <c r="H1801" t="s">
        <v>22</v>
      </c>
      <c r="I1801">
        <v>194</v>
      </c>
      <c r="J1801" t="s">
        <v>2685</v>
      </c>
      <c r="K1801">
        <f t="shared" si="252"/>
        <v>194</v>
      </c>
      <c r="N1801" t="str">
        <f t="shared" si="253"/>
        <v>Coil</v>
      </c>
      <c r="O1801" t="str">
        <f t="shared" si="254"/>
        <v>BOOL</v>
      </c>
      <c r="P1801" t="str">
        <f t="shared" si="255"/>
        <v xml:space="preserve">TELECAMERA T20N </v>
      </c>
      <c r="R1801" t="str">
        <f t="shared" si="256"/>
        <v>T20N -Includi Allarme Fumo</v>
      </c>
      <c r="U1801" t="str">
        <f t="shared" si="257"/>
        <v>Comando</v>
      </c>
      <c r="V1801" t="str">
        <f t="shared" si="258"/>
        <v>GALLERIA</v>
      </c>
      <c r="W1801" t="str">
        <f t="shared" si="259"/>
        <v>GALLERIA SAN GIULIANO</v>
      </c>
      <c r="Z1801" t="str">
        <f t="shared" si="260"/>
        <v>10.220.80.16</v>
      </c>
    </row>
    <row r="1802" spans="1:26" x14ac:dyDescent="0.25">
      <c r="A1802" t="s">
        <v>10</v>
      </c>
      <c r="B1802" t="s">
        <v>1063</v>
      </c>
      <c r="C1802" t="s">
        <v>2173</v>
      </c>
      <c r="D1802" t="s">
        <v>1619</v>
      </c>
      <c r="E1802" t="s">
        <v>2681</v>
      </c>
      <c r="F1802" t="s">
        <v>2577</v>
      </c>
      <c r="G1802" t="s">
        <v>2531</v>
      </c>
      <c r="H1802" t="s">
        <v>22</v>
      </c>
      <c r="I1802">
        <v>195</v>
      </c>
      <c r="J1802" t="s">
        <v>2686</v>
      </c>
      <c r="K1802">
        <f t="shared" si="252"/>
        <v>195</v>
      </c>
      <c r="N1802" t="str">
        <f t="shared" si="253"/>
        <v>Coil</v>
      </c>
      <c r="O1802" t="str">
        <f t="shared" si="254"/>
        <v>BOOL</v>
      </c>
      <c r="P1802" t="str">
        <f t="shared" si="255"/>
        <v xml:space="preserve">TELECAMERA T20N </v>
      </c>
      <c r="R1802" t="str">
        <f t="shared" si="256"/>
        <v>T20N -EScludi Allarmi Traffico</v>
      </c>
      <c r="U1802" t="str">
        <f t="shared" si="257"/>
        <v>Comando</v>
      </c>
      <c r="V1802" t="str">
        <f t="shared" si="258"/>
        <v>GALLERIA</v>
      </c>
      <c r="W1802" t="str">
        <f t="shared" si="259"/>
        <v>GALLERIA SAN GIULIANO</v>
      </c>
      <c r="Z1802" t="str">
        <f t="shared" si="260"/>
        <v>10.220.80.16</v>
      </c>
    </row>
    <row r="1803" spans="1:26" x14ac:dyDescent="0.25">
      <c r="A1803" t="s">
        <v>10</v>
      </c>
      <c r="B1803" t="s">
        <v>1063</v>
      </c>
      <c r="C1803" t="s">
        <v>2173</v>
      </c>
      <c r="D1803" t="s">
        <v>1619</v>
      </c>
      <c r="E1803" t="s">
        <v>2681</v>
      </c>
      <c r="F1803" t="s">
        <v>2577</v>
      </c>
      <c r="G1803" t="s">
        <v>2531</v>
      </c>
      <c r="H1803" t="s">
        <v>22</v>
      </c>
      <c r="I1803">
        <v>196</v>
      </c>
      <c r="J1803" t="s">
        <v>2687</v>
      </c>
      <c r="K1803">
        <f t="shared" si="252"/>
        <v>196</v>
      </c>
      <c r="N1803" t="str">
        <f t="shared" si="253"/>
        <v>Coil</v>
      </c>
      <c r="O1803" t="str">
        <f t="shared" si="254"/>
        <v>BOOL</v>
      </c>
      <c r="P1803" t="str">
        <f t="shared" si="255"/>
        <v xml:space="preserve">TELECAMERA T20N </v>
      </c>
      <c r="R1803" t="str">
        <f t="shared" si="256"/>
        <v>T20N -Includi Allarmi Traffico</v>
      </c>
      <c r="U1803" t="str">
        <f t="shared" si="257"/>
        <v>Comando</v>
      </c>
      <c r="V1803" t="str">
        <f t="shared" si="258"/>
        <v>GALLERIA</v>
      </c>
      <c r="W1803" t="str">
        <f t="shared" si="259"/>
        <v>GALLERIA SAN GIULIANO</v>
      </c>
      <c r="Z1803" t="str">
        <f t="shared" si="260"/>
        <v>10.220.80.16</v>
      </c>
    </row>
    <row r="1804" spans="1:26" x14ac:dyDescent="0.25">
      <c r="A1804" t="s">
        <v>10</v>
      </c>
      <c r="B1804" t="s">
        <v>1063</v>
      </c>
      <c r="C1804" t="s">
        <v>2173</v>
      </c>
      <c r="D1804" t="s">
        <v>1619</v>
      </c>
      <c r="E1804" t="s">
        <v>2681</v>
      </c>
      <c r="F1804" t="s">
        <v>2577</v>
      </c>
      <c r="G1804" t="s">
        <v>2531</v>
      </c>
      <c r="H1804" t="s">
        <v>22</v>
      </c>
      <c r="I1804">
        <v>197</v>
      </c>
      <c r="J1804" t="s">
        <v>2688</v>
      </c>
      <c r="K1804">
        <f t="shared" si="252"/>
        <v>197</v>
      </c>
      <c r="N1804" t="str">
        <f t="shared" si="253"/>
        <v>Coil</v>
      </c>
      <c r="O1804" t="str">
        <f t="shared" si="254"/>
        <v>BOOL</v>
      </c>
      <c r="P1804" t="str">
        <f t="shared" si="255"/>
        <v xml:space="preserve">TELECAMERA T20N </v>
      </c>
      <c r="R1804" t="str">
        <f t="shared" si="256"/>
        <v>T20N -Reset Allarmi Telecamera</v>
      </c>
      <c r="U1804" t="str">
        <f t="shared" si="257"/>
        <v>Comando</v>
      </c>
      <c r="V1804" t="str">
        <f t="shared" si="258"/>
        <v>GALLERIA</v>
      </c>
      <c r="W1804" t="str">
        <f t="shared" si="259"/>
        <v>GALLERIA SAN GIULIANO</v>
      </c>
      <c r="Z1804" t="str">
        <f t="shared" si="260"/>
        <v>10.220.80.16</v>
      </c>
    </row>
    <row r="1805" spans="1:26" x14ac:dyDescent="0.25">
      <c r="A1805" t="s">
        <v>10</v>
      </c>
      <c r="B1805" t="s">
        <v>1063</v>
      </c>
      <c r="C1805" t="s">
        <v>2173</v>
      </c>
      <c r="D1805" t="s">
        <v>1619</v>
      </c>
      <c r="E1805" t="s">
        <v>2689</v>
      </c>
      <c r="F1805" t="s">
        <v>2577</v>
      </c>
      <c r="G1805" t="s">
        <v>2531</v>
      </c>
      <c r="H1805" t="s">
        <v>22</v>
      </c>
      <c r="I1805">
        <v>198</v>
      </c>
      <c r="J1805" t="s">
        <v>2690</v>
      </c>
      <c r="K1805">
        <f t="shared" si="252"/>
        <v>198</v>
      </c>
      <c r="N1805" t="str">
        <f t="shared" si="253"/>
        <v>Coil</v>
      </c>
      <c r="O1805" t="str">
        <f t="shared" si="254"/>
        <v>BOOL</v>
      </c>
      <c r="P1805" t="str">
        <f t="shared" si="255"/>
        <v xml:space="preserve">TELECAMERA T21N </v>
      </c>
      <c r="R1805" t="str">
        <f t="shared" si="256"/>
        <v>T21N -Escludi Allarmi Telecamera</v>
      </c>
      <c r="U1805" t="str">
        <f t="shared" si="257"/>
        <v>Comando</v>
      </c>
      <c r="V1805" t="str">
        <f t="shared" si="258"/>
        <v>GALLERIA</v>
      </c>
      <c r="W1805" t="str">
        <f t="shared" si="259"/>
        <v>GALLERIA SAN GIULIANO</v>
      </c>
      <c r="Z1805" t="str">
        <f t="shared" si="260"/>
        <v>10.220.80.16</v>
      </c>
    </row>
    <row r="1806" spans="1:26" x14ac:dyDescent="0.25">
      <c r="A1806" t="s">
        <v>10</v>
      </c>
      <c r="B1806" t="s">
        <v>1063</v>
      </c>
      <c r="C1806" t="s">
        <v>2173</v>
      </c>
      <c r="D1806" t="s">
        <v>1619</v>
      </c>
      <c r="E1806" t="s">
        <v>2689</v>
      </c>
      <c r="F1806" t="s">
        <v>2577</v>
      </c>
      <c r="G1806" t="s">
        <v>2531</v>
      </c>
      <c r="H1806" t="s">
        <v>22</v>
      </c>
      <c r="I1806">
        <v>199</v>
      </c>
      <c r="J1806" t="s">
        <v>2691</v>
      </c>
      <c r="K1806">
        <f t="shared" si="252"/>
        <v>199</v>
      </c>
      <c r="N1806" t="str">
        <f t="shared" si="253"/>
        <v>Coil</v>
      </c>
      <c r="O1806" t="str">
        <f t="shared" si="254"/>
        <v>BOOL</v>
      </c>
      <c r="P1806" t="str">
        <f t="shared" si="255"/>
        <v xml:space="preserve">TELECAMERA T21N </v>
      </c>
      <c r="R1806" t="str">
        <f t="shared" si="256"/>
        <v>T21N -Includi Allarmi Telecamera</v>
      </c>
      <c r="U1806" t="str">
        <f t="shared" si="257"/>
        <v>Comando</v>
      </c>
      <c r="V1806" t="str">
        <f t="shared" si="258"/>
        <v>GALLERIA</v>
      </c>
      <c r="W1806" t="str">
        <f t="shared" si="259"/>
        <v>GALLERIA SAN GIULIANO</v>
      </c>
      <c r="Z1806" t="str">
        <f t="shared" si="260"/>
        <v>10.220.80.16</v>
      </c>
    </row>
    <row r="1807" spans="1:26" x14ac:dyDescent="0.25">
      <c r="A1807" t="s">
        <v>10</v>
      </c>
      <c r="B1807" t="s">
        <v>1063</v>
      </c>
      <c r="C1807" t="s">
        <v>2173</v>
      </c>
      <c r="D1807" t="s">
        <v>1619</v>
      </c>
      <c r="E1807" t="s">
        <v>2689</v>
      </c>
      <c r="F1807" t="s">
        <v>2577</v>
      </c>
      <c r="G1807" t="s">
        <v>2531</v>
      </c>
      <c r="H1807" t="s">
        <v>22</v>
      </c>
      <c r="I1807">
        <v>200</v>
      </c>
      <c r="J1807" t="s">
        <v>2692</v>
      </c>
      <c r="K1807">
        <f t="shared" si="252"/>
        <v>200</v>
      </c>
      <c r="N1807" t="str">
        <f t="shared" si="253"/>
        <v>Coil</v>
      </c>
      <c r="O1807" t="str">
        <f t="shared" si="254"/>
        <v>BOOL</v>
      </c>
      <c r="P1807" t="str">
        <f t="shared" si="255"/>
        <v xml:space="preserve">TELECAMERA T21N </v>
      </c>
      <c r="R1807" t="str">
        <f t="shared" si="256"/>
        <v>T21N -Escludi Allarme Fumo</v>
      </c>
      <c r="U1807" t="str">
        <f t="shared" si="257"/>
        <v>Comando</v>
      </c>
      <c r="V1807" t="str">
        <f t="shared" si="258"/>
        <v>GALLERIA</v>
      </c>
      <c r="W1807" t="str">
        <f t="shared" si="259"/>
        <v>GALLERIA SAN GIULIANO</v>
      </c>
      <c r="Z1807" t="str">
        <f t="shared" si="260"/>
        <v>10.220.80.16</v>
      </c>
    </row>
    <row r="1808" spans="1:26" x14ac:dyDescent="0.25">
      <c r="A1808" t="s">
        <v>10</v>
      </c>
      <c r="B1808" t="s">
        <v>1063</v>
      </c>
      <c r="C1808" t="s">
        <v>2173</v>
      </c>
      <c r="D1808" t="s">
        <v>1619</v>
      </c>
      <c r="E1808" t="s">
        <v>2689</v>
      </c>
      <c r="F1808" t="s">
        <v>2577</v>
      </c>
      <c r="G1808" t="s">
        <v>2531</v>
      </c>
      <c r="H1808" t="s">
        <v>22</v>
      </c>
      <c r="I1808">
        <v>201</v>
      </c>
      <c r="J1808" t="s">
        <v>2693</v>
      </c>
      <c r="K1808">
        <f t="shared" si="252"/>
        <v>201</v>
      </c>
      <c r="N1808" t="str">
        <f t="shared" si="253"/>
        <v>Coil</v>
      </c>
      <c r="O1808" t="str">
        <f t="shared" si="254"/>
        <v>BOOL</v>
      </c>
      <c r="P1808" t="str">
        <f t="shared" si="255"/>
        <v xml:space="preserve">TELECAMERA T21N </v>
      </c>
      <c r="R1808" t="str">
        <f t="shared" si="256"/>
        <v>T21N -Includi Allarme Fumo</v>
      </c>
      <c r="U1808" t="str">
        <f t="shared" si="257"/>
        <v>Comando</v>
      </c>
      <c r="V1808" t="str">
        <f t="shared" si="258"/>
        <v>GALLERIA</v>
      </c>
      <c r="W1808" t="str">
        <f t="shared" si="259"/>
        <v>GALLERIA SAN GIULIANO</v>
      </c>
      <c r="Z1808" t="str">
        <f t="shared" si="260"/>
        <v>10.220.80.16</v>
      </c>
    </row>
    <row r="1809" spans="1:26" x14ac:dyDescent="0.25">
      <c r="A1809" t="s">
        <v>10</v>
      </c>
      <c r="B1809" t="s">
        <v>1063</v>
      </c>
      <c r="C1809" t="s">
        <v>2173</v>
      </c>
      <c r="D1809" t="s">
        <v>1619</v>
      </c>
      <c r="E1809" t="s">
        <v>2689</v>
      </c>
      <c r="F1809" t="s">
        <v>2577</v>
      </c>
      <c r="G1809" t="s">
        <v>2531</v>
      </c>
      <c r="H1809" t="s">
        <v>22</v>
      </c>
      <c r="I1809">
        <v>202</v>
      </c>
      <c r="J1809" t="s">
        <v>2694</v>
      </c>
      <c r="K1809">
        <f t="shared" si="252"/>
        <v>202</v>
      </c>
      <c r="N1809" t="str">
        <f t="shared" si="253"/>
        <v>Coil</v>
      </c>
      <c r="O1809" t="str">
        <f t="shared" si="254"/>
        <v>BOOL</v>
      </c>
      <c r="P1809" t="str">
        <f t="shared" si="255"/>
        <v xml:space="preserve">TELECAMERA T21N </v>
      </c>
      <c r="R1809" t="str">
        <f t="shared" si="256"/>
        <v>T21N -EScludi Allarmi Traffico</v>
      </c>
      <c r="U1809" t="str">
        <f t="shared" si="257"/>
        <v>Comando</v>
      </c>
      <c r="V1809" t="str">
        <f t="shared" si="258"/>
        <v>GALLERIA</v>
      </c>
      <c r="W1809" t="str">
        <f t="shared" si="259"/>
        <v>GALLERIA SAN GIULIANO</v>
      </c>
      <c r="Z1809" t="str">
        <f t="shared" si="260"/>
        <v>10.220.80.16</v>
      </c>
    </row>
    <row r="1810" spans="1:26" x14ac:dyDescent="0.25">
      <c r="A1810" t="s">
        <v>10</v>
      </c>
      <c r="B1810" t="s">
        <v>1063</v>
      </c>
      <c r="C1810" t="s">
        <v>2173</v>
      </c>
      <c r="D1810" t="s">
        <v>1619</v>
      </c>
      <c r="E1810" t="s">
        <v>2689</v>
      </c>
      <c r="F1810" t="s">
        <v>2577</v>
      </c>
      <c r="G1810" t="s">
        <v>2531</v>
      </c>
      <c r="H1810" t="s">
        <v>22</v>
      </c>
      <c r="I1810">
        <v>203</v>
      </c>
      <c r="J1810" t="s">
        <v>2695</v>
      </c>
      <c r="K1810">
        <f t="shared" si="252"/>
        <v>203</v>
      </c>
      <c r="N1810" t="str">
        <f t="shared" si="253"/>
        <v>Coil</v>
      </c>
      <c r="O1810" t="str">
        <f t="shared" si="254"/>
        <v>BOOL</v>
      </c>
      <c r="P1810" t="str">
        <f t="shared" si="255"/>
        <v xml:space="preserve">TELECAMERA T21N </v>
      </c>
      <c r="R1810" t="str">
        <f t="shared" si="256"/>
        <v>T21N -Includi Allarmi Traffico</v>
      </c>
      <c r="U1810" t="str">
        <f t="shared" si="257"/>
        <v>Comando</v>
      </c>
      <c r="V1810" t="str">
        <f t="shared" si="258"/>
        <v>GALLERIA</v>
      </c>
      <c r="W1810" t="str">
        <f t="shared" si="259"/>
        <v>GALLERIA SAN GIULIANO</v>
      </c>
      <c r="Z1810" t="str">
        <f t="shared" si="260"/>
        <v>10.220.80.16</v>
      </c>
    </row>
    <row r="1811" spans="1:26" x14ac:dyDescent="0.25">
      <c r="A1811" t="s">
        <v>10</v>
      </c>
      <c r="B1811" t="s">
        <v>1063</v>
      </c>
      <c r="C1811" t="s">
        <v>2173</v>
      </c>
      <c r="D1811" t="s">
        <v>1619</v>
      </c>
      <c r="E1811" t="s">
        <v>2689</v>
      </c>
      <c r="F1811" t="s">
        <v>2577</v>
      </c>
      <c r="G1811" t="s">
        <v>2531</v>
      </c>
      <c r="H1811" t="s">
        <v>22</v>
      </c>
      <c r="I1811">
        <v>204</v>
      </c>
      <c r="J1811" t="s">
        <v>2696</v>
      </c>
      <c r="K1811">
        <f t="shared" si="252"/>
        <v>204</v>
      </c>
      <c r="N1811" t="str">
        <f t="shared" si="253"/>
        <v>Coil</v>
      </c>
      <c r="O1811" t="str">
        <f t="shared" si="254"/>
        <v>BOOL</v>
      </c>
      <c r="P1811" t="str">
        <f t="shared" si="255"/>
        <v xml:space="preserve">TELECAMERA T21N </v>
      </c>
      <c r="R1811" t="str">
        <f t="shared" si="256"/>
        <v>T21N -Reset Allarmi Telecamera</v>
      </c>
      <c r="U1811" t="str">
        <f t="shared" si="257"/>
        <v>Comando</v>
      </c>
      <c r="V1811" t="str">
        <f t="shared" si="258"/>
        <v>GALLERIA</v>
      </c>
      <c r="W1811" t="str">
        <f t="shared" si="259"/>
        <v>GALLERIA SAN GIULIANO</v>
      </c>
      <c r="Z1811" t="str">
        <f t="shared" si="260"/>
        <v>10.220.80.16</v>
      </c>
    </row>
    <row r="1812" spans="1:26" x14ac:dyDescent="0.25">
      <c r="A1812" t="s">
        <v>10</v>
      </c>
      <c r="B1812" t="s">
        <v>1063</v>
      </c>
      <c r="C1812" t="s">
        <v>2173</v>
      </c>
      <c r="D1812" t="s">
        <v>1619</v>
      </c>
      <c r="E1812" t="s">
        <v>2697</v>
      </c>
      <c r="F1812" t="s">
        <v>2577</v>
      </c>
      <c r="G1812" t="s">
        <v>2531</v>
      </c>
      <c r="H1812" t="s">
        <v>22</v>
      </c>
      <c r="I1812">
        <v>205</v>
      </c>
      <c r="J1812" t="s">
        <v>2698</v>
      </c>
      <c r="K1812">
        <f t="shared" si="252"/>
        <v>205</v>
      </c>
      <c r="N1812" t="str">
        <f t="shared" si="253"/>
        <v>Coil</v>
      </c>
      <c r="O1812" t="str">
        <f t="shared" si="254"/>
        <v>BOOL</v>
      </c>
      <c r="P1812" t="str">
        <f t="shared" si="255"/>
        <v xml:space="preserve">TELECAMERA T22N </v>
      </c>
      <c r="R1812" t="str">
        <f t="shared" si="256"/>
        <v>T22N -Escludi Allarmi Telecamera</v>
      </c>
      <c r="U1812" t="str">
        <f t="shared" si="257"/>
        <v>Comando</v>
      </c>
      <c r="V1812" t="str">
        <f t="shared" si="258"/>
        <v>GALLERIA</v>
      </c>
      <c r="W1812" t="str">
        <f t="shared" si="259"/>
        <v>GALLERIA SAN GIULIANO</v>
      </c>
      <c r="Z1812" t="str">
        <f t="shared" si="260"/>
        <v>10.220.80.16</v>
      </c>
    </row>
    <row r="1813" spans="1:26" x14ac:dyDescent="0.25">
      <c r="A1813" t="s">
        <v>10</v>
      </c>
      <c r="B1813" t="s">
        <v>1063</v>
      </c>
      <c r="C1813" t="s">
        <v>2173</v>
      </c>
      <c r="D1813" t="s">
        <v>1619</v>
      </c>
      <c r="E1813" t="s">
        <v>2697</v>
      </c>
      <c r="F1813" t="s">
        <v>2577</v>
      </c>
      <c r="G1813" t="s">
        <v>2531</v>
      </c>
      <c r="H1813" t="s">
        <v>22</v>
      </c>
      <c r="I1813">
        <v>206</v>
      </c>
      <c r="J1813" t="s">
        <v>2699</v>
      </c>
      <c r="K1813">
        <f t="shared" si="252"/>
        <v>206</v>
      </c>
      <c r="N1813" t="str">
        <f t="shared" si="253"/>
        <v>Coil</v>
      </c>
      <c r="O1813" t="str">
        <f t="shared" si="254"/>
        <v>BOOL</v>
      </c>
      <c r="P1813" t="str">
        <f t="shared" si="255"/>
        <v xml:space="preserve">TELECAMERA T22N </v>
      </c>
      <c r="R1813" t="str">
        <f t="shared" si="256"/>
        <v>T22N -Includi Allarmi Telecamera</v>
      </c>
      <c r="U1813" t="str">
        <f t="shared" si="257"/>
        <v>Comando</v>
      </c>
      <c r="V1813" t="str">
        <f t="shared" si="258"/>
        <v>GALLERIA</v>
      </c>
      <c r="W1813" t="str">
        <f t="shared" si="259"/>
        <v>GALLERIA SAN GIULIANO</v>
      </c>
      <c r="Z1813" t="str">
        <f t="shared" si="260"/>
        <v>10.220.80.16</v>
      </c>
    </row>
    <row r="1814" spans="1:26" x14ac:dyDescent="0.25">
      <c r="A1814" t="s">
        <v>10</v>
      </c>
      <c r="B1814" t="s">
        <v>1063</v>
      </c>
      <c r="C1814" t="s">
        <v>2173</v>
      </c>
      <c r="D1814" t="s">
        <v>1619</v>
      </c>
      <c r="E1814" t="s">
        <v>2697</v>
      </c>
      <c r="F1814" t="s">
        <v>2577</v>
      </c>
      <c r="G1814" t="s">
        <v>2531</v>
      </c>
      <c r="H1814" t="s">
        <v>22</v>
      </c>
      <c r="I1814">
        <v>207</v>
      </c>
      <c r="J1814" t="s">
        <v>2700</v>
      </c>
      <c r="K1814">
        <f t="shared" si="252"/>
        <v>207</v>
      </c>
      <c r="N1814" t="str">
        <f t="shared" si="253"/>
        <v>Coil</v>
      </c>
      <c r="O1814" t="str">
        <f t="shared" si="254"/>
        <v>BOOL</v>
      </c>
      <c r="P1814" t="str">
        <f t="shared" si="255"/>
        <v xml:space="preserve">TELECAMERA T22N </v>
      </c>
      <c r="R1814" t="str">
        <f t="shared" si="256"/>
        <v>T22N -Escludi Allarme Fumo</v>
      </c>
      <c r="U1814" t="str">
        <f t="shared" si="257"/>
        <v>Comando</v>
      </c>
      <c r="V1814" t="str">
        <f t="shared" si="258"/>
        <v>GALLERIA</v>
      </c>
      <c r="W1814" t="str">
        <f t="shared" si="259"/>
        <v>GALLERIA SAN GIULIANO</v>
      </c>
      <c r="Z1814" t="str">
        <f t="shared" si="260"/>
        <v>10.220.80.16</v>
      </c>
    </row>
    <row r="1815" spans="1:26" x14ac:dyDescent="0.25">
      <c r="A1815" t="s">
        <v>10</v>
      </c>
      <c r="B1815" t="s">
        <v>1063</v>
      </c>
      <c r="C1815" t="s">
        <v>2173</v>
      </c>
      <c r="D1815" t="s">
        <v>1619</v>
      </c>
      <c r="E1815" t="s">
        <v>2697</v>
      </c>
      <c r="F1815" t="s">
        <v>2577</v>
      </c>
      <c r="G1815" t="s">
        <v>2531</v>
      </c>
      <c r="H1815" t="s">
        <v>22</v>
      </c>
      <c r="I1815">
        <v>208</v>
      </c>
      <c r="J1815" t="s">
        <v>2701</v>
      </c>
      <c r="K1815">
        <f t="shared" si="252"/>
        <v>208</v>
      </c>
      <c r="N1815" t="str">
        <f t="shared" si="253"/>
        <v>Coil</v>
      </c>
      <c r="O1815" t="str">
        <f t="shared" si="254"/>
        <v>BOOL</v>
      </c>
      <c r="P1815" t="str">
        <f t="shared" si="255"/>
        <v xml:space="preserve">TELECAMERA T22N </v>
      </c>
      <c r="R1815" t="str">
        <f t="shared" si="256"/>
        <v>T22N -Includi Allarme Fumo</v>
      </c>
      <c r="U1815" t="str">
        <f t="shared" si="257"/>
        <v>Comando</v>
      </c>
      <c r="V1815" t="str">
        <f t="shared" si="258"/>
        <v>GALLERIA</v>
      </c>
      <c r="W1815" t="str">
        <f t="shared" si="259"/>
        <v>GALLERIA SAN GIULIANO</v>
      </c>
      <c r="Z1815" t="str">
        <f t="shared" si="260"/>
        <v>10.220.80.16</v>
      </c>
    </row>
    <row r="1816" spans="1:26" x14ac:dyDescent="0.25">
      <c r="A1816" t="s">
        <v>10</v>
      </c>
      <c r="B1816" t="s">
        <v>1063</v>
      </c>
      <c r="C1816" t="s">
        <v>2173</v>
      </c>
      <c r="D1816" t="s">
        <v>1619</v>
      </c>
      <c r="E1816" t="s">
        <v>2697</v>
      </c>
      <c r="F1816" t="s">
        <v>2577</v>
      </c>
      <c r="G1816" t="s">
        <v>2531</v>
      </c>
      <c r="H1816" t="s">
        <v>22</v>
      </c>
      <c r="I1816">
        <v>209</v>
      </c>
      <c r="J1816" t="s">
        <v>2702</v>
      </c>
      <c r="K1816">
        <f t="shared" si="252"/>
        <v>209</v>
      </c>
      <c r="N1816" t="str">
        <f t="shared" si="253"/>
        <v>Coil</v>
      </c>
      <c r="O1816" t="str">
        <f t="shared" si="254"/>
        <v>BOOL</v>
      </c>
      <c r="P1816" t="str">
        <f t="shared" si="255"/>
        <v xml:space="preserve">TELECAMERA T22N </v>
      </c>
      <c r="R1816" t="str">
        <f t="shared" si="256"/>
        <v>T22N -EScludi Allarmi Traffico</v>
      </c>
      <c r="U1816" t="str">
        <f t="shared" si="257"/>
        <v>Comando</v>
      </c>
      <c r="V1816" t="str">
        <f t="shared" si="258"/>
        <v>GALLERIA</v>
      </c>
      <c r="W1816" t="str">
        <f t="shared" si="259"/>
        <v>GALLERIA SAN GIULIANO</v>
      </c>
      <c r="Z1816" t="str">
        <f t="shared" si="260"/>
        <v>10.220.80.16</v>
      </c>
    </row>
    <row r="1817" spans="1:26" x14ac:dyDescent="0.25">
      <c r="A1817" t="s">
        <v>10</v>
      </c>
      <c r="B1817" t="s">
        <v>1063</v>
      </c>
      <c r="C1817" t="s">
        <v>2173</v>
      </c>
      <c r="D1817" t="s">
        <v>1619</v>
      </c>
      <c r="E1817" t="s">
        <v>2697</v>
      </c>
      <c r="F1817" t="s">
        <v>2577</v>
      </c>
      <c r="G1817" t="s">
        <v>2531</v>
      </c>
      <c r="H1817" t="s">
        <v>22</v>
      </c>
      <c r="I1817">
        <v>210</v>
      </c>
      <c r="J1817" t="s">
        <v>2703</v>
      </c>
      <c r="K1817">
        <f t="shared" si="252"/>
        <v>210</v>
      </c>
      <c r="N1817" t="str">
        <f t="shared" si="253"/>
        <v>Coil</v>
      </c>
      <c r="O1817" t="str">
        <f t="shared" si="254"/>
        <v>BOOL</v>
      </c>
      <c r="P1817" t="str">
        <f t="shared" si="255"/>
        <v xml:space="preserve">TELECAMERA T22N </v>
      </c>
      <c r="R1817" t="str">
        <f t="shared" si="256"/>
        <v>T22N -Includi Allarmi Traffico</v>
      </c>
      <c r="U1817" t="str">
        <f t="shared" si="257"/>
        <v>Comando</v>
      </c>
      <c r="V1817" t="str">
        <f t="shared" si="258"/>
        <v>GALLERIA</v>
      </c>
      <c r="W1817" t="str">
        <f t="shared" si="259"/>
        <v>GALLERIA SAN GIULIANO</v>
      </c>
      <c r="Z1817" t="str">
        <f t="shared" si="260"/>
        <v>10.220.80.16</v>
      </c>
    </row>
    <row r="1818" spans="1:26" x14ac:dyDescent="0.25">
      <c r="A1818" t="s">
        <v>10</v>
      </c>
      <c r="B1818" t="s">
        <v>1063</v>
      </c>
      <c r="C1818" t="s">
        <v>2173</v>
      </c>
      <c r="D1818" t="s">
        <v>1619</v>
      </c>
      <c r="E1818" t="s">
        <v>2697</v>
      </c>
      <c r="F1818" t="s">
        <v>2577</v>
      </c>
      <c r="G1818" t="s">
        <v>2531</v>
      </c>
      <c r="H1818" t="s">
        <v>22</v>
      </c>
      <c r="I1818">
        <v>211</v>
      </c>
      <c r="J1818" t="s">
        <v>2704</v>
      </c>
      <c r="K1818">
        <f t="shared" si="252"/>
        <v>211</v>
      </c>
      <c r="N1818" t="str">
        <f t="shared" si="253"/>
        <v>Coil</v>
      </c>
      <c r="O1818" t="str">
        <f t="shared" si="254"/>
        <v>BOOL</v>
      </c>
      <c r="P1818" t="str">
        <f t="shared" si="255"/>
        <v xml:space="preserve">TELECAMERA T22N </v>
      </c>
      <c r="R1818" t="str">
        <f t="shared" si="256"/>
        <v>T22N -Reset Allarmi Telecamera</v>
      </c>
      <c r="U1818" t="str">
        <f t="shared" si="257"/>
        <v>Comando</v>
      </c>
      <c r="V1818" t="str">
        <f t="shared" si="258"/>
        <v>GALLERIA</v>
      </c>
      <c r="W1818" t="str">
        <f t="shared" si="259"/>
        <v>GALLERIA SAN GIULIANO</v>
      </c>
      <c r="Z1818" t="str">
        <f t="shared" si="260"/>
        <v>10.220.80.16</v>
      </c>
    </row>
    <row r="1819" spans="1:26" x14ac:dyDescent="0.25">
      <c r="A1819" t="s">
        <v>10</v>
      </c>
      <c r="B1819" t="s">
        <v>1063</v>
      </c>
      <c r="C1819" t="s">
        <v>2173</v>
      </c>
      <c r="D1819" t="s">
        <v>2174</v>
      </c>
      <c r="E1819" t="s">
        <v>2175</v>
      </c>
      <c r="F1819" t="s">
        <v>14</v>
      </c>
      <c r="G1819" t="s">
        <v>2531</v>
      </c>
      <c r="H1819" t="s">
        <v>16</v>
      </c>
      <c r="I1819">
        <v>10001</v>
      </c>
      <c r="J1819" t="s">
        <v>2705</v>
      </c>
      <c r="K1819">
        <f t="shared" si="252"/>
        <v>10001</v>
      </c>
      <c r="N1819" t="str">
        <f t="shared" si="253"/>
        <v>HOLDING REGISTER</v>
      </c>
      <c r="O1819" t="str">
        <f t="shared" si="254"/>
        <v>INT</v>
      </c>
      <c r="P1819" t="str">
        <f t="shared" si="255"/>
        <v>JETFAN V1DX</v>
      </c>
      <c r="R1819" t="str">
        <f t="shared" si="256"/>
        <v>COD. 2= COMANDI MAN: accettato solo se in modalità comandi auto da "QVE" su quadro CABINA per singolo ventilatore e "REMOTO" Quadro "QVFF".</v>
      </c>
      <c r="U1819" t="str">
        <f t="shared" si="257"/>
        <v>Comando</v>
      </c>
      <c r="V1819" t="str">
        <f t="shared" si="258"/>
        <v>GALLERIA</v>
      </c>
      <c r="W1819" t="str">
        <f t="shared" si="259"/>
        <v>GALLERIA SAN GIULIANO</v>
      </c>
      <c r="Z1819" t="str">
        <f t="shared" si="260"/>
        <v>10.220.80.16</v>
      </c>
    </row>
    <row r="1820" spans="1:26" x14ac:dyDescent="0.25">
      <c r="A1820" t="s">
        <v>10</v>
      </c>
      <c r="B1820" t="s">
        <v>1063</v>
      </c>
      <c r="C1820" t="s">
        <v>2173</v>
      </c>
      <c r="D1820" t="s">
        <v>2174</v>
      </c>
      <c r="E1820" t="s">
        <v>2175</v>
      </c>
      <c r="F1820" t="s">
        <v>14</v>
      </c>
      <c r="G1820" t="s">
        <v>2531</v>
      </c>
      <c r="H1820" t="s">
        <v>16</v>
      </c>
      <c r="I1820">
        <v>10001</v>
      </c>
      <c r="J1820" t="s">
        <v>2706</v>
      </c>
      <c r="K1820">
        <f t="shared" si="252"/>
        <v>10001</v>
      </c>
      <c r="N1820" t="str">
        <f t="shared" si="253"/>
        <v>HOLDING REGISTER</v>
      </c>
      <c r="O1820" t="str">
        <f t="shared" si="254"/>
        <v>INT</v>
      </c>
      <c r="P1820" t="str">
        <f t="shared" si="255"/>
        <v>JETFAN V1DX</v>
      </c>
      <c r="R1820" t="str">
        <f t="shared" si="256"/>
        <v>COD. 3= COMANDI AUTO: accettato solo se in modalità comandi auto da "QVE" su quadro CABINA per singolo ventilatore e "REMOTO" Quadro "QVFF".</v>
      </c>
      <c r="U1820" t="str">
        <f t="shared" si="257"/>
        <v>Comando</v>
      </c>
      <c r="V1820" t="str">
        <f t="shared" si="258"/>
        <v>GALLERIA</v>
      </c>
      <c r="W1820" t="str">
        <f t="shared" si="259"/>
        <v>GALLERIA SAN GIULIANO</v>
      </c>
      <c r="Z1820" t="str">
        <f t="shared" si="260"/>
        <v>10.220.80.16</v>
      </c>
    </row>
    <row r="1821" spans="1:26" x14ac:dyDescent="0.25">
      <c r="A1821" t="s">
        <v>10</v>
      </c>
      <c r="B1821" t="s">
        <v>1063</v>
      </c>
      <c r="C1821" t="s">
        <v>2173</v>
      </c>
      <c r="D1821" t="s">
        <v>2174</v>
      </c>
      <c r="E1821" t="s">
        <v>2175</v>
      </c>
      <c r="F1821" t="s">
        <v>14</v>
      </c>
      <c r="G1821" t="s">
        <v>2531</v>
      </c>
      <c r="H1821" t="s">
        <v>16</v>
      </c>
      <c r="I1821">
        <v>10001</v>
      </c>
      <c r="J1821" t="s">
        <v>2707</v>
      </c>
      <c r="K1821">
        <f t="shared" si="252"/>
        <v>10001</v>
      </c>
      <c r="N1821" t="str">
        <f t="shared" si="253"/>
        <v>HOLDING REGISTER</v>
      </c>
      <c r="O1821" t="str">
        <f t="shared" si="254"/>
        <v>INT</v>
      </c>
      <c r="P1821" t="str">
        <f t="shared" si="255"/>
        <v>JETFAN V1DX</v>
      </c>
      <c r="R1821" t="str">
        <f t="shared" si="256"/>
        <v>COD. 4 =ESCLUDI</v>
      </c>
      <c r="U1821" t="str">
        <f t="shared" si="257"/>
        <v>Comando</v>
      </c>
      <c r="V1821" t="str">
        <f t="shared" si="258"/>
        <v>GALLERIA</v>
      </c>
      <c r="W1821" t="str">
        <f t="shared" si="259"/>
        <v>GALLERIA SAN GIULIANO</v>
      </c>
      <c r="Z1821" t="str">
        <f t="shared" si="260"/>
        <v>10.220.80.16</v>
      </c>
    </row>
    <row r="1822" spans="1:26" x14ac:dyDescent="0.25">
      <c r="A1822" t="s">
        <v>10</v>
      </c>
      <c r="B1822" t="s">
        <v>1063</v>
      </c>
      <c r="C1822" t="s">
        <v>2173</v>
      </c>
      <c r="D1822" t="s">
        <v>2174</v>
      </c>
      <c r="E1822" t="s">
        <v>2175</v>
      </c>
      <c r="F1822" t="s">
        <v>14</v>
      </c>
      <c r="G1822" t="s">
        <v>2531</v>
      </c>
      <c r="H1822" t="s">
        <v>16</v>
      </c>
      <c r="I1822">
        <v>10001</v>
      </c>
      <c r="J1822" t="s">
        <v>2708</v>
      </c>
      <c r="K1822">
        <f t="shared" si="252"/>
        <v>10001</v>
      </c>
      <c r="N1822" t="str">
        <f t="shared" si="253"/>
        <v>HOLDING REGISTER</v>
      </c>
      <c r="O1822" t="str">
        <f t="shared" si="254"/>
        <v>INT</v>
      </c>
      <c r="P1822" t="str">
        <f t="shared" si="255"/>
        <v>JETFAN V1DX</v>
      </c>
      <c r="R1822" t="str">
        <f t="shared" si="256"/>
        <v>COD. 5 =INCLUDI</v>
      </c>
      <c r="U1822" t="str">
        <f t="shared" si="257"/>
        <v>Comando</v>
      </c>
      <c r="V1822" t="str">
        <f t="shared" si="258"/>
        <v>GALLERIA</v>
      </c>
      <c r="W1822" t="str">
        <f t="shared" si="259"/>
        <v>GALLERIA SAN GIULIANO</v>
      </c>
      <c r="Z1822" t="str">
        <f t="shared" si="260"/>
        <v>10.220.80.16</v>
      </c>
    </row>
    <row r="1823" spans="1:26" x14ac:dyDescent="0.25">
      <c r="A1823" t="s">
        <v>10</v>
      </c>
      <c r="B1823" t="s">
        <v>1063</v>
      </c>
      <c r="C1823" t="s">
        <v>2173</v>
      </c>
      <c r="D1823" t="s">
        <v>2174</v>
      </c>
      <c r="E1823" t="s">
        <v>2175</v>
      </c>
      <c r="F1823" t="s">
        <v>14</v>
      </c>
      <c r="G1823" t="s">
        <v>2531</v>
      </c>
      <c r="H1823" t="s">
        <v>16</v>
      </c>
      <c r="I1823">
        <v>10001</v>
      </c>
      <c r="J1823" t="s">
        <v>2709</v>
      </c>
      <c r="K1823">
        <f t="shared" si="252"/>
        <v>10001</v>
      </c>
      <c r="N1823" t="str">
        <f t="shared" si="253"/>
        <v>HOLDING REGISTER</v>
      </c>
      <c r="O1823" t="str">
        <f t="shared" si="254"/>
        <v>INT</v>
      </c>
      <c r="P1823" t="str">
        <f t="shared" si="255"/>
        <v>JETFAN V1DX</v>
      </c>
      <c r="R1823" t="str">
        <f t="shared" si="256"/>
        <v>COD. 16 =CMD MARCIA DIR. NORD (*Valido solo se in modalità MAN da SCADA*)</v>
      </c>
      <c r="U1823" t="str">
        <f t="shared" si="257"/>
        <v>Comando</v>
      </c>
      <c r="V1823" t="str">
        <f t="shared" si="258"/>
        <v>GALLERIA</v>
      </c>
      <c r="W1823" t="str">
        <f t="shared" si="259"/>
        <v>GALLERIA SAN GIULIANO</v>
      </c>
      <c r="Z1823" t="str">
        <f t="shared" si="260"/>
        <v>10.220.80.16</v>
      </c>
    </row>
    <row r="1824" spans="1:26" x14ac:dyDescent="0.25">
      <c r="A1824" t="s">
        <v>10</v>
      </c>
      <c r="B1824" t="s">
        <v>1063</v>
      </c>
      <c r="C1824" t="s">
        <v>2173</v>
      </c>
      <c r="D1824" t="s">
        <v>2174</v>
      </c>
      <c r="E1824" t="s">
        <v>2175</v>
      </c>
      <c r="F1824" t="s">
        <v>14</v>
      </c>
      <c r="G1824" t="s">
        <v>2531</v>
      </c>
      <c r="H1824" t="s">
        <v>16</v>
      </c>
      <c r="I1824">
        <v>10001</v>
      </c>
      <c r="J1824" t="s">
        <v>2710</v>
      </c>
      <c r="K1824">
        <f t="shared" si="252"/>
        <v>10001</v>
      </c>
      <c r="N1824" t="str">
        <f t="shared" si="253"/>
        <v>HOLDING REGISTER</v>
      </c>
      <c r="O1824" t="str">
        <f t="shared" si="254"/>
        <v>INT</v>
      </c>
      <c r="P1824" t="str">
        <f t="shared" si="255"/>
        <v>JETFAN V1DX</v>
      </c>
      <c r="R1824" t="str">
        <f t="shared" si="256"/>
        <v>COD. 17 =CMD MARCIA DIR. SUD (*Valido solo se in modalità MAN da SCADA*)</v>
      </c>
      <c r="U1824" t="str">
        <f t="shared" si="257"/>
        <v>Comando</v>
      </c>
      <c r="V1824" t="str">
        <f t="shared" si="258"/>
        <v>GALLERIA</v>
      </c>
      <c r="W1824" t="str">
        <f t="shared" si="259"/>
        <v>GALLERIA SAN GIULIANO</v>
      </c>
      <c r="Z1824" t="str">
        <f t="shared" si="260"/>
        <v>10.220.80.16</v>
      </c>
    </row>
    <row r="1825" spans="1:26" x14ac:dyDescent="0.25">
      <c r="A1825" t="s">
        <v>10</v>
      </c>
      <c r="B1825" t="s">
        <v>1063</v>
      </c>
      <c r="C1825" t="s">
        <v>2173</v>
      </c>
      <c r="D1825" t="s">
        <v>2174</v>
      </c>
      <c r="E1825" t="s">
        <v>2175</v>
      </c>
      <c r="F1825" t="s">
        <v>14</v>
      </c>
      <c r="G1825" t="s">
        <v>2531</v>
      </c>
      <c r="H1825" t="s">
        <v>16</v>
      </c>
      <c r="I1825">
        <v>10001</v>
      </c>
      <c r="J1825" t="s">
        <v>2711</v>
      </c>
      <c r="K1825">
        <f t="shared" si="252"/>
        <v>10001</v>
      </c>
      <c r="N1825" t="str">
        <f t="shared" si="253"/>
        <v>HOLDING REGISTER</v>
      </c>
      <c r="O1825" t="str">
        <f t="shared" si="254"/>
        <v>INT</v>
      </c>
      <c r="P1825" t="str">
        <f t="shared" si="255"/>
        <v>JETFAN V1DX</v>
      </c>
      <c r="R1825" t="str">
        <f t="shared" si="256"/>
        <v>COD. 18 =CMD arresto (*Valido solo se in modalità MAN da SCADA*)</v>
      </c>
      <c r="U1825" t="str">
        <f t="shared" si="257"/>
        <v>Comando</v>
      </c>
      <c r="V1825" t="str">
        <f t="shared" si="258"/>
        <v>GALLERIA</v>
      </c>
      <c r="W1825" t="str">
        <f t="shared" si="259"/>
        <v>GALLERIA SAN GIULIANO</v>
      </c>
      <c r="Z1825" t="str">
        <f t="shared" si="260"/>
        <v>10.220.80.16</v>
      </c>
    </row>
    <row r="1826" spans="1:26" x14ac:dyDescent="0.25">
      <c r="A1826" t="s">
        <v>10</v>
      </c>
      <c r="B1826" t="s">
        <v>1063</v>
      </c>
      <c r="C1826" t="s">
        <v>2173</v>
      </c>
      <c r="D1826" t="s">
        <v>2174</v>
      </c>
      <c r="E1826" t="s">
        <v>2175</v>
      </c>
      <c r="F1826" t="s">
        <v>14</v>
      </c>
      <c r="G1826" t="s">
        <v>2531</v>
      </c>
      <c r="H1826" t="s">
        <v>16</v>
      </c>
      <c r="I1826">
        <v>10001</v>
      </c>
      <c r="J1826" t="s">
        <v>2712</v>
      </c>
      <c r="K1826">
        <f t="shared" si="252"/>
        <v>10001</v>
      </c>
      <c r="N1826" t="str">
        <f t="shared" si="253"/>
        <v>HOLDING REGISTER</v>
      </c>
      <c r="O1826" t="str">
        <f t="shared" si="254"/>
        <v>INT</v>
      </c>
      <c r="P1826" t="str">
        <f t="shared" si="255"/>
        <v>JETFAN V1DX</v>
      </c>
      <c r="R1826" t="str">
        <f t="shared" si="256"/>
        <v>COD. 33 =Comando Reset Allarmi</v>
      </c>
      <c r="U1826" t="str">
        <f t="shared" si="257"/>
        <v>Comando</v>
      </c>
      <c r="V1826" t="str">
        <f t="shared" si="258"/>
        <v>GALLERIA</v>
      </c>
      <c r="W1826" t="str">
        <f t="shared" si="259"/>
        <v>GALLERIA SAN GIULIANO</v>
      </c>
      <c r="Z1826" t="str">
        <f t="shared" si="260"/>
        <v>10.220.80.16</v>
      </c>
    </row>
    <row r="1827" spans="1:26" x14ac:dyDescent="0.25">
      <c r="A1827" t="s">
        <v>10</v>
      </c>
      <c r="B1827" t="s">
        <v>1063</v>
      </c>
      <c r="C1827" t="s">
        <v>2173</v>
      </c>
      <c r="D1827" t="s">
        <v>2174</v>
      </c>
      <c r="E1827" t="s">
        <v>2204</v>
      </c>
      <c r="F1827" t="s">
        <v>14</v>
      </c>
      <c r="G1827" t="s">
        <v>2531</v>
      </c>
      <c r="H1827" t="s">
        <v>16</v>
      </c>
      <c r="I1827">
        <v>10002</v>
      </c>
      <c r="J1827" t="s">
        <v>2705</v>
      </c>
      <c r="K1827">
        <f t="shared" si="252"/>
        <v>10002</v>
      </c>
      <c r="N1827" t="str">
        <f t="shared" si="253"/>
        <v>HOLDING REGISTER</v>
      </c>
      <c r="O1827" t="str">
        <f t="shared" si="254"/>
        <v>INT</v>
      </c>
      <c r="P1827" t="str">
        <f t="shared" si="255"/>
        <v>JETFAN V1SX</v>
      </c>
      <c r="R1827" t="str">
        <f t="shared" si="256"/>
        <v>COD. 2= COMANDI MAN: accettato solo se in modalità comandi auto da "QVE" su quadro CABINA per singolo ventilatore e "REMOTO" Quadro "QVFF".</v>
      </c>
      <c r="U1827" t="str">
        <f t="shared" si="257"/>
        <v>Comando</v>
      </c>
      <c r="V1827" t="str">
        <f t="shared" si="258"/>
        <v>GALLERIA</v>
      </c>
      <c r="W1827" t="str">
        <f t="shared" si="259"/>
        <v>GALLERIA SAN GIULIANO</v>
      </c>
      <c r="Z1827" t="str">
        <f t="shared" si="260"/>
        <v>10.220.80.16</v>
      </c>
    </row>
    <row r="1828" spans="1:26" x14ac:dyDescent="0.25">
      <c r="A1828" t="s">
        <v>10</v>
      </c>
      <c r="B1828" t="s">
        <v>1063</v>
      </c>
      <c r="C1828" t="s">
        <v>2173</v>
      </c>
      <c r="D1828" t="s">
        <v>2174</v>
      </c>
      <c r="E1828" t="s">
        <v>2204</v>
      </c>
      <c r="F1828" t="s">
        <v>14</v>
      </c>
      <c r="G1828" t="s">
        <v>2531</v>
      </c>
      <c r="H1828" t="s">
        <v>16</v>
      </c>
      <c r="I1828">
        <v>10002</v>
      </c>
      <c r="J1828" t="s">
        <v>2706</v>
      </c>
      <c r="K1828">
        <f t="shared" si="252"/>
        <v>10002</v>
      </c>
      <c r="N1828" t="str">
        <f t="shared" si="253"/>
        <v>HOLDING REGISTER</v>
      </c>
      <c r="O1828" t="str">
        <f t="shared" si="254"/>
        <v>INT</v>
      </c>
      <c r="P1828" t="str">
        <f t="shared" si="255"/>
        <v>JETFAN V1SX</v>
      </c>
      <c r="R1828" t="str">
        <f t="shared" si="256"/>
        <v>COD. 3= COMANDI AUTO: accettato solo se in modalità comandi auto da "QVE" su quadro CABINA per singolo ventilatore e "REMOTO" Quadro "QVFF".</v>
      </c>
      <c r="U1828" t="str">
        <f t="shared" si="257"/>
        <v>Comando</v>
      </c>
      <c r="V1828" t="str">
        <f t="shared" si="258"/>
        <v>GALLERIA</v>
      </c>
      <c r="W1828" t="str">
        <f t="shared" si="259"/>
        <v>GALLERIA SAN GIULIANO</v>
      </c>
      <c r="Z1828" t="str">
        <f t="shared" si="260"/>
        <v>10.220.80.16</v>
      </c>
    </row>
    <row r="1829" spans="1:26" x14ac:dyDescent="0.25">
      <c r="A1829" t="s">
        <v>10</v>
      </c>
      <c r="B1829" t="s">
        <v>1063</v>
      </c>
      <c r="C1829" t="s">
        <v>2173</v>
      </c>
      <c r="D1829" t="s">
        <v>2174</v>
      </c>
      <c r="E1829" t="s">
        <v>2204</v>
      </c>
      <c r="F1829" t="s">
        <v>14</v>
      </c>
      <c r="G1829" t="s">
        <v>2531</v>
      </c>
      <c r="H1829" t="s">
        <v>16</v>
      </c>
      <c r="I1829">
        <v>10002</v>
      </c>
      <c r="J1829" t="s">
        <v>2707</v>
      </c>
      <c r="K1829">
        <f t="shared" si="252"/>
        <v>10002</v>
      </c>
      <c r="N1829" t="str">
        <f t="shared" si="253"/>
        <v>HOLDING REGISTER</v>
      </c>
      <c r="O1829" t="str">
        <f t="shared" si="254"/>
        <v>INT</v>
      </c>
      <c r="P1829" t="str">
        <f t="shared" si="255"/>
        <v>JETFAN V1SX</v>
      </c>
      <c r="R1829" t="str">
        <f t="shared" si="256"/>
        <v>COD. 4 =ESCLUDI</v>
      </c>
      <c r="U1829" t="str">
        <f t="shared" si="257"/>
        <v>Comando</v>
      </c>
      <c r="V1829" t="str">
        <f t="shared" si="258"/>
        <v>GALLERIA</v>
      </c>
      <c r="W1829" t="str">
        <f t="shared" si="259"/>
        <v>GALLERIA SAN GIULIANO</v>
      </c>
      <c r="Z1829" t="str">
        <f t="shared" si="260"/>
        <v>10.220.80.16</v>
      </c>
    </row>
    <row r="1830" spans="1:26" x14ac:dyDescent="0.25">
      <c r="A1830" t="s">
        <v>10</v>
      </c>
      <c r="B1830" t="s">
        <v>1063</v>
      </c>
      <c r="C1830" t="s">
        <v>2173</v>
      </c>
      <c r="D1830" t="s">
        <v>2174</v>
      </c>
      <c r="E1830" t="s">
        <v>2204</v>
      </c>
      <c r="F1830" t="s">
        <v>14</v>
      </c>
      <c r="G1830" t="s">
        <v>2531</v>
      </c>
      <c r="H1830" t="s">
        <v>16</v>
      </c>
      <c r="I1830">
        <v>10002</v>
      </c>
      <c r="J1830" t="s">
        <v>2708</v>
      </c>
      <c r="K1830">
        <f t="shared" si="252"/>
        <v>10002</v>
      </c>
      <c r="N1830" t="str">
        <f t="shared" si="253"/>
        <v>HOLDING REGISTER</v>
      </c>
      <c r="O1830" t="str">
        <f t="shared" si="254"/>
        <v>INT</v>
      </c>
      <c r="P1830" t="str">
        <f t="shared" si="255"/>
        <v>JETFAN V1SX</v>
      </c>
      <c r="R1830" t="str">
        <f t="shared" si="256"/>
        <v>COD. 5 =INCLUDI</v>
      </c>
      <c r="U1830" t="str">
        <f t="shared" si="257"/>
        <v>Comando</v>
      </c>
      <c r="V1830" t="str">
        <f t="shared" si="258"/>
        <v>GALLERIA</v>
      </c>
      <c r="W1830" t="str">
        <f t="shared" si="259"/>
        <v>GALLERIA SAN GIULIANO</v>
      </c>
      <c r="Z1830" t="str">
        <f t="shared" si="260"/>
        <v>10.220.80.16</v>
      </c>
    </row>
    <row r="1831" spans="1:26" x14ac:dyDescent="0.25">
      <c r="A1831" t="s">
        <v>10</v>
      </c>
      <c r="B1831" t="s">
        <v>1063</v>
      </c>
      <c r="C1831" t="s">
        <v>2173</v>
      </c>
      <c r="D1831" t="s">
        <v>2174</v>
      </c>
      <c r="E1831" t="s">
        <v>2204</v>
      </c>
      <c r="F1831" t="s">
        <v>14</v>
      </c>
      <c r="G1831" t="s">
        <v>2531</v>
      </c>
      <c r="H1831" t="s">
        <v>16</v>
      </c>
      <c r="I1831">
        <v>10002</v>
      </c>
      <c r="J1831" t="s">
        <v>2709</v>
      </c>
      <c r="K1831">
        <f t="shared" si="252"/>
        <v>10002</v>
      </c>
      <c r="N1831" t="str">
        <f t="shared" si="253"/>
        <v>HOLDING REGISTER</v>
      </c>
      <c r="O1831" t="str">
        <f t="shared" si="254"/>
        <v>INT</v>
      </c>
      <c r="P1831" t="str">
        <f t="shared" si="255"/>
        <v>JETFAN V1SX</v>
      </c>
      <c r="R1831" t="str">
        <f t="shared" si="256"/>
        <v>COD. 16 =CMD MARCIA DIR. NORD (*Valido solo se in modalità MAN da SCADA*)</v>
      </c>
      <c r="U1831" t="str">
        <f t="shared" si="257"/>
        <v>Comando</v>
      </c>
      <c r="V1831" t="str">
        <f t="shared" si="258"/>
        <v>GALLERIA</v>
      </c>
      <c r="W1831" t="str">
        <f t="shared" si="259"/>
        <v>GALLERIA SAN GIULIANO</v>
      </c>
      <c r="Z1831" t="str">
        <f t="shared" si="260"/>
        <v>10.220.80.16</v>
      </c>
    </row>
    <row r="1832" spans="1:26" x14ac:dyDescent="0.25">
      <c r="A1832" t="s">
        <v>10</v>
      </c>
      <c r="B1832" t="s">
        <v>1063</v>
      </c>
      <c r="C1832" t="s">
        <v>2173</v>
      </c>
      <c r="D1832" t="s">
        <v>2174</v>
      </c>
      <c r="E1832" t="s">
        <v>2204</v>
      </c>
      <c r="F1832" t="s">
        <v>14</v>
      </c>
      <c r="G1832" t="s">
        <v>2531</v>
      </c>
      <c r="H1832" t="s">
        <v>16</v>
      </c>
      <c r="I1832">
        <v>10002</v>
      </c>
      <c r="J1832" t="s">
        <v>2710</v>
      </c>
      <c r="K1832">
        <f t="shared" si="252"/>
        <v>10002</v>
      </c>
      <c r="N1832" t="str">
        <f t="shared" si="253"/>
        <v>HOLDING REGISTER</v>
      </c>
      <c r="O1832" t="str">
        <f t="shared" si="254"/>
        <v>INT</v>
      </c>
      <c r="P1832" t="str">
        <f t="shared" si="255"/>
        <v>JETFAN V1SX</v>
      </c>
      <c r="R1832" t="str">
        <f t="shared" si="256"/>
        <v>COD. 17 =CMD MARCIA DIR. SUD (*Valido solo se in modalità MAN da SCADA*)</v>
      </c>
      <c r="U1832" t="str">
        <f t="shared" si="257"/>
        <v>Comando</v>
      </c>
      <c r="V1832" t="str">
        <f t="shared" si="258"/>
        <v>GALLERIA</v>
      </c>
      <c r="W1832" t="str">
        <f t="shared" si="259"/>
        <v>GALLERIA SAN GIULIANO</v>
      </c>
      <c r="Z1832" t="str">
        <f t="shared" si="260"/>
        <v>10.220.80.16</v>
      </c>
    </row>
    <row r="1833" spans="1:26" x14ac:dyDescent="0.25">
      <c r="A1833" t="s">
        <v>10</v>
      </c>
      <c r="B1833" t="s">
        <v>1063</v>
      </c>
      <c r="C1833" t="s">
        <v>2173</v>
      </c>
      <c r="D1833" t="s">
        <v>2174</v>
      </c>
      <c r="E1833" t="s">
        <v>2204</v>
      </c>
      <c r="F1833" t="s">
        <v>14</v>
      </c>
      <c r="G1833" t="s">
        <v>2531</v>
      </c>
      <c r="H1833" t="s">
        <v>16</v>
      </c>
      <c r="I1833">
        <v>10002</v>
      </c>
      <c r="J1833" t="s">
        <v>2711</v>
      </c>
      <c r="K1833">
        <f t="shared" si="252"/>
        <v>10002</v>
      </c>
      <c r="N1833" t="str">
        <f t="shared" si="253"/>
        <v>HOLDING REGISTER</v>
      </c>
      <c r="O1833" t="str">
        <f t="shared" si="254"/>
        <v>INT</v>
      </c>
      <c r="P1833" t="str">
        <f t="shared" si="255"/>
        <v>JETFAN V1SX</v>
      </c>
      <c r="R1833" t="str">
        <f t="shared" si="256"/>
        <v>COD. 18 =CMD arresto (*Valido solo se in modalità MAN da SCADA*)</v>
      </c>
      <c r="U1833" t="str">
        <f t="shared" si="257"/>
        <v>Comando</v>
      </c>
      <c r="V1833" t="str">
        <f t="shared" si="258"/>
        <v>GALLERIA</v>
      </c>
      <c r="W1833" t="str">
        <f t="shared" si="259"/>
        <v>GALLERIA SAN GIULIANO</v>
      </c>
      <c r="Z1833" t="str">
        <f t="shared" si="260"/>
        <v>10.220.80.16</v>
      </c>
    </row>
    <row r="1834" spans="1:26" x14ac:dyDescent="0.25">
      <c r="A1834" t="s">
        <v>10</v>
      </c>
      <c r="B1834" t="s">
        <v>1063</v>
      </c>
      <c r="C1834" t="s">
        <v>2173</v>
      </c>
      <c r="D1834" t="s">
        <v>2174</v>
      </c>
      <c r="E1834" t="s">
        <v>2204</v>
      </c>
      <c r="F1834" t="s">
        <v>14</v>
      </c>
      <c r="G1834" t="s">
        <v>2531</v>
      </c>
      <c r="H1834" t="s">
        <v>16</v>
      </c>
      <c r="I1834">
        <v>10002</v>
      </c>
      <c r="J1834" t="s">
        <v>2712</v>
      </c>
      <c r="K1834">
        <f t="shared" si="252"/>
        <v>10002</v>
      </c>
      <c r="N1834" t="str">
        <f t="shared" si="253"/>
        <v>HOLDING REGISTER</v>
      </c>
      <c r="O1834" t="str">
        <f t="shared" si="254"/>
        <v>INT</v>
      </c>
      <c r="P1834" t="str">
        <f t="shared" si="255"/>
        <v>JETFAN V1SX</v>
      </c>
      <c r="R1834" t="str">
        <f t="shared" si="256"/>
        <v>COD. 33 =Comando Reset Allarmi</v>
      </c>
      <c r="U1834" t="str">
        <f t="shared" si="257"/>
        <v>Comando</v>
      </c>
      <c r="V1834" t="str">
        <f t="shared" si="258"/>
        <v>GALLERIA</v>
      </c>
      <c r="W1834" t="str">
        <f t="shared" si="259"/>
        <v>GALLERIA SAN GIULIANO</v>
      </c>
      <c r="Z1834" t="str">
        <f t="shared" si="260"/>
        <v>10.220.80.16</v>
      </c>
    </row>
    <row r="1835" spans="1:26" x14ac:dyDescent="0.25">
      <c r="A1835" t="s">
        <v>10</v>
      </c>
      <c r="B1835" t="s">
        <v>1063</v>
      </c>
      <c r="C1835" t="s">
        <v>2173</v>
      </c>
      <c r="D1835" t="s">
        <v>2174</v>
      </c>
      <c r="E1835" t="s">
        <v>2219</v>
      </c>
      <c r="F1835" t="s">
        <v>14</v>
      </c>
      <c r="G1835" t="s">
        <v>2531</v>
      </c>
      <c r="H1835" t="s">
        <v>16</v>
      </c>
      <c r="I1835">
        <v>10003</v>
      </c>
      <c r="J1835" t="s">
        <v>2705</v>
      </c>
      <c r="K1835">
        <f t="shared" si="252"/>
        <v>10003</v>
      </c>
      <c r="N1835" t="str">
        <f t="shared" si="253"/>
        <v>HOLDING REGISTER</v>
      </c>
      <c r="O1835" t="str">
        <f t="shared" si="254"/>
        <v>INT</v>
      </c>
      <c r="P1835" t="str">
        <f t="shared" si="255"/>
        <v>JETFAN V2DX</v>
      </c>
      <c r="R1835" t="str">
        <f t="shared" si="256"/>
        <v>COD. 2= COMANDI MAN: accettato solo se in modalità comandi auto da "QVE" su quadro CABINA per singolo ventilatore e "REMOTO" Quadro "QVFF".</v>
      </c>
      <c r="U1835" t="str">
        <f t="shared" si="257"/>
        <v>Comando</v>
      </c>
      <c r="V1835" t="str">
        <f t="shared" si="258"/>
        <v>GALLERIA</v>
      </c>
      <c r="W1835" t="str">
        <f t="shared" si="259"/>
        <v>GALLERIA SAN GIULIANO</v>
      </c>
      <c r="Z1835" t="str">
        <f t="shared" si="260"/>
        <v>10.220.80.16</v>
      </c>
    </row>
    <row r="1836" spans="1:26" x14ac:dyDescent="0.25">
      <c r="A1836" t="s">
        <v>10</v>
      </c>
      <c r="B1836" t="s">
        <v>1063</v>
      </c>
      <c r="C1836" t="s">
        <v>2173</v>
      </c>
      <c r="D1836" t="s">
        <v>2174</v>
      </c>
      <c r="E1836" t="s">
        <v>2219</v>
      </c>
      <c r="F1836" t="s">
        <v>14</v>
      </c>
      <c r="G1836" t="s">
        <v>2531</v>
      </c>
      <c r="H1836" t="s">
        <v>16</v>
      </c>
      <c r="I1836">
        <v>10003</v>
      </c>
      <c r="J1836" t="s">
        <v>2706</v>
      </c>
      <c r="K1836">
        <f t="shared" si="252"/>
        <v>10003</v>
      </c>
      <c r="N1836" t="str">
        <f t="shared" si="253"/>
        <v>HOLDING REGISTER</v>
      </c>
      <c r="O1836" t="str">
        <f t="shared" si="254"/>
        <v>INT</v>
      </c>
      <c r="P1836" t="str">
        <f t="shared" si="255"/>
        <v>JETFAN V2DX</v>
      </c>
      <c r="R1836" t="str">
        <f t="shared" si="256"/>
        <v>COD. 3= COMANDI AUTO: accettato solo se in modalità comandi auto da "QVE" su quadro CABINA per singolo ventilatore e "REMOTO" Quadro "QVFF".</v>
      </c>
      <c r="U1836" t="str">
        <f t="shared" si="257"/>
        <v>Comando</v>
      </c>
      <c r="V1836" t="str">
        <f t="shared" si="258"/>
        <v>GALLERIA</v>
      </c>
      <c r="W1836" t="str">
        <f t="shared" si="259"/>
        <v>GALLERIA SAN GIULIANO</v>
      </c>
      <c r="Z1836" t="str">
        <f t="shared" si="260"/>
        <v>10.220.80.16</v>
      </c>
    </row>
    <row r="1837" spans="1:26" x14ac:dyDescent="0.25">
      <c r="A1837" t="s">
        <v>10</v>
      </c>
      <c r="B1837" t="s">
        <v>1063</v>
      </c>
      <c r="C1837" t="s">
        <v>2173</v>
      </c>
      <c r="D1837" t="s">
        <v>2174</v>
      </c>
      <c r="E1837" t="s">
        <v>2219</v>
      </c>
      <c r="F1837" t="s">
        <v>14</v>
      </c>
      <c r="G1837" t="s">
        <v>2531</v>
      </c>
      <c r="H1837" t="s">
        <v>16</v>
      </c>
      <c r="I1837">
        <v>10003</v>
      </c>
      <c r="J1837" t="s">
        <v>2707</v>
      </c>
      <c r="K1837">
        <f t="shared" si="252"/>
        <v>10003</v>
      </c>
      <c r="N1837" t="str">
        <f t="shared" si="253"/>
        <v>HOLDING REGISTER</v>
      </c>
      <c r="O1837" t="str">
        <f t="shared" si="254"/>
        <v>INT</v>
      </c>
      <c r="P1837" t="str">
        <f t="shared" si="255"/>
        <v>JETFAN V2DX</v>
      </c>
      <c r="R1837" t="str">
        <f t="shared" si="256"/>
        <v>COD. 4 =ESCLUDI</v>
      </c>
      <c r="U1837" t="str">
        <f t="shared" si="257"/>
        <v>Comando</v>
      </c>
      <c r="V1837" t="str">
        <f t="shared" si="258"/>
        <v>GALLERIA</v>
      </c>
      <c r="W1837" t="str">
        <f t="shared" si="259"/>
        <v>GALLERIA SAN GIULIANO</v>
      </c>
      <c r="Z1837" t="str">
        <f t="shared" si="260"/>
        <v>10.220.80.16</v>
      </c>
    </row>
    <row r="1838" spans="1:26" x14ac:dyDescent="0.25">
      <c r="A1838" t="s">
        <v>10</v>
      </c>
      <c r="B1838" t="s">
        <v>1063</v>
      </c>
      <c r="C1838" t="s">
        <v>2173</v>
      </c>
      <c r="D1838" t="s">
        <v>2174</v>
      </c>
      <c r="E1838" t="s">
        <v>2219</v>
      </c>
      <c r="F1838" t="s">
        <v>14</v>
      </c>
      <c r="G1838" t="s">
        <v>2531</v>
      </c>
      <c r="H1838" t="s">
        <v>16</v>
      </c>
      <c r="I1838">
        <v>10003</v>
      </c>
      <c r="J1838" t="s">
        <v>2708</v>
      </c>
      <c r="K1838">
        <f t="shared" si="252"/>
        <v>10003</v>
      </c>
      <c r="N1838" t="str">
        <f t="shared" si="253"/>
        <v>HOLDING REGISTER</v>
      </c>
      <c r="O1838" t="str">
        <f t="shared" si="254"/>
        <v>INT</v>
      </c>
      <c r="P1838" t="str">
        <f t="shared" si="255"/>
        <v>JETFAN V2DX</v>
      </c>
      <c r="R1838" t="str">
        <f t="shared" si="256"/>
        <v>COD. 5 =INCLUDI</v>
      </c>
      <c r="U1838" t="str">
        <f t="shared" si="257"/>
        <v>Comando</v>
      </c>
      <c r="V1838" t="str">
        <f t="shared" si="258"/>
        <v>GALLERIA</v>
      </c>
      <c r="W1838" t="str">
        <f t="shared" si="259"/>
        <v>GALLERIA SAN GIULIANO</v>
      </c>
      <c r="Z1838" t="str">
        <f t="shared" si="260"/>
        <v>10.220.80.16</v>
      </c>
    </row>
    <row r="1839" spans="1:26" x14ac:dyDescent="0.25">
      <c r="A1839" t="s">
        <v>10</v>
      </c>
      <c r="B1839" t="s">
        <v>1063</v>
      </c>
      <c r="C1839" t="s">
        <v>2173</v>
      </c>
      <c r="D1839" t="s">
        <v>2174</v>
      </c>
      <c r="E1839" t="s">
        <v>2219</v>
      </c>
      <c r="F1839" t="s">
        <v>14</v>
      </c>
      <c r="G1839" t="s">
        <v>2531</v>
      </c>
      <c r="H1839" t="s">
        <v>16</v>
      </c>
      <c r="I1839">
        <v>10003</v>
      </c>
      <c r="J1839" t="s">
        <v>2709</v>
      </c>
      <c r="K1839">
        <f t="shared" si="252"/>
        <v>10003</v>
      </c>
      <c r="N1839" t="str">
        <f t="shared" si="253"/>
        <v>HOLDING REGISTER</v>
      </c>
      <c r="O1839" t="str">
        <f t="shared" si="254"/>
        <v>INT</v>
      </c>
      <c r="P1839" t="str">
        <f t="shared" si="255"/>
        <v>JETFAN V2DX</v>
      </c>
      <c r="R1839" t="str">
        <f t="shared" si="256"/>
        <v>COD. 16 =CMD MARCIA DIR. NORD (*Valido solo se in modalità MAN da SCADA*)</v>
      </c>
      <c r="U1839" t="str">
        <f t="shared" si="257"/>
        <v>Comando</v>
      </c>
      <c r="V1839" t="str">
        <f t="shared" si="258"/>
        <v>GALLERIA</v>
      </c>
      <c r="W1839" t="str">
        <f t="shared" si="259"/>
        <v>GALLERIA SAN GIULIANO</v>
      </c>
      <c r="Z1839" t="str">
        <f t="shared" si="260"/>
        <v>10.220.80.16</v>
      </c>
    </row>
    <row r="1840" spans="1:26" x14ac:dyDescent="0.25">
      <c r="A1840" t="s">
        <v>10</v>
      </c>
      <c r="B1840" t="s">
        <v>1063</v>
      </c>
      <c r="C1840" t="s">
        <v>2173</v>
      </c>
      <c r="D1840" t="s">
        <v>2174</v>
      </c>
      <c r="E1840" t="s">
        <v>2219</v>
      </c>
      <c r="F1840" t="s">
        <v>14</v>
      </c>
      <c r="G1840" t="s">
        <v>2531</v>
      </c>
      <c r="H1840" t="s">
        <v>16</v>
      </c>
      <c r="I1840">
        <v>10003</v>
      </c>
      <c r="J1840" t="s">
        <v>2710</v>
      </c>
      <c r="K1840">
        <f t="shared" si="252"/>
        <v>10003</v>
      </c>
      <c r="N1840" t="str">
        <f t="shared" si="253"/>
        <v>HOLDING REGISTER</v>
      </c>
      <c r="O1840" t="str">
        <f t="shared" si="254"/>
        <v>INT</v>
      </c>
      <c r="P1840" t="str">
        <f t="shared" si="255"/>
        <v>JETFAN V2DX</v>
      </c>
      <c r="R1840" t="str">
        <f t="shared" si="256"/>
        <v>COD. 17 =CMD MARCIA DIR. SUD (*Valido solo se in modalità MAN da SCADA*)</v>
      </c>
      <c r="U1840" t="str">
        <f t="shared" si="257"/>
        <v>Comando</v>
      </c>
      <c r="V1840" t="str">
        <f t="shared" si="258"/>
        <v>GALLERIA</v>
      </c>
      <c r="W1840" t="str">
        <f t="shared" si="259"/>
        <v>GALLERIA SAN GIULIANO</v>
      </c>
      <c r="Z1840" t="str">
        <f t="shared" si="260"/>
        <v>10.220.80.16</v>
      </c>
    </row>
    <row r="1841" spans="1:26" x14ac:dyDescent="0.25">
      <c r="A1841" t="s">
        <v>10</v>
      </c>
      <c r="B1841" t="s">
        <v>1063</v>
      </c>
      <c r="C1841" t="s">
        <v>2173</v>
      </c>
      <c r="D1841" t="s">
        <v>2174</v>
      </c>
      <c r="E1841" t="s">
        <v>2219</v>
      </c>
      <c r="F1841" t="s">
        <v>14</v>
      </c>
      <c r="G1841" t="s">
        <v>2531</v>
      </c>
      <c r="H1841" t="s">
        <v>16</v>
      </c>
      <c r="I1841">
        <v>10003</v>
      </c>
      <c r="J1841" t="s">
        <v>2711</v>
      </c>
      <c r="K1841">
        <f t="shared" si="252"/>
        <v>10003</v>
      </c>
      <c r="N1841" t="str">
        <f t="shared" si="253"/>
        <v>HOLDING REGISTER</v>
      </c>
      <c r="O1841" t="str">
        <f t="shared" si="254"/>
        <v>INT</v>
      </c>
      <c r="P1841" t="str">
        <f t="shared" si="255"/>
        <v>JETFAN V2DX</v>
      </c>
      <c r="R1841" t="str">
        <f t="shared" si="256"/>
        <v>COD. 18 =CMD arresto (*Valido solo se in modalità MAN da SCADA*)</v>
      </c>
      <c r="U1841" t="str">
        <f t="shared" si="257"/>
        <v>Comando</v>
      </c>
      <c r="V1841" t="str">
        <f t="shared" si="258"/>
        <v>GALLERIA</v>
      </c>
      <c r="W1841" t="str">
        <f t="shared" si="259"/>
        <v>GALLERIA SAN GIULIANO</v>
      </c>
      <c r="Z1841" t="str">
        <f t="shared" si="260"/>
        <v>10.220.80.16</v>
      </c>
    </row>
    <row r="1842" spans="1:26" x14ac:dyDescent="0.25">
      <c r="A1842" t="s">
        <v>10</v>
      </c>
      <c r="B1842" t="s">
        <v>1063</v>
      </c>
      <c r="C1842" t="s">
        <v>2173</v>
      </c>
      <c r="D1842" t="s">
        <v>2174</v>
      </c>
      <c r="E1842" t="s">
        <v>2219</v>
      </c>
      <c r="F1842" t="s">
        <v>14</v>
      </c>
      <c r="G1842" t="s">
        <v>2531</v>
      </c>
      <c r="H1842" t="s">
        <v>16</v>
      </c>
      <c r="I1842">
        <v>10003</v>
      </c>
      <c r="J1842" t="s">
        <v>2712</v>
      </c>
      <c r="K1842">
        <f t="shared" si="252"/>
        <v>10003</v>
      </c>
      <c r="N1842" t="str">
        <f t="shared" si="253"/>
        <v>HOLDING REGISTER</v>
      </c>
      <c r="O1842" t="str">
        <f t="shared" si="254"/>
        <v>INT</v>
      </c>
      <c r="P1842" t="str">
        <f t="shared" si="255"/>
        <v>JETFAN V2DX</v>
      </c>
      <c r="R1842" t="str">
        <f t="shared" si="256"/>
        <v>COD. 33 =Comando Reset Allarmi</v>
      </c>
      <c r="U1842" t="str">
        <f t="shared" si="257"/>
        <v>Comando</v>
      </c>
      <c r="V1842" t="str">
        <f t="shared" si="258"/>
        <v>GALLERIA</v>
      </c>
      <c r="W1842" t="str">
        <f t="shared" si="259"/>
        <v>GALLERIA SAN GIULIANO</v>
      </c>
      <c r="Z1842" t="str">
        <f t="shared" si="260"/>
        <v>10.220.80.16</v>
      </c>
    </row>
    <row r="1843" spans="1:26" x14ac:dyDescent="0.25">
      <c r="A1843" t="s">
        <v>10</v>
      </c>
      <c r="B1843" t="s">
        <v>1063</v>
      </c>
      <c r="C1843" t="s">
        <v>2173</v>
      </c>
      <c r="D1843" t="s">
        <v>2174</v>
      </c>
      <c r="E1843" t="s">
        <v>2234</v>
      </c>
      <c r="F1843" t="s">
        <v>14</v>
      </c>
      <c r="G1843" t="s">
        <v>2531</v>
      </c>
      <c r="H1843" t="s">
        <v>16</v>
      </c>
      <c r="I1843">
        <v>10004</v>
      </c>
      <c r="J1843" t="s">
        <v>2705</v>
      </c>
      <c r="K1843">
        <f t="shared" si="252"/>
        <v>10004</v>
      </c>
      <c r="N1843" t="str">
        <f t="shared" si="253"/>
        <v>HOLDING REGISTER</v>
      </c>
      <c r="O1843" t="str">
        <f t="shared" si="254"/>
        <v>INT</v>
      </c>
      <c r="P1843" t="str">
        <f t="shared" si="255"/>
        <v>JETFAN V2SX</v>
      </c>
      <c r="R1843" t="str">
        <f t="shared" si="256"/>
        <v>COD. 2= COMANDI MAN: accettato solo se in modalità comandi auto da "QVE" su quadro CABINA per singolo ventilatore e "REMOTO" Quadro "QVFF".</v>
      </c>
      <c r="U1843" t="str">
        <f t="shared" si="257"/>
        <v>Comando</v>
      </c>
      <c r="V1843" t="str">
        <f t="shared" si="258"/>
        <v>GALLERIA</v>
      </c>
      <c r="W1843" t="str">
        <f t="shared" si="259"/>
        <v>GALLERIA SAN GIULIANO</v>
      </c>
      <c r="Z1843" t="str">
        <f t="shared" si="260"/>
        <v>10.220.80.16</v>
      </c>
    </row>
    <row r="1844" spans="1:26" x14ac:dyDescent="0.25">
      <c r="A1844" t="s">
        <v>10</v>
      </c>
      <c r="B1844" t="s">
        <v>1063</v>
      </c>
      <c r="C1844" t="s">
        <v>2173</v>
      </c>
      <c r="D1844" t="s">
        <v>2174</v>
      </c>
      <c r="E1844" t="s">
        <v>2234</v>
      </c>
      <c r="F1844" t="s">
        <v>14</v>
      </c>
      <c r="G1844" t="s">
        <v>2531</v>
      </c>
      <c r="H1844" t="s">
        <v>16</v>
      </c>
      <c r="I1844">
        <v>10004</v>
      </c>
      <c r="J1844" t="s">
        <v>2706</v>
      </c>
      <c r="K1844">
        <f t="shared" si="252"/>
        <v>10004</v>
      </c>
      <c r="N1844" t="str">
        <f t="shared" si="253"/>
        <v>HOLDING REGISTER</v>
      </c>
      <c r="O1844" t="str">
        <f t="shared" si="254"/>
        <v>INT</v>
      </c>
      <c r="P1844" t="str">
        <f t="shared" si="255"/>
        <v>JETFAN V2SX</v>
      </c>
      <c r="R1844" t="str">
        <f t="shared" si="256"/>
        <v>COD. 3= COMANDI AUTO: accettato solo se in modalità comandi auto da "QVE" su quadro CABINA per singolo ventilatore e "REMOTO" Quadro "QVFF".</v>
      </c>
      <c r="U1844" t="str">
        <f t="shared" si="257"/>
        <v>Comando</v>
      </c>
      <c r="V1844" t="str">
        <f t="shared" si="258"/>
        <v>GALLERIA</v>
      </c>
      <c r="W1844" t="str">
        <f t="shared" si="259"/>
        <v>GALLERIA SAN GIULIANO</v>
      </c>
      <c r="Z1844" t="str">
        <f t="shared" si="260"/>
        <v>10.220.80.16</v>
      </c>
    </row>
    <row r="1845" spans="1:26" x14ac:dyDescent="0.25">
      <c r="A1845" t="s">
        <v>10</v>
      </c>
      <c r="B1845" t="s">
        <v>1063</v>
      </c>
      <c r="C1845" t="s">
        <v>2173</v>
      </c>
      <c r="D1845" t="s">
        <v>2174</v>
      </c>
      <c r="E1845" t="s">
        <v>2234</v>
      </c>
      <c r="F1845" t="s">
        <v>14</v>
      </c>
      <c r="G1845" t="s">
        <v>2531</v>
      </c>
      <c r="H1845" t="s">
        <v>16</v>
      </c>
      <c r="I1845">
        <v>10004</v>
      </c>
      <c r="J1845" t="s">
        <v>2707</v>
      </c>
      <c r="K1845">
        <f t="shared" si="252"/>
        <v>10004</v>
      </c>
      <c r="N1845" t="str">
        <f t="shared" si="253"/>
        <v>HOLDING REGISTER</v>
      </c>
      <c r="O1845" t="str">
        <f t="shared" si="254"/>
        <v>INT</v>
      </c>
      <c r="P1845" t="str">
        <f t="shared" si="255"/>
        <v>JETFAN V2SX</v>
      </c>
      <c r="R1845" t="str">
        <f t="shared" si="256"/>
        <v>COD. 4 =ESCLUDI</v>
      </c>
      <c r="U1845" t="str">
        <f t="shared" si="257"/>
        <v>Comando</v>
      </c>
      <c r="V1845" t="str">
        <f t="shared" si="258"/>
        <v>GALLERIA</v>
      </c>
      <c r="W1845" t="str">
        <f t="shared" si="259"/>
        <v>GALLERIA SAN GIULIANO</v>
      </c>
      <c r="Z1845" t="str">
        <f t="shared" si="260"/>
        <v>10.220.80.16</v>
      </c>
    </row>
    <row r="1846" spans="1:26" x14ac:dyDescent="0.25">
      <c r="A1846" t="s">
        <v>10</v>
      </c>
      <c r="B1846" t="s">
        <v>1063</v>
      </c>
      <c r="C1846" t="s">
        <v>2173</v>
      </c>
      <c r="D1846" t="s">
        <v>2174</v>
      </c>
      <c r="E1846" t="s">
        <v>2234</v>
      </c>
      <c r="F1846" t="s">
        <v>14</v>
      </c>
      <c r="G1846" t="s">
        <v>2531</v>
      </c>
      <c r="H1846" t="s">
        <v>16</v>
      </c>
      <c r="I1846">
        <v>10004</v>
      </c>
      <c r="J1846" t="s">
        <v>2708</v>
      </c>
      <c r="K1846">
        <f t="shared" si="252"/>
        <v>10004</v>
      </c>
      <c r="N1846" t="str">
        <f t="shared" si="253"/>
        <v>HOLDING REGISTER</v>
      </c>
      <c r="O1846" t="str">
        <f t="shared" si="254"/>
        <v>INT</v>
      </c>
      <c r="P1846" t="str">
        <f t="shared" si="255"/>
        <v>JETFAN V2SX</v>
      </c>
      <c r="R1846" t="str">
        <f t="shared" si="256"/>
        <v>COD. 5 =INCLUDI</v>
      </c>
      <c r="U1846" t="str">
        <f t="shared" si="257"/>
        <v>Comando</v>
      </c>
      <c r="V1846" t="str">
        <f t="shared" si="258"/>
        <v>GALLERIA</v>
      </c>
      <c r="W1846" t="str">
        <f t="shared" si="259"/>
        <v>GALLERIA SAN GIULIANO</v>
      </c>
      <c r="Z1846" t="str">
        <f t="shared" si="260"/>
        <v>10.220.80.16</v>
      </c>
    </row>
    <row r="1847" spans="1:26" x14ac:dyDescent="0.25">
      <c r="A1847" t="s">
        <v>10</v>
      </c>
      <c r="B1847" t="s">
        <v>1063</v>
      </c>
      <c r="C1847" t="s">
        <v>2173</v>
      </c>
      <c r="D1847" t="s">
        <v>2174</v>
      </c>
      <c r="E1847" t="s">
        <v>2234</v>
      </c>
      <c r="F1847" t="s">
        <v>14</v>
      </c>
      <c r="G1847" t="s">
        <v>2531</v>
      </c>
      <c r="H1847" t="s">
        <v>16</v>
      </c>
      <c r="I1847">
        <v>10004</v>
      </c>
      <c r="J1847" t="s">
        <v>2709</v>
      </c>
      <c r="K1847">
        <f t="shared" si="252"/>
        <v>10004</v>
      </c>
      <c r="N1847" t="str">
        <f t="shared" si="253"/>
        <v>HOLDING REGISTER</v>
      </c>
      <c r="O1847" t="str">
        <f t="shared" si="254"/>
        <v>INT</v>
      </c>
      <c r="P1847" t="str">
        <f t="shared" si="255"/>
        <v>JETFAN V2SX</v>
      </c>
      <c r="R1847" t="str">
        <f t="shared" si="256"/>
        <v>COD. 16 =CMD MARCIA DIR. NORD (*Valido solo se in modalità MAN da SCADA*)</v>
      </c>
      <c r="U1847" t="str">
        <f t="shared" si="257"/>
        <v>Comando</v>
      </c>
      <c r="V1847" t="str">
        <f t="shared" si="258"/>
        <v>GALLERIA</v>
      </c>
      <c r="W1847" t="str">
        <f t="shared" si="259"/>
        <v>GALLERIA SAN GIULIANO</v>
      </c>
      <c r="Z1847" t="str">
        <f t="shared" si="260"/>
        <v>10.220.80.16</v>
      </c>
    </row>
    <row r="1848" spans="1:26" x14ac:dyDescent="0.25">
      <c r="A1848" t="s">
        <v>10</v>
      </c>
      <c r="B1848" t="s">
        <v>1063</v>
      </c>
      <c r="C1848" t="s">
        <v>2173</v>
      </c>
      <c r="D1848" t="s">
        <v>2174</v>
      </c>
      <c r="E1848" t="s">
        <v>2234</v>
      </c>
      <c r="F1848" t="s">
        <v>14</v>
      </c>
      <c r="G1848" t="s">
        <v>2531</v>
      </c>
      <c r="H1848" t="s">
        <v>16</v>
      </c>
      <c r="I1848">
        <v>10004</v>
      </c>
      <c r="J1848" t="s">
        <v>2710</v>
      </c>
      <c r="K1848">
        <f t="shared" si="252"/>
        <v>10004</v>
      </c>
      <c r="N1848" t="str">
        <f t="shared" si="253"/>
        <v>HOLDING REGISTER</v>
      </c>
      <c r="O1848" t="str">
        <f t="shared" si="254"/>
        <v>INT</v>
      </c>
      <c r="P1848" t="str">
        <f t="shared" si="255"/>
        <v>JETFAN V2SX</v>
      </c>
      <c r="R1848" t="str">
        <f t="shared" si="256"/>
        <v>COD. 17 =CMD MARCIA DIR. SUD (*Valido solo se in modalità MAN da SCADA*)</v>
      </c>
      <c r="U1848" t="str">
        <f t="shared" si="257"/>
        <v>Comando</v>
      </c>
      <c r="V1848" t="str">
        <f t="shared" si="258"/>
        <v>GALLERIA</v>
      </c>
      <c r="W1848" t="str">
        <f t="shared" si="259"/>
        <v>GALLERIA SAN GIULIANO</v>
      </c>
      <c r="Z1848" t="str">
        <f t="shared" si="260"/>
        <v>10.220.80.16</v>
      </c>
    </row>
    <row r="1849" spans="1:26" x14ac:dyDescent="0.25">
      <c r="A1849" t="s">
        <v>10</v>
      </c>
      <c r="B1849" t="s">
        <v>1063</v>
      </c>
      <c r="C1849" t="s">
        <v>2173</v>
      </c>
      <c r="D1849" t="s">
        <v>2174</v>
      </c>
      <c r="E1849" t="s">
        <v>2234</v>
      </c>
      <c r="F1849" t="s">
        <v>14</v>
      </c>
      <c r="G1849" t="s">
        <v>2531</v>
      </c>
      <c r="H1849" t="s">
        <v>16</v>
      </c>
      <c r="I1849">
        <v>10004</v>
      </c>
      <c r="J1849" t="s">
        <v>2711</v>
      </c>
      <c r="K1849">
        <f t="shared" si="252"/>
        <v>10004</v>
      </c>
      <c r="N1849" t="str">
        <f t="shared" si="253"/>
        <v>HOLDING REGISTER</v>
      </c>
      <c r="O1849" t="str">
        <f t="shared" si="254"/>
        <v>INT</v>
      </c>
      <c r="P1849" t="str">
        <f t="shared" si="255"/>
        <v>JETFAN V2SX</v>
      </c>
      <c r="R1849" t="str">
        <f t="shared" si="256"/>
        <v>COD. 18 =CMD arresto (*Valido solo se in modalità MAN da SCADA*)</v>
      </c>
      <c r="U1849" t="str">
        <f t="shared" si="257"/>
        <v>Comando</v>
      </c>
      <c r="V1849" t="str">
        <f t="shared" si="258"/>
        <v>GALLERIA</v>
      </c>
      <c r="W1849" t="str">
        <f t="shared" si="259"/>
        <v>GALLERIA SAN GIULIANO</v>
      </c>
      <c r="Z1849" t="str">
        <f t="shared" si="260"/>
        <v>10.220.80.16</v>
      </c>
    </row>
    <row r="1850" spans="1:26" x14ac:dyDescent="0.25">
      <c r="A1850" t="s">
        <v>10</v>
      </c>
      <c r="B1850" t="s">
        <v>1063</v>
      </c>
      <c r="C1850" t="s">
        <v>2173</v>
      </c>
      <c r="D1850" t="s">
        <v>2174</v>
      </c>
      <c r="E1850" t="s">
        <v>2234</v>
      </c>
      <c r="F1850" t="s">
        <v>14</v>
      </c>
      <c r="G1850" t="s">
        <v>2531</v>
      </c>
      <c r="H1850" t="s">
        <v>16</v>
      </c>
      <c r="I1850">
        <v>10004</v>
      </c>
      <c r="J1850" t="s">
        <v>2712</v>
      </c>
      <c r="K1850">
        <f t="shared" si="252"/>
        <v>10004</v>
      </c>
      <c r="N1850" t="str">
        <f t="shared" si="253"/>
        <v>HOLDING REGISTER</v>
      </c>
      <c r="O1850" t="str">
        <f t="shared" si="254"/>
        <v>INT</v>
      </c>
      <c r="P1850" t="str">
        <f t="shared" si="255"/>
        <v>JETFAN V2SX</v>
      </c>
      <c r="R1850" t="str">
        <f t="shared" si="256"/>
        <v>COD. 33 =Comando Reset Allarmi</v>
      </c>
      <c r="U1850" t="str">
        <f t="shared" si="257"/>
        <v>Comando</v>
      </c>
      <c r="V1850" t="str">
        <f t="shared" si="258"/>
        <v>GALLERIA</v>
      </c>
      <c r="W1850" t="str">
        <f t="shared" si="259"/>
        <v>GALLERIA SAN GIULIANO</v>
      </c>
      <c r="Z1850" t="str">
        <f t="shared" si="260"/>
        <v>10.220.80.16</v>
      </c>
    </row>
    <row r="1851" spans="1:26" x14ac:dyDescent="0.25">
      <c r="A1851" t="s">
        <v>10</v>
      </c>
      <c r="B1851" t="s">
        <v>1063</v>
      </c>
      <c r="C1851" t="s">
        <v>2173</v>
      </c>
      <c r="D1851" t="s">
        <v>2174</v>
      </c>
      <c r="E1851" t="s">
        <v>2249</v>
      </c>
      <c r="F1851" t="s">
        <v>14</v>
      </c>
      <c r="G1851" t="s">
        <v>2531</v>
      </c>
      <c r="H1851" t="s">
        <v>16</v>
      </c>
      <c r="I1851">
        <v>10005</v>
      </c>
      <c r="J1851" t="s">
        <v>2705</v>
      </c>
      <c r="K1851">
        <f t="shared" si="252"/>
        <v>10005</v>
      </c>
      <c r="N1851" t="str">
        <f t="shared" si="253"/>
        <v>HOLDING REGISTER</v>
      </c>
      <c r="O1851" t="str">
        <f t="shared" si="254"/>
        <v>INT</v>
      </c>
      <c r="P1851" t="str">
        <f t="shared" si="255"/>
        <v>JETFAN V3DX</v>
      </c>
      <c r="R1851" t="str">
        <f t="shared" si="256"/>
        <v>COD. 2= COMANDI MAN: accettato solo se in modalità comandi auto da "QVE" su quadro CABINA per singolo ventilatore e "REMOTO" Quadro "QVFF".</v>
      </c>
      <c r="U1851" t="str">
        <f t="shared" si="257"/>
        <v>Comando</v>
      </c>
      <c r="V1851" t="str">
        <f t="shared" si="258"/>
        <v>GALLERIA</v>
      </c>
      <c r="W1851" t="str">
        <f t="shared" si="259"/>
        <v>GALLERIA SAN GIULIANO</v>
      </c>
      <c r="Z1851" t="str">
        <f t="shared" si="260"/>
        <v>10.220.80.16</v>
      </c>
    </row>
    <row r="1852" spans="1:26" x14ac:dyDescent="0.25">
      <c r="A1852" t="s">
        <v>10</v>
      </c>
      <c r="B1852" t="s">
        <v>1063</v>
      </c>
      <c r="C1852" t="s">
        <v>2173</v>
      </c>
      <c r="D1852" t="s">
        <v>2174</v>
      </c>
      <c r="E1852" t="s">
        <v>2249</v>
      </c>
      <c r="F1852" t="s">
        <v>14</v>
      </c>
      <c r="G1852" t="s">
        <v>2531</v>
      </c>
      <c r="H1852" t="s">
        <v>16</v>
      </c>
      <c r="I1852">
        <v>10005</v>
      </c>
      <c r="J1852" t="s">
        <v>2706</v>
      </c>
      <c r="K1852">
        <f t="shared" si="252"/>
        <v>10005</v>
      </c>
      <c r="N1852" t="str">
        <f t="shared" si="253"/>
        <v>HOLDING REGISTER</v>
      </c>
      <c r="O1852" t="str">
        <f t="shared" si="254"/>
        <v>INT</v>
      </c>
      <c r="P1852" t="str">
        <f t="shared" si="255"/>
        <v>JETFAN V3DX</v>
      </c>
      <c r="R1852" t="str">
        <f t="shared" si="256"/>
        <v>COD. 3= COMANDI AUTO: accettato solo se in modalità comandi auto da "QVE" su quadro CABINA per singolo ventilatore e "REMOTO" Quadro "QVFF".</v>
      </c>
      <c r="U1852" t="str">
        <f t="shared" si="257"/>
        <v>Comando</v>
      </c>
      <c r="V1852" t="str">
        <f t="shared" si="258"/>
        <v>GALLERIA</v>
      </c>
      <c r="W1852" t="str">
        <f t="shared" si="259"/>
        <v>GALLERIA SAN GIULIANO</v>
      </c>
      <c r="Z1852" t="str">
        <f t="shared" si="260"/>
        <v>10.220.80.16</v>
      </c>
    </row>
    <row r="1853" spans="1:26" x14ac:dyDescent="0.25">
      <c r="A1853" t="s">
        <v>10</v>
      </c>
      <c r="B1853" t="s">
        <v>1063</v>
      </c>
      <c r="C1853" t="s">
        <v>2173</v>
      </c>
      <c r="D1853" t="s">
        <v>2174</v>
      </c>
      <c r="E1853" t="s">
        <v>2249</v>
      </c>
      <c r="F1853" t="s">
        <v>14</v>
      </c>
      <c r="G1853" t="s">
        <v>2531</v>
      </c>
      <c r="H1853" t="s">
        <v>16</v>
      </c>
      <c r="I1853">
        <v>10005</v>
      </c>
      <c r="J1853" t="s">
        <v>2707</v>
      </c>
      <c r="K1853">
        <f t="shared" si="252"/>
        <v>10005</v>
      </c>
      <c r="N1853" t="str">
        <f t="shared" si="253"/>
        <v>HOLDING REGISTER</v>
      </c>
      <c r="O1853" t="str">
        <f t="shared" si="254"/>
        <v>INT</v>
      </c>
      <c r="P1853" t="str">
        <f t="shared" si="255"/>
        <v>JETFAN V3DX</v>
      </c>
      <c r="R1853" t="str">
        <f t="shared" si="256"/>
        <v>COD. 4 =ESCLUDI</v>
      </c>
      <c r="U1853" t="str">
        <f t="shared" si="257"/>
        <v>Comando</v>
      </c>
      <c r="V1853" t="str">
        <f t="shared" si="258"/>
        <v>GALLERIA</v>
      </c>
      <c r="W1853" t="str">
        <f t="shared" si="259"/>
        <v>GALLERIA SAN GIULIANO</v>
      </c>
      <c r="Z1853" t="str">
        <f t="shared" si="260"/>
        <v>10.220.80.16</v>
      </c>
    </row>
    <row r="1854" spans="1:26" x14ac:dyDescent="0.25">
      <c r="A1854" t="s">
        <v>10</v>
      </c>
      <c r="B1854" t="s">
        <v>1063</v>
      </c>
      <c r="C1854" t="s">
        <v>2173</v>
      </c>
      <c r="D1854" t="s">
        <v>2174</v>
      </c>
      <c r="E1854" t="s">
        <v>2249</v>
      </c>
      <c r="F1854" t="s">
        <v>14</v>
      </c>
      <c r="G1854" t="s">
        <v>2531</v>
      </c>
      <c r="H1854" t="s">
        <v>16</v>
      </c>
      <c r="I1854">
        <v>10005</v>
      </c>
      <c r="J1854" t="s">
        <v>2708</v>
      </c>
      <c r="K1854">
        <f t="shared" si="252"/>
        <v>10005</v>
      </c>
      <c r="N1854" t="str">
        <f t="shared" si="253"/>
        <v>HOLDING REGISTER</v>
      </c>
      <c r="O1854" t="str">
        <f t="shared" si="254"/>
        <v>INT</v>
      </c>
      <c r="P1854" t="str">
        <f t="shared" si="255"/>
        <v>JETFAN V3DX</v>
      </c>
      <c r="R1854" t="str">
        <f t="shared" si="256"/>
        <v>COD. 5 =INCLUDI</v>
      </c>
      <c r="U1854" t="str">
        <f t="shared" si="257"/>
        <v>Comando</v>
      </c>
      <c r="V1854" t="str">
        <f t="shared" si="258"/>
        <v>GALLERIA</v>
      </c>
      <c r="W1854" t="str">
        <f t="shared" si="259"/>
        <v>GALLERIA SAN GIULIANO</v>
      </c>
      <c r="Z1854" t="str">
        <f t="shared" si="260"/>
        <v>10.220.80.16</v>
      </c>
    </row>
    <row r="1855" spans="1:26" x14ac:dyDescent="0.25">
      <c r="A1855" t="s">
        <v>10</v>
      </c>
      <c r="B1855" t="s">
        <v>1063</v>
      </c>
      <c r="C1855" t="s">
        <v>2173</v>
      </c>
      <c r="D1855" t="s">
        <v>2174</v>
      </c>
      <c r="E1855" t="s">
        <v>2249</v>
      </c>
      <c r="F1855" t="s">
        <v>14</v>
      </c>
      <c r="G1855" t="s">
        <v>2531</v>
      </c>
      <c r="H1855" t="s">
        <v>16</v>
      </c>
      <c r="I1855">
        <v>10005</v>
      </c>
      <c r="J1855" t="s">
        <v>2709</v>
      </c>
      <c r="K1855">
        <f t="shared" si="252"/>
        <v>10005</v>
      </c>
      <c r="N1855" t="str">
        <f t="shared" si="253"/>
        <v>HOLDING REGISTER</v>
      </c>
      <c r="O1855" t="str">
        <f t="shared" si="254"/>
        <v>INT</v>
      </c>
      <c r="P1855" t="str">
        <f t="shared" si="255"/>
        <v>JETFAN V3DX</v>
      </c>
      <c r="R1855" t="str">
        <f t="shared" si="256"/>
        <v>COD. 16 =CMD MARCIA DIR. NORD (*Valido solo se in modalità MAN da SCADA*)</v>
      </c>
      <c r="U1855" t="str">
        <f t="shared" si="257"/>
        <v>Comando</v>
      </c>
      <c r="V1855" t="str">
        <f t="shared" si="258"/>
        <v>GALLERIA</v>
      </c>
      <c r="W1855" t="str">
        <f t="shared" si="259"/>
        <v>GALLERIA SAN GIULIANO</v>
      </c>
      <c r="Z1855" t="str">
        <f t="shared" si="260"/>
        <v>10.220.80.16</v>
      </c>
    </row>
    <row r="1856" spans="1:26" x14ac:dyDescent="0.25">
      <c r="A1856" t="s">
        <v>10</v>
      </c>
      <c r="B1856" t="s">
        <v>1063</v>
      </c>
      <c r="C1856" t="s">
        <v>2173</v>
      </c>
      <c r="D1856" t="s">
        <v>2174</v>
      </c>
      <c r="E1856" t="s">
        <v>2249</v>
      </c>
      <c r="F1856" t="s">
        <v>14</v>
      </c>
      <c r="G1856" t="s">
        <v>2531</v>
      </c>
      <c r="H1856" t="s">
        <v>16</v>
      </c>
      <c r="I1856">
        <v>10005</v>
      </c>
      <c r="J1856" t="s">
        <v>2710</v>
      </c>
      <c r="K1856">
        <f t="shared" si="252"/>
        <v>10005</v>
      </c>
      <c r="N1856" t="str">
        <f t="shared" si="253"/>
        <v>HOLDING REGISTER</v>
      </c>
      <c r="O1856" t="str">
        <f t="shared" si="254"/>
        <v>INT</v>
      </c>
      <c r="P1856" t="str">
        <f t="shared" si="255"/>
        <v>JETFAN V3DX</v>
      </c>
      <c r="R1856" t="str">
        <f t="shared" si="256"/>
        <v>COD. 17 =CMD MARCIA DIR. SUD (*Valido solo se in modalità MAN da SCADA*)</v>
      </c>
      <c r="U1856" t="str">
        <f t="shared" si="257"/>
        <v>Comando</v>
      </c>
      <c r="V1856" t="str">
        <f t="shared" si="258"/>
        <v>GALLERIA</v>
      </c>
      <c r="W1856" t="str">
        <f t="shared" si="259"/>
        <v>GALLERIA SAN GIULIANO</v>
      </c>
      <c r="Z1856" t="str">
        <f t="shared" si="260"/>
        <v>10.220.80.16</v>
      </c>
    </row>
    <row r="1857" spans="1:26" x14ac:dyDescent="0.25">
      <c r="A1857" t="s">
        <v>10</v>
      </c>
      <c r="B1857" t="s">
        <v>1063</v>
      </c>
      <c r="C1857" t="s">
        <v>2173</v>
      </c>
      <c r="D1857" t="s">
        <v>2174</v>
      </c>
      <c r="E1857" t="s">
        <v>2249</v>
      </c>
      <c r="F1857" t="s">
        <v>14</v>
      </c>
      <c r="G1857" t="s">
        <v>2531</v>
      </c>
      <c r="H1857" t="s">
        <v>16</v>
      </c>
      <c r="I1857">
        <v>10005</v>
      </c>
      <c r="J1857" t="s">
        <v>2711</v>
      </c>
      <c r="K1857">
        <f t="shared" si="252"/>
        <v>10005</v>
      </c>
      <c r="N1857" t="str">
        <f t="shared" si="253"/>
        <v>HOLDING REGISTER</v>
      </c>
      <c r="O1857" t="str">
        <f t="shared" si="254"/>
        <v>INT</v>
      </c>
      <c r="P1857" t="str">
        <f t="shared" si="255"/>
        <v>JETFAN V3DX</v>
      </c>
      <c r="R1857" t="str">
        <f t="shared" si="256"/>
        <v>COD. 18 =CMD arresto (*Valido solo se in modalità MAN da SCADA*)</v>
      </c>
      <c r="U1857" t="str">
        <f t="shared" si="257"/>
        <v>Comando</v>
      </c>
      <c r="V1857" t="str">
        <f t="shared" si="258"/>
        <v>GALLERIA</v>
      </c>
      <c r="W1857" t="str">
        <f t="shared" si="259"/>
        <v>GALLERIA SAN GIULIANO</v>
      </c>
      <c r="Z1857" t="str">
        <f t="shared" si="260"/>
        <v>10.220.80.16</v>
      </c>
    </row>
    <row r="1858" spans="1:26" x14ac:dyDescent="0.25">
      <c r="A1858" t="s">
        <v>10</v>
      </c>
      <c r="B1858" t="s">
        <v>1063</v>
      </c>
      <c r="C1858" t="s">
        <v>2173</v>
      </c>
      <c r="D1858" t="s">
        <v>2174</v>
      </c>
      <c r="E1858" t="s">
        <v>2249</v>
      </c>
      <c r="F1858" t="s">
        <v>14</v>
      </c>
      <c r="G1858" t="s">
        <v>2531</v>
      </c>
      <c r="H1858" t="s">
        <v>16</v>
      </c>
      <c r="I1858">
        <v>10005</v>
      </c>
      <c r="J1858" t="s">
        <v>2712</v>
      </c>
      <c r="K1858">
        <f t="shared" si="252"/>
        <v>10005</v>
      </c>
      <c r="N1858" t="str">
        <f t="shared" si="253"/>
        <v>HOLDING REGISTER</v>
      </c>
      <c r="O1858" t="str">
        <f t="shared" si="254"/>
        <v>INT</v>
      </c>
      <c r="P1858" t="str">
        <f t="shared" si="255"/>
        <v>JETFAN V3DX</v>
      </c>
      <c r="R1858" t="str">
        <f t="shared" si="256"/>
        <v>COD. 33 =Comando Reset Allarmi</v>
      </c>
      <c r="U1858" t="str">
        <f t="shared" si="257"/>
        <v>Comando</v>
      </c>
      <c r="V1858" t="str">
        <f t="shared" si="258"/>
        <v>GALLERIA</v>
      </c>
      <c r="W1858" t="str">
        <f t="shared" si="259"/>
        <v>GALLERIA SAN GIULIANO</v>
      </c>
      <c r="Z1858" t="str">
        <f t="shared" si="260"/>
        <v>10.220.80.16</v>
      </c>
    </row>
    <row r="1859" spans="1:26" x14ac:dyDescent="0.25">
      <c r="A1859" t="s">
        <v>10</v>
      </c>
      <c r="B1859" t="s">
        <v>1063</v>
      </c>
      <c r="C1859" t="s">
        <v>2173</v>
      </c>
      <c r="D1859" t="s">
        <v>2174</v>
      </c>
      <c r="E1859" t="s">
        <v>2264</v>
      </c>
      <c r="F1859" t="s">
        <v>14</v>
      </c>
      <c r="G1859" t="s">
        <v>2531</v>
      </c>
      <c r="H1859" t="s">
        <v>16</v>
      </c>
      <c r="I1859">
        <v>10006</v>
      </c>
      <c r="J1859" t="s">
        <v>2705</v>
      </c>
      <c r="K1859">
        <f t="shared" ref="K1859:K1922" si="261">IF(I1859="","",I1859)</f>
        <v>10006</v>
      </c>
      <c r="N1859" t="str">
        <f t="shared" ref="N1859:N1922" si="262">IF(F1859="","",F1859)</f>
        <v>HOLDING REGISTER</v>
      </c>
      <c r="O1859" t="str">
        <f t="shared" ref="O1859:O1922" si="263">IF(H1859="","",H1859)</f>
        <v>INT</v>
      </c>
      <c r="P1859" t="str">
        <f t="shared" ref="P1859:P1922" si="264">_xlfn.CONCAT(D1859," ",E1859)</f>
        <v>JETFAN V3SX</v>
      </c>
      <c r="R1859" t="str">
        <f t="shared" ref="R1859:R1922" si="265">IF(J1859="","",J1859)</f>
        <v>COD. 2= COMANDI MAN: accettato solo se in modalità comandi auto da "QVE" su quadro CABINA per singolo ventilatore e "REMOTO" Quadro "QVFF".</v>
      </c>
      <c r="U1859" t="str">
        <f t="shared" ref="U1859:U1922" si="266">IF(G1859="","",G1859)</f>
        <v>Comando</v>
      </c>
      <c r="V1859" t="str">
        <f t="shared" ref="V1859:V1922" si="267">IF(C1859="","",C1859)</f>
        <v>GALLERIA</v>
      </c>
      <c r="W1859" t="str">
        <f t="shared" ref="W1859:W1922" si="268">IF(B1859="","",B1859)</f>
        <v>GALLERIA SAN GIULIANO</v>
      </c>
      <c r="Z1859" t="str">
        <f t="shared" ref="Z1859:Z1922" si="269">IF(A1859="","",A1859)</f>
        <v>10.220.80.16</v>
      </c>
    </row>
    <row r="1860" spans="1:26" x14ac:dyDescent="0.25">
      <c r="A1860" t="s">
        <v>10</v>
      </c>
      <c r="B1860" t="s">
        <v>1063</v>
      </c>
      <c r="C1860" t="s">
        <v>2173</v>
      </c>
      <c r="D1860" t="s">
        <v>2174</v>
      </c>
      <c r="E1860" t="s">
        <v>2264</v>
      </c>
      <c r="F1860" t="s">
        <v>14</v>
      </c>
      <c r="G1860" t="s">
        <v>2531</v>
      </c>
      <c r="H1860" t="s">
        <v>16</v>
      </c>
      <c r="I1860">
        <v>10006</v>
      </c>
      <c r="J1860" t="s">
        <v>2706</v>
      </c>
      <c r="K1860">
        <f t="shared" si="261"/>
        <v>10006</v>
      </c>
      <c r="N1860" t="str">
        <f t="shared" si="262"/>
        <v>HOLDING REGISTER</v>
      </c>
      <c r="O1860" t="str">
        <f t="shared" si="263"/>
        <v>INT</v>
      </c>
      <c r="P1860" t="str">
        <f t="shared" si="264"/>
        <v>JETFAN V3SX</v>
      </c>
      <c r="R1860" t="str">
        <f t="shared" si="265"/>
        <v>COD. 3= COMANDI AUTO: accettato solo se in modalità comandi auto da "QVE" su quadro CABINA per singolo ventilatore e "REMOTO" Quadro "QVFF".</v>
      </c>
      <c r="U1860" t="str">
        <f t="shared" si="266"/>
        <v>Comando</v>
      </c>
      <c r="V1860" t="str">
        <f t="shared" si="267"/>
        <v>GALLERIA</v>
      </c>
      <c r="W1860" t="str">
        <f t="shared" si="268"/>
        <v>GALLERIA SAN GIULIANO</v>
      </c>
      <c r="Z1860" t="str">
        <f t="shared" si="269"/>
        <v>10.220.80.16</v>
      </c>
    </row>
    <row r="1861" spans="1:26" x14ac:dyDescent="0.25">
      <c r="A1861" t="s">
        <v>10</v>
      </c>
      <c r="B1861" t="s">
        <v>1063</v>
      </c>
      <c r="C1861" t="s">
        <v>2173</v>
      </c>
      <c r="D1861" t="s">
        <v>2174</v>
      </c>
      <c r="E1861" t="s">
        <v>2264</v>
      </c>
      <c r="F1861" t="s">
        <v>14</v>
      </c>
      <c r="G1861" t="s">
        <v>2531</v>
      </c>
      <c r="H1861" t="s">
        <v>16</v>
      </c>
      <c r="I1861">
        <v>10006</v>
      </c>
      <c r="J1861" t="s">
        <v>2707</v>
      </c>
      <c r="K1861">
        <f t="shared" si="261"/>
        <v>10006</v>
      </c>
      <c r="N1861" t="str">
        <f t="shared" si="262"/>
        <v>HOLDING REGISTER</v>
      </c>
      <c r="O1861" t="str">
        <f t="shared" si="263"/>
        <v>INT</v>
      </c>
      <c r="P1861" t="str">
        <f t="shared" si="264"/>
        <v>JETFAN V3SX</v>
      </c>
      <c r="R1861" t="str">
        <f t="shared" si="265"/>
        <v>COD. 4 =ESCLUDI</v>
      </c>
      <c r="U1861" t="str">
        <f t="shared" si="266"/>
        <v>Comando</v>
      </c>
      <c r="V1861" t="str">
        <f t="shared" si="267"/>
        <v>GALLERIA</v>
      </c>
      <c r="W1861" t="str">
        <f t="shared" si="268"/>
        <v>GALLERIA SAN GIULIANO</v>
      </c>
      <c r="Z1861" t="str">
        <f t="shared" si="269"/>
        <v>10.220.80.16</v>
      </c>
    </row>
    <row r="1862" spans="1:26" x14ac:dyDescent="0.25">
      <c r="A1862" t="s">
        <v>10</v>
      </c>
      <c r="B1862" t="s">
        <v>1063</v>
      </c>
      <c r="C1862" t="s">
        <v>2173</v>
      </c>
      <c r="D1862" t="s">
        <v>2174</v>
      </c>
      <c r="E1862" t="s">
        <v>2264</v>
      </c>
      <c r="F1862" t="s">
        <v>14</v>
      </c>
      <c r="G1862" t="s">
        <v>2531</v>
      </c>
      <c r="H1862" t="s">
        <v>16</v>
      </c>
      <c r="I1862">
        <v>10006</v>
      </c>
      <c r="J1862" t="s">
        <v>2708</v>
      </c>
      <c r="K1862">
        <f t="shared" si="261"/>
        <v>10006</v>
      </c>
      <c r="N1862" t="str">
        <f t="shared" si="262"/>
        <v>HOLDING REGISTER</v>
      </c>
      <c r="O1862" t="str">
        <f t="shared" si="263"/>
        <v>INT</v>
      </c>
      <c r="P1862" t="str">
        <f t="shared" si="264"/>
        <v>JETFAN V3SX</v>
      </c>
      <c r="R1862" t="str">
        <f t="shared" si="265"/>
        <v>COD. 5 =INCLUDI</v>
      </c>
      <c r="U1862" t="str">
        <f t="shared" si="266"/>
        <v>Comando</v>
      </c>
      <c r="V1862" t="str">
        <f t="shared" si="267"/>
        <v>GALLERIA</v>
      </c>
      <c r="W1862" t="str">
        <f t="shared" si="268"/>
        <v>GALLERIA SAN GIULIANO</v>
      </c>
      <c r="Z1862" t="str">
        <f t="shared" si="269"/>
        <v>10.220.80.16</v>
      </c>
    </row>
    <row r="1863" spans="1:26" x14ac:dyDescent="0.25">
      <c r="A1863" t="s">
        <v>10</v>
      </c>
      <c r="B1863" t="s">
        <v>1063</v>
      </c>
      <c r="C1863" t="s">
        <v>2173</v>
      </c>
      <c r="D1863" t="s">
        <v>2174</v>
      </c>
      <c r="E1863" t="s">
        <v>2264</v>
      </c>
      <c r="F1863" t="s">
        <v>14</v>
      </c>
      <c r="G1863" t="s">
        <v>2531</v>
      </c>
      <c r="H1863" t="s">
        <v>16</v>
      </c>
      <c r="I1863">
        <v>10006</v>
      </c>
      <c r="J1863" t="s">
        <v>2709</v>
      </c>
      <c r="K1863">
        <f t="shared" si="261"/>
        <v>10006</v>
      </c>
      <c r="N1863" t="str">
        <f t="shared" si="262"/>
        <v>HOLDING REGISTER</v>
      </c>
      <c r="O1863" t="str">
        <f t="shared" si="263"/>
        <v>INT</v>
      </c>
      <c r="P1863" t="str">
        <f t="shared" si="264"/>
        <v>JETFAN V3SX</v>
      </c>
      <c r="R1863" t="str">
        <f t="shared" si="265"/>
        <v>COD. 16 =CMD MARCIA DIR. NORD (*Valido solo se in modalità MAN da SCADA*)</v>
      </c>
      <c r="U1863" t="str">
        <f t="shared" si="266"/>
        <v>Comando</v>
      </c>
      <c r="V1863" t="str">
        <f t="shared" si="267"/>
        <v>GALLERIA</v>
      </c>
      <c r="W1863" t="str">
        <f t="shared" si="268"/>
        <v>GALLERIA SAN GIULIANO</v>
      </c>
      <c r="Z1863" t="str">
        <f t="shared" si="269"/>
        <v>10.220.80.16</v>
      </c>
    </row>
    <row r="1864" spans="1:26" x14ac:dyDescent="0.25">
      <c r="A1864" t="s">
        <v>10</v>
      </c>
      <c r="B1864" t="s">
        <v>1063</v>
      </c>
      <c r="C1864" t="s">
        <v>2173</v>
      </c>
      <c r="D1864" t="s">
        <v>2174</v>
      </c>
      <c r="E1864" t="s">
        <v>2264</v>
      </c>
      <c r="F1864" t="s">
        <v>14</v>
      </c>
      <c r="G1864" t="s">
        <v>2531</v>
      </c>
      <c r="H1864" t="s">
        <v>16</v>
      </c>
      <c r="I1864">
        <v>10006</v>
      </c>
      <c r="J1864" t="s">
        <v>2710</v>
      </c>
      <c r="K1864">
        <f t="shared" si="261"/>
        <v>10006</v>
      </c>
      <c r="N1864" t="str">
        <f t="shared" si="262"/>
        <v>HOLDING REGISTER</v>
      </c>
      <c r="O1864" t="str">
        <f t="shared" si="263"/>
        <v>INT</v>
      </c>
      <c r="P1864" t="str">
        <f t="shared" si="264"/>
        <v>JETFAN V3SX</v>
      </c>
      <c r="R1864" t="str">
        <f t="shared" si="265"/>
        <v>COD. 17 =CMD MARCIA DIR. SUD (*Valido solo se in modalità MAN da SCADA*)</v>
      </c>
      <c r="U1864" t="str">
        <f t="shared" si="266"/>
        <v>Comando</v>
      </c>
      <c r="V1864" t="str">
        <f t="shared" si="267"/>
        <v>GALLERIA</v>
      </c>
      <c r="W1864" t="str">
        <f t="shared" si="268"/>
        <v>GALLERIA SAN GIULIANO</v>
      </c>
      <c r="Z1864" t="str">
        <f t="shared" si="269"/>
        <v>10.220.80.16</v>
      </c>
    </row>
    <row r="1865" spans="1:26" x14ac:dyDescent="0.25">
      <c r="A1865" t="s">
        <v>10</v>
      </c>
      <c r="B1865" t="s">
        <v>1063</v>
      </c>
      <c r="C1865" t="s">
        <v>2173</v>
      </c>
      <c r="D1865" t="s">
        <v>2174</v>
      </c>
      <c r="E1865" t="s">
        <v>2264</v>
      </c>
      <c r="F1865" t="s">
        <v>14</v>
      </c>
      <c r="G1865" t="s">
        <v>2531</v>
      </c>
      <c r="H1865" t="s">
        <v>16</v>
      </c>
      <c r="I1865">
        <v>10006</v>
      </c>
      <c r="J1865" t="s">
        <v>2711</v>
      </c>
      <c r="K1865">
        <f t="shared" si="261"/>
        <v>10006</v>
      </c>
      <c r="N1865" t="str">
        <f t="shared" si="262"/>
        <v>HOLDING REGISTER</v>
      </c>
      <c r="O1865" t="str">
        <f t="shared" si="263"/>
        <v>INT</v>
      </c>
      <c r="P1865" t="str">
        <f t="shared" si="264"/>
        <v>JETFAN V3SX</v>
      </c>
      <c r="R1865" t="str">
        <f t="shared" si="265"/>
        <v>COD. 18 =CMD arresto (*Valido solo se in modalità MAN da SCADA*)</v>
      </c>
      <c r="U1865" t="str">
        <f t="shared" si="266"/>
        <v>Comando</v>
      </c>
      <c r="V1865" t="str">
        <f t="shared" si="267"/>
        <v>GALLERIA</v>
      </c>
      <c r="W1865" t="str">
        <f t="shared" si="268"/>
        <v>GALLERIA SAN GIULIANO</v>
      </c>
      <c r="Z1865" t="str">
        <f t="shared" si="269"/>
        <v>10.220.80.16</v>
      </c>
    </row>
    <row r="1866" spans="1:26" x14ac:dyDescent="0.25">
      <c r="A1866" t="s">
        <v>10</v>
      </c>
      <c r="B1866" t="s">
        <v>1063</v>
      </c>
      <c r="C1866" t="s">
        <v>2173</v>
      </c>
      <c r="D1866" t="s">
        <v>2174</v>
      </c>
      <c r="E1866" t="s">
        <v>2264</v>
      </c>
      <c r="F1866" t="s">
        <v>14</v>
      </c>
      <c r="G1866" t="s">
        <v>2531</v>
      </c>
      <c r="H1866" t="s">
        <v>16</v>
      </c>
      <c r="I1866">
        <v>10006</v>
      </c>
      <c r="J1866" t="s">
        <v>2712</v>
      </c>
      <c r="K1866">
        <f t="shared" si="261"/>
        <v>10006</v>
      </c>
      <c r="N1866" t="str">
        <f t="shared" si="262"/>
        <v>HOLDING REGISTER</v>
      </c>
      <c r="O1866" t="str">
        <f t="shared" si="263"/>
        <v>INT</v>
      </c>
      <c r="P1866" t="str">
        <f t="shared" si="264"/>
        <v>JETFAN V3SX</v>
      </c>
      <c r="R1866" t="str">
        <f t="shared" si="265"/>
        <v>COD. 33 =Comando Reset Allarmi</v>
      </c>
      <c r="U1866" t="str">
        <f t="shared" si="266"/>
        <v>Comando</v>
      </c>
      <c r="V1866" t="str">
        <f t="shared" si="267"/>
        <v>GALLERIA</v>
      </c>
      <c r="W1866" t="str">
        <f t="shared" si="268"/>
        <v>GALLERIA SAN GIULIANO</v>
      </c>
      <c r="Z1866" t="str">
        <f t="shared" si="269"/>
        <v>10.220.80.16</v>
      </c>
    </row>
    <row r="1867" spans="1:26" x14ac:dyDescent="0.25">
      <c r="A1867" t="s">
        <v>10</v>
      </c>
      <c r="B1867" t="s">
        <v>1063</v>
      </c>
      <c r="C1867" t="s">
        <v>2173</v>
      </c>
      <c r="D1867" t="s">
        <v>2174</v>
      </c>
      <c r="E1867" t="s">
        <v>2279</v>
      </c>
      <c r="F1867" t="s">
        <v>14</v>
      </c>
      <c r="G1867" t="s">
        <v>2531</v>
      </c>
      <c r="H1867" t="s">
        <v>16</v>
      </c>
      <c r="I1867">
        <v>10007</v>
      </c>
      <c r="J1867" t="s">
        <v>2705</v>
      </c>
      <c r="K1867">
        <f t="shared" si="261"/>
        <v>10007</v>
      </c>
      <c r="N1867" t="str">
        <f t="shared" si="262"/>
        <v>HOLDING REGISTER</v>
      </c>
      <c r="O1867" t="str">
        <f t="shared" si="263"/>
        <v>INT</v>
      </c>
      <c r="P1867" t="str">
        <f t="shared" si="264"/>
        <v>JETFAN V4DX</v>
      </c>
      <c r="R1867" t="str">
        <f t="shared" si="265"/>
        <v>COD. 2= COMANDI MAN: accettato solo se in modalità comandi auto da "QVE" su quadro CABINA per singolo ventilatore e "REMOTO" Quadro "QVFF".</v>
      </c>
      <c r="U1867" t="str">
        <f t="shared" si="266"/>
        <v>Comando</v>
      </c>
      <c r="V1867" t="str">
        <f t="shared" si="267"/>
        <v>GALLERIA</v>
      </c>
      <c r="W1867" t="str">
        <f t="shared" si="268"/>
        <v>GALLERIA SAN GIULIANO</v>
      </c>
      <c r="Z1867" t="str">
        <f t="shared" si="269"/>
        <v>10.220.80.16</v>
      </c>
    </row>
    <row r="1868" spans="1:26" x14ac:dyDescent="0.25">
      <c r="A1868" t="s">
        <v>10</v>
      </c>
      <c r="B1868" t="s">
        <v>1063</v>
      </c>
      <c r="C1868" t="s">
        <v>2173</v>
      </c>
      <c r="D1868" t="s">
        <v>2174</v>
      </c>
      <c r="E1868" t="s">
        <v>2279</v>
      </c>
      <c r="F1868" t="s">
        <v>14</v>
      </c>
      <c r="G1868" t="s">
        <v>2531</v>
      </c>
      <c r="H1868" t="s">
        <v>16</v>
      </c>
      <c r="I1868">
        <v>10007</v>
      </c>
      <c r="J1868" t="s">
        <v>2706</v>
      </c>
      <c r="K1868">
        <f t="shared" si="261"/>
        <v>10007</v>
      </c>
      <c r="N1868" t="str">
        <f t="shared" si="262"/>
        <v>HOLDING REGISTER</v>
      </c>
      <c r="O1868" t="str">
        <f t="shared" si="263"/>
        <v>INT</v>
      </c>
      <c r="P1868" t="str">
        <f t="shared" si="264"/>
        <v>JETFAN V4DX</v>
      </c>
      <c r="R1868" t="str">
        <f t="shared" si="265"/>
        <v>COD. 3= COMANDI AUTO: accettato solo se in modalità comandi auto da "QVE" su quadro CABINA per singolo ventilatore e "REMOTO" Quadro "QVFF".</v>
      </c>
      <c r="U1868" t="str">
        <f t="shared" si="266"/>
        <v>Comando</v>
      </c>
      <c r="V1868" t="str">
        <f t="shared" si="267"/>
        <v>GALLERIA</v>
      </c>
      <c r="W1868" t="str">
        <f t="shared" si="268"/>
        <v>GALLERIA SAN GIULIANO</v>
      </c>
      <c r="Z1868" t="str">
        <f t="shared" si="269"/>
        <v>10.220.80.16</v>
      </c>
    </row>
    <row r="1869" spans="1:26" x14ac:dyDescent="0.25">
      <c r="A1869" t="s">
        <v>10</v>
      </c>
      <c r="B1869" t="s">
        <v>1063</v>
      </c>
      <c r="C1869" t="s">
        <v>2173</v>
      </c>
      <c r="D1869" t="s">
        <v>2174</v>
      </c>
      <c r="E1869" t="s">
        <v>2279</v>
      </c>
      <c r="F1869" t="s">
        <v>14</v>
      </c>
      <c r="G1869" t="s">
        <v>2531</v>
      </c>
      <c r="H1869" t="s">
        <v>16</v>
      </c>
      <c r="I1869">
        <v>10007</v>
      </c>
      <c r="J1869" t="s">
        <v>2707</v>
      </c>
      <c r="K1869">
        <f t="shared" si="261"/>
        <v>10007</v>
      </c>
      <c r="N1869" t="str">
        <f t="shared" si="262"/>
        <v>HOLDING REGISTER</v>
      </c>
      <c r="O1869" t="str">
        <f t="shared" si="263"/>
        <v>INT</v>
      </c>
      <c r="P1869" t="str">
        <f t="shared" si="264"/>
        <v>JETFAN V4DX</v>
      </c>
      <c r="R1869" t="str">
        <f t="shared" si="265"/>
        <v>COD. 4 =ESCLUDI</v>
      </c>
      <c r="U1869" t="str">
        <f t="shared" si="266"/>
        <v>Comando</v>
      </c>
      <c r="V1869" t="str">
        <f t="shared" si="267"/>
        <v>GALLERIA</v>
      </c>
      <c r="W1869" t="str">
        <f t="shared" si="268"/>
        <v>GALLERIA SAN GIULIANO</v>
      </c>
      <c r="Z1869" t="str">
        <f t="shared" si="269"/>
        <v>10.220.80.16</v>
      </c>
    </row>
    <row r="1870" spans="1:26" x14ac:dyDescent="0.25">
      <c r="A1870" t="s">
        <v>10</v>
      </c>
      <c r="B1870" t="s">
        <v>1063</v>
      </c>
      <c r="C1870" t="s">
        <v>2173</v>
      </c>
      <c r="D1870" t="s">
        <v>2174</v>
      </c>
      <c r="E1870" t="s">
        <v>2279</v>
      </c>
      <c r="F1870" t="s">
        <v>14</v>
      </c>
      <c r="G1870" t="s">
        <v>2531</v>
      </c>
      <c r="H1870" t="s">
        <v>16</v>
      </c>
      <c r="I1870">
        <v>10007</v>
      </c>
      <c r="J1870" t="s">
        <v>2708</v>
      </c>
      <c r="K1870">
        <f t="shared" si="261"/>
        <v>10007</v>
      </c>
      <c r="N1870" t="str">
        <f t="shared" si="262"/>
        <v>HOLDING REGISTER</v>
      </c>
      <c r="O1870" t="str">
        <f t="shared" si="263"/>
        <v>INT</v>
      </c>
      <c r="P1870" t="str">
        <f t="shared" si="264"/>
        <v>JETFAN V4DX</v>
      </c>
      <c r="R1870" t="str">
        <f t="shared" si="265"/>
        <v>COD. 5 =INCLUDI</v>
      </c>
      <c r="U1870" t="str">
        <f t="shared" si="266"/>
        <v>Comando</v>
      </c>
      <c r="V1870" t="str">
        <f t="shared" si="267"/>
        <v>GALLERIA</v>
      </c>
      <c r="W1870" t="str">
        <f t="shared" si="268"/>
        <v>GALLERIA SAN GIULIANO</v>
      </c>
      <c r="Z1870" t="str">
        <f t="shared" si="269"/>
        <v>10.220.80.16</v>
      </c>
    </row>
    <row r="1871" spans="1:26" x14ac:dyDescent="0.25">
      <c r="A1871" t="s">
        <v>10</v>
      </c>
      <c r="B1871" t="s">
        <v>1063</v>
      </c>
      <c r="C1871" t="s">
        <v>2173</v>
      </c>
      <c r="D1871" t="s">
        <v>2174</v>
      </c>
      <c r="E1871" t="s">
        <v>2279</v>
      </c>
      <c r="F1871" t="s">
        <v>14</v>
      </c>
      <c r="G1871" t="s">
        <v>2531</v>
      </c>
      <c r="H1871" t="s">
        <v>16</v>
      </c>
      <c r="I1871">
        <v>10007</v>
      </c>
      <c r="J1871" t="s">
        <v>2709</v>
      </c>
      <c r="K1871">
        <f t="shared" si="261"/>
        <v>10007</v>
      </c>
      <c r="N1871" t="str">
        <f t="shared" si="262"/>
        <v>HOLDING REGISTER</v>
      </c>
      <c r="O1871" t="str">
        <f t="shared" si="263"/>
        <v>INT</v>
      </c>
      <c r="P1871" t="str">
        <f t="shared" si="264"/>
        <v>JETFAN V4DX</v>
      </c>
      <c r="R1871" t="str">
        <f t="shared" si="265"/>
        <v>COD. 16 =CMD MARCIA DIR. NORD (*Valido solo se in modalità MAN da SCADA*)</v>
      </c>
      <c r="U1871" t="str">
        <f t="shared" si="266"/>
        <v>Comando</v>
      </c>
      <c r="V1871" t="str">
        <f t="shared" si="267"/>
        <v>GALLERIA</v>
      </c>
      <c r="W1871" t="str">
        <f t="shared" si="268"/>
        <v>GALLERIA SAN GIULIANO</v>
      </c>
      <c r="Z1871" t="str">
        <f t="shared" si="269"/>
        <v>10.220.80.16</v>
      </c>
    </row>
    <row r="1872" spans="1:26" x14ac:dyDescent="0.25">
      <c r="A1872" t="s">
        <v>10</v>
      </c>
      <c r="B1872" t="s">
        <v>1063</v>
      </c>
      <c r="C1872" t="s">
        <v>2173</v>
      </c>
      <c r="D1872" t="s">
        <v>2174</v>
      </c>
      <c r="E1872" t="s">
        <v>2279</v>
      </c>
      <c r="F1872" t="s">
        <v>14</v>
      </c>
      <c r="G1872" t="s">
        <v>2531</v>
      </c>
      <c r="H1872" t="s">
        <v>16</v>
      </c>
      <c r="I1872">
        <v>10007</v>
      </c>
      <c r="J1872" t="s">
        <v>2710</v>
      </c>
      <c r="K1872">
        <f t="shared" si="261"/>
        <v>10007</v>
      </c>
      <c r="N1872" t="str">
        <f t="shared" si="262"/>
        <v>HOLDING REGISTER</v>
      </c>
      <c r="O1872" t="str">
        <f t="shared" si="263"/>
        <v>INT</v>
      </c>
      <c r="P1872" t="str">
        <f t="shared" si="264"/>
        <v>JETFAN V4DX</v>
      </c>
      <c r="R1872" t="str">
        <f t="shared" si="265"/>
        <v>COD. 17 =CMD MARCIA DIR. SUD (*Valido solo se in modalità MAN da SCADA*)</v>
      </c>
      <c r="U1872" t="str">
        <f t="shared" si="266"/>
        <v>Comando</v>
      </c>
      <c r="V1872" t="str">
        <f t="shared" si="267"/>
        <v>GALLERIA</v>
      </c>
      <c r="W1872" t="str">
        <f t="shared" si="268"/>
        <v>GALLERIA SAN GIULIANO</v>
      </c>
      <c r="Z1872" t="str">
        <f t="shared" si="269"/>
        <v>10.220.80.16</v>
      </c>
    </row>
    <row r="1873" spans="1:26" x14ac:dyDescent="0.25">
      <c r="A1873" t="s">
        <v>10</v>
      </c>
      <c r="B1873" t="s">
        <v>1063</v>
      </c>
      <c r="C1873" t="s">
        <v>2173</v>
      </c>
      <c r="D1873" t="s">
        <v>2174</v>
      </c>
      <c r="E1873" t="s">
        <v>2279</v>
      </c>
      <c r="F1873" t="s">
        <v>14</v>
      </c>
      <c r="G1873" t="s">
        <v>2531</v>
      </c>
      <c r="H1873" t="s">
        <v>16</v>
      </c>
      <c r="I1873">
        <v>10007</v>
      </c>
      <c r="J1873" t="s">
        <v>2711</v>
      </c>
      <c r="K1873">
        <f t="shared" si="261"/>
        <v>10007</v>
      </c>
      <c r="N1873" t="str">
        <f t="shared" si="262"/>
        <v>HOLDING REGISTER</v>
      </c>
      <c r="O1873" t="str">
        <f t="shared" si="263"/>
        <v>INT</v>
      </c>
      <c r="P1873" t="str">
        <f t="shared" si="264"/>
        <v>JETFAN V4DX</v>
      </c>
      <c r="R1873" t="str">
        <f t="shared" si="265"/>
        <v>COD. 18 =CMD arresto (*Valido solo se in modalità MAN da SCADA*)</v>
      </c>
      <c r="U1873" t="str">
        <f t="shared" si="266"/>
        <v>Comando</v>
      </c>
      <c r="V1873" t="str">
        <f t="shared" si="267"/>
        <v>GALLERIA</v>
      </c>
      <c r="W1873" t="str">
        <f t="shared" si="268"/>
        <v>GALLERIA SAN GIULIANO</v>
      </c>
      <c r="Z1873" t="str">
        <f t="shared" si="269"/>
        <v>10.220.80.16</v>
      </c>
    </row>
    <row r="1874" spans="1:26" x14ac:dyDescent="0.25">
      <c r="A1874" t="s">
        <v>10</v>
      </c>
      <c r="B1874" t="s">
        <v>1063</v>
      </c>
      <c r="C1874" t="s">
        <v>2173</v>
      </c>
      <c r="D1874" t="s">
        <v>2174</v>
      </c>
      <c r="E1874" t="s">
        <v>2279</v>
      </c>
      <c r="F1874" t="s">
        <v>14</v>
      </c>
      <c r="G1874" t="s">
        <v>2531</v>
      </c>
      <c r="H1874" t="s">
        <v>16</v>
      </c>
      <c r="I1874">
        <v>10007</v>
      </c>
      <c r="J1874" t="s">
        <v>2712</v>
      </c>
      <c r="K1874">
        <f t="shared" si="261"/>
        <v>10007</v>
      </c>
      <c r="N1874" t="str">
        <f t="shared" si="262"/>
        <v>HOLDING REGISTER</v>
      </c>
      <c r="O1874" t="str">
        <f t="shared" si="263"/>
        <v>INT</v>
      </c>
      <c r="P1874" t="str">
        <f t="shared" si="264"/>
        <v>JETFAN V4DX</v>
      </c>
      <c r="R1874" t="str">
        <f t="shared" si="265"/>
        <v>COD. 33 =Comando Reset Allarmi</v>
      </c>
      <c r="U1874" t="str">
        <f t="shared" si="266"/>
        <v>Comando</v>
      </c>
      <c r="V1874" t="str">
        <f t="shared" si="267"/>
        <v>GALLERIA</v>
      </c>
      <c r="W1874" t="str">
        <f t="shared" si="268"/>
        <v>GALLERIA SAN GIULIANO</v>
      </c>
      <c r="Z1874" t="str">
        <f t="shared" si="269"/>
        <v>10.220.80.16</v>
      </c>
    </row>
    <row r="1875" spans="1:26" x14ac:dyDescent="0.25">
      <c r="A1875" t="s">
        <v>10</v>
      </c>
      <c r="B1875" t="s">
        <v>1063</v>
      </c>
      <c r="C1875" t="s">
        <v>2173</v>
      </c>
      <c r="D1875" t="s">
        <v>2174</v>
      </c>
      <c r="E1875" t="s">
        <v>2294</v>
      </c>
      <c r="F1875" t="s">
        <v>14</v>
      </c>
      <c r="G1875" t="s">
        <v>2531</v>
      </c>
      <c r="H1875" t="s">
        <v>16</v>
      </c>
      <c r="I1875">
        <v>10008</v>
      </c>
      <c r="J1875" t="s">
        <v>2705</v>
      </c>
      <c r="K1875">
        <f t="shared" si="261"/>
        <v>10008</v>
      </c>
      <c r="N1875" t="str">
        <f t="shared" si="262"/>
        <v>HOLDING REGISTER</v>
      </c>
      <c r="O1875" t="str">
        <f t="shared" si="263"/>
        <v>INT</v>
      </c>
      <c r="P1875" t="str">
        <f t="shared" si="264"/>
        <v>JETFAN V4SX</v>
      </c>
      <c r="R1875" t="str">
        <f t="shared" si="265"/>
        <v>COD. 2= COMANDI MAN: accettato solo se in modalità comandi auto da "QVE" su quadro CABINA per singolo ventilatore e "REMOTO" Quadro "QVFF".</v>
      </c>
      <c r="U1875" t="str">
        <f t="shared" si="266"/>
        <v>Comando</v>
      </c>
      <c r="V1875" t="str">
        <f t="shared" si="267"/>
        <v>GALLERIA</v>
      </c>
      <c r="W1875" t="str">
        <f t="shared" si="268"/>
        <v>GALLERIA SAN GIULIANO</v>
      </c>
      <c r="Z1875" t="str">
        <f t="shared" si="269"/>
        <v>10.220.80.16</v>
      </c>
    </row>
    <row r="1876" spans="1:26" x14ac:dyDescent="0.25">
      <c r="A1876" t="s">
        <v>10</v>
      </c>
      <c r="B1876" t="s">
        <v>1063</v>
      </c>
      <c r="C1876" t="s">
        <v>2173</v>
      </c>
      <c r="D1876" t="s">
        <v>2174</v>
      </c>
      <c r="E1876" t="s">
        <v>2294</v>
      </c>
      <c r="F1876" t="s">
        <v>14</v>
      </c>
      <c r="G1876" t="s">
        <v>2531</v>
      </c>
      <c r="H1876" t="s">
        <v>16</v>
      </c>
      <c r="I1876">
        <v>10008</v>
      </c>
      <c r="J1876" t="s">
        <v>2706</v>
      </c>
      <c r="K1876">
        <f t="shared" si="261"/>
        <v>10008</v>
      </c>
      <c r="N1876" t="str">
        <f t="shared" si="262"/>
        <v>HOLDING REGISTER</v>
      </c>
      <c r="O1876" t="str">
        <f t="shared" si="263"/>
        <v>INT</v>
      </c>
      <c r="P1876" t="str">
        <f t="shared" si="264"/>
        <v>JETFAN V4SX</v>
      </c>
      <c r="R1876" t="str">
        <f t="shared" si="265"/>
        <v>COD. 3= COMANDI AUTO: accettato solo se in modalità comandi auto da "QVE" su quadro CABINA per singolo ventilatore e "REMOTO" Quadro "QVFF".</v>
      </c>
      <c r="U1876" t="str">
        <f t="shared" si="266"/>
        <v>Comando</v>
      </c>
      <c r="V1876" t="str">
        <f t="shared" si="267"/>
        <v>GALLERIA</v>
      </c>
      <c r="W1876" t="str">
        <f t="shared" si="268"/>
        <v>GALLERIA SAN GIULIANO</v>
      </c>
      <c r="Z1876" t="str">
        <f t="shared" si="269"/>
        <v>10.220.80.16</v>
      </c>
    </row>
    <row r="1877" spans="1:26" x14ac:dyDescent="0.25">
      <c r="A1877" t="s">
        <v>10</v>
      </c>
      <c r="B1877" t="s">
        <v>1063</v>
      </c>
      <c r="C1877" t="s">
        <v>2173</v>
      </c>
      <c r="D1877" t="s">
        <v>2174</v>
      </c>
      <c r="E1877" t="s">
        <v>2294</v>
      </c>
      <c r="F1877" t="s">
        <v>14</v>
      </c>
      <c r="G1877" t="s">
        <v>2531</v>
      </c>
      <c r="H1877" t="s">
        <v>16</v>
      </c>
      <c r="I1877">
        <v>10008</v>
      </c>
      <c r="J1877" t="s">
        <v>2707</v>
      </c>
      <c r="K1877">
        <f t="shared" si="261"/>
        <v>10008</v>
      </c>
      <c r="N1877" t="str">
        <f t="shared" si="262"/>
        <v>HOLDING REGISTER</v>
      </c>
      <c r="O1877" t="str">
        <f t="shared" si="263"/>
        <v>INT</v>
      </c>
      <c r="P1877" t="str">
        <f t="shared" si="264"/>
        <v>JETFAN V4SX</v>
      </c>
      <c r="R1877" t="str">
        <f t="shared" si="265"/>
        <v>COD. 4 =ESCLUDI</v>
      </c>
      <c r="U1877" t="str">
        <f t="shared" si="266"/>
        <v>Comando</v>
      </c>
      <c r="V1877" t="str">
        <f t="shared" si="267"/>
        <v>GALLERIA</v>
      </c>
      <c r="W1877" t="str">
        <f t="shared" si="268"/>
        <v>GALLERIA SAN GIULIANO</v>
      </c>
      <c r="Z1877" t="str">
        <f t="shared" si="269"/>
        <v>10.220.80.16</v>
      </c>
    </row>
    <row r="1878" spans="1:26" x14ac:dyDescent="0.25">
      <c r="A1878" t="s">
        <v>10</v>
      </c>
      <c r="B1878" t="s">
        <v>1063</v>
      </c>
      <c r="C1878" t="s">
        <v>2173</v>
      </c>
      <c r="D1878" t="s">
        <v>2174</v>
      </c>
      <c r="E1878" t="s">
        <v>2294</v>
      </c>
      <c r="F1878" t="s">
        <v>14</v>
      </c>
      <c r="G1878" t="s">
        <v>2531</v>
      </c>
      <c r="H1878" t="s">
        <v>16</v>
      </c>
      <c r="I1878">
        <v>10008</v>
      </c>
      <c r="J1878" t="s">
        <v>2708</v>
      </c>
      <c r="K1878">
        <f t="shared" si="261"/>
        <v>10008</v>
      </c>
      <c r="N1878" t="str">
        <f t="shared" si="262"/>
        <v>HOLDING REGISTER</v>
      </c>
      <c r="O1878" t="str">
        <f t="shared" si="263"/>
        <v>INT</v>
      </c>
      <c r="P1878" t="str">
        <f t="shared" si="264"/>
        <v>JETFAN V4SX</v>
      </c>
      <c r="R1878" t="str">
        <f t="shared" si="265"/>
        <v>COD. 5 =INCLUDI</v>
      </c>
      <c r="U1878" t="str">
        <f t="shared" si="266"/>
        <v>Comando</v>
      </c>
      <c r="V1878" t="str">
        <f t="shared" si="267"/>
        <v>GALLERIA</v>
      </c>
      <c r="W1878" t="str">
        <f t="shared" si="268"/>
        <v>GALLERIA SAN GIULIANO</v>
      </c>
      <c r="Z1878" t="str">
        <f t="shared" si="269"/>
        <v>10.220.80.16</v>
      </c>
    </row>
    <row r="1879" spans="1:26" x14ac:dyDescent="0.25">
      <c r="A1879" t="s">
        <v>10</v>
      </c>
      <c r="B1879" t="s">
        <v>1063</v>
      </c>
      <c r="C1879" t="s">
        <v>2173</v>
      </c>
      <c r="D1879" t="s">
        <v>2174</v>
      </c>
      <c r="E1879" t="s">
        <v>2294</v>
      </c>
      <c r="F1879" t="s">
        <v>14</v>
      </c>
      <c r="G1879" t="s">
        <v>2531</v>
      </c>
      <c r="H1879" t="s">
        <v>16</v>
      </c>
      <c r="I1879">
        <v>10008</v>
      </c>
      <c r="J1879" t="s">
        <v>2709</v>
      </c>
      <c r="K1879">
        <f t="shared" si="261"/>
        <v>10008</v>
      </c>
      <c r="N1879" t="str">
        <f t="shared" si="262"/>
        <v>HOLDING REGISTER</v>
      </c>
      <c r="O1879" t="str">
        <f t="shared" si="263"/>
        <v>INT</v>
      </c>
      <c r="P1879" t="str">
        <f t="shared" si="264"/>
        <v>JETFAN V4SX</v>
      </c>
      <c r="R1879" t="str">
        <f t="shared" si="265"/>
        <v>COD. 16 =CMD MARCIA DIR. NORD (*Valido solo se in modalità MAN da SCADA*)</v>
      </c>
      <c r="U1879" t="str">
        <f t="shared" si="266"/>
        <v>Comando</v>
      </c>
      <c r="V1879" t="str">
        <f t="shared" si="267"/>
        <v>GALLERIA</v>
      </c>
      <c r="W1879" t="str">
        <f t="shared" si="268"/>
        <v>GALLERIA SAN GIULIANO</v>
      </c>
      <c r="Z1879" t="str">
        <f t="shared" si="269"/>
        <v>10.220.80.16</v>
      </c>
    </row>
    <row r="1880" spans="1:26" x14ac:dyDescent="0.25">
      <c r="A1880" t="s">
        <v>10</v>
      </c>
      <c r="B1880" t="s">
        <v>1063</v>
      </c>
      <c r="C1880" t="s">
        <v>2173</v>
      </c>
      <c r="D1880" t="s">
        <v>2174</v>
      </c>
      <c r="E1880" t="s">
        <v>2294</v>
      </c>
      <c r="F1880" t="s">
        <v>14</v>
      </c>
      <c r="G1880" t="s">
        <v>2531</v>
      </c>
      <c r="H1880" t="s">
        <v>16</v>
      </c>
      <c r="I1880">
        <v>10008</v>
      </c>
      <c r="J1880" t="s">
        <v>2710</v>
      </c>
      <c r="K1880">
        <f t="shared" si="261"/>
        <v>10008</v>
      </c>
      <c r="N1880" t="str">
        <f t="shared" si="262"/>
        <v>HOLDING REGISTER</v>
      </c>
      <c r="O1880" t="str">
        <f t="shared" si="263"/>
        <v>INT</v>
      </c>
      <c r="P1880" t="str">
        <f t="shared" si="264"/>
        <v>JETFAN V4SX</v>
      </c>
      <c r="R1880" t="str">
        <f t="shared" si="265"/>
        <v>COD. 17 =CMD MARCIA DIR. SUD (*Valido solo se in modalità MAN da SCADA*)</v>
      </c>
      <c r="U1880" t="str">
        <f t="shared" si="266"/>
        <v>Comando</v>
      </c>
      <c r="V1880" t="str">
        <f t="shared" si="267"/>
        <v>GALLERIA</v>
      </c>
      <c r="W1880" t="str">
        <f t="shared" si="268"/>
        <v>GALLERIA SAN GIULIANO</v>
      </c>
      <c r="Z1880" t="str">
        <f t="shared" si="269"/>
        <v>10.220.80.16</v>
      </c>
    </row>
    <row r="1881" spans="1:26" x14ac:dyDescent="0.25">
      <c r="A1881" t="s">
        <v>10</v>
      </c>
      <c r="B1881" t="s">
        <v>1063</v>
      </c>
      <c r="C1881" t="s">
        <v>2173</v>
      </c>
      <c r="D1881" t="s">
        <v>2174</v>
      </c>
      <c r="E1881" t="s">
        <v>2294</v>
      </c>
      <c r="F1881" t="s">
        <v>14</v>
      </c>
      <c r="G1881" t="s">
        <v>2531</v>
      </c>
      <c r="H1881" t="s">
        <v>16</v>
      </c>
      <c r="I1881">
        <v>10008</v>
      </c>
      <c r="J1881" t="s">
        <v>2711</v>
      </c>
      <c r="K1881">
        <f t="shared" si="261"/>
        <v>10008</v>
      </c>
      <c r="N1881" t="str">
        <f t="shared" si="262"/>
        <v>HOLDING REGISTER</v>
      </c>
      <c r="O1881" t="str">
        <f t="shared" si="263"/>
        <v>INT</v>
      </c>
      <c r="P1881" t="str">
        <f t="shared" si="264"/>
        <v>JETFAN V4SX</v>
      </c>
      <c r="R1881" t="str">
        <f t="shared" si="265"/>
        <v>COD. 18 =CMD arresto (*Valido solo se in modalità MAN da SCADA*)</v>
      </c>
      <c r="U1881" t="str">
        <f t="shared" si="266"/>
        <v>Comando</v>
      </c>
      <c r="V1881" t="str">
        <f t="shared" si="267"/>
        <v>GALLERIA</v>
      </c>
      <c r="W1881" t="str">
        <f t="shared" si="268"/>
        <v>GALLERIA SAN GIULIANO</v>
      </c>
      <c r="Z1881" t="str">
        <f t="shared" si="269"/>
        <v>10.220.80.16</v>
      </c>
    </row>
    <row r="1882" spans="1:26" x14ac:dyDescent="0.25">
      <c r="A1882" t="s">
        <v>10</v>
      </c>
      <c r="B1882" t="s">
        <v>1063</v>
      </c>
      <c r="C1882" t="s">
        <v>2173</v>
      </c>
      <c r="D1882" t="s">
        <v>2174</v>
      </c>
      <c r="E1882" t="s">
        <v>2294</v>
      </c>
      <c r="F1882" t="s">
        <v>14</v>
      </c>
      <c r="G1882" t="s">
        <v>2531</v>
      </c>
      <c r="H1882" t="s">
        <v>16</v>
      </c>
      <c r="I1882">
        <v>10008</v>
      </c>
      <c r="J1882" t="s">
        <v>2712</v>
      </c>
      <c r="K1882">
        <f t="shared" si="261"/>
        <v>10008</v>
      </c>
      <c r="N1882" t="str">
        <f t="shared" si="262"/>
        <v>HOLDING REGISTER</v>
      </c>
      <c r="O1882" t="str">
        <f t="shared" si="263"/>
        <v>INT</v>
      </c>
      <c r="P1882" t="str">
        <f t="shared" si="264"/>
        <v>JETFAN V4SX</v>
      </c>
      <c r="R1882" t="str">
        <f t="shared" si="265"/>
        <v>COD. 33 =Comando Reset Allarmi</v>
      </c>
      <c r="U1882" t="str">
        <f t="shared" si="266"/>
        <v>Comando</v>
      </c>
      <c r="V1882" t="str">
        <f t="shared" si="267"/>
        <v>GALLERIA</v>
      </c>
      <c r="W1882" t="str">
        <f t="shared" si="268"/>
        <v>GALLERIA SAN GIULIANO</v>
      </c>
      <c r="Z1882" t="str">
        <f t="shared" si="269"/>
        <v>10.220.80.16</v>
      </c>
    </row>
    <row r="1883" spans="1:26" x14ac:dyDescent="0.25">
      <c r="A1883" t="s">
        <v>10</v>
      </c>
      <c r="B1883" t="s">
        <v>1063</v>
      </c>
      <c r="C1883" t="s">
        <v>2173</v>
      </c>
      <c r="D1883" t="s">
        <v>2713</v>
      </c>
      <c r="E1883" t="s">
        <v>2714</v>
      </c>
      <c r="F1883" t="s">
        <v>14</v>
      </c>
      <c r="G1883" t="s">
        <v>2531</v>
      </c>
      <c r="H1883" t="s">
        <v>22</v>
      </c>
      <c r="I1883" t="s">
        <v>2715</v>
      </c>
      <c r="J1883" t="s">
        <v>2716</v>
      </c>
      <c r="K1883" t="str">
        <f t="shared" si="261"/>
        <v>10009.0</v>
      </c>
      <c r="N1883" t="str">
        <f t="shared" si="262"/>
        <v>HOLDING REGISTER</v>
      </c>
      <c r="O1883" t="str">
        <f t="shared" si="263"/>
        <v>BOOL</v>
      </c>
      <c r="P1883" t="str">
        <f t="shared" si="264"/>
        <v>IMPOSTA SOGLIE GALLERIA SOGLIE CO-OP-TEMPI</v>
      </c>
      <c r="R1883" t="str">
        <f t="shared" si="265"/>
        <v>Abilita Impostazione Soglie CO-OP</v>
      </c>
      <c r="U1883" t="str">
        <f t="shared" si="266"/>
        <v>Comando</v>
      </c>
      <c r="V1883" t="str">
        <f t="shared" si="267"/>
        <v>GALLERIA</v>
      </c>
      <c r="W1883" t="str">
        <f t="shared" si="268"/>
        <v>GALLERIA SAN GIULIANO</v>
      </c>
      <c r="Z1883" t="str">
        <f t="shared" si="269"/>
        <v>10.220.80.16</v>
      </c>
    </row>
    <row r="1884" spans="1:26" x14ac:dyDescent="0.25">
      <c r="A1884" t="s">
        <v>10</v>
      </c>
      <c r="B1884" t="s">
        <v>1063</v>
      </c>
      <c r="C1884" t="s">
        <v>2173</v>
      </c>
      <c r="D1884" t="s">
        <v>2713</v>
      </c>
      <c r="E1884" t="s">
        <v>2717</v>
      </c>
      <c r="F1884" t="s">
        <v>14</v>
      </c>
      <c r="G1884" t="s">
        <v>2531</v>
      </c>
      <c r="H1884" t="s">
        <v>1295</v>
      </c>
      <c r="I1884">
        <v>10010</v>
      </c>
      <c r="J1884" t="s">
        <v>2718</v>
      </c>
      <c r="K1884">
        <f t="shared" si="261"/>
        <v>10010</v>
      </c>
      <c r="N1884" t="str">
        <f t="shared" si="262"/>
        <v>HOLDING REGISTER</v>
      </c>
      <c r="O1884" t="str">
        <f t="shared" si="263"/>
        <v>REAL</v>
      </c>
      <c r="P1884" t="str">
        <f t="shared" si="264"/>
        <v>IMPOSTA SOGLIE GALLERIA SOGLIE CO</v>
      </c>
      <c r="R1884" t="str">
        <f t="shared" si="265"/>
        <v>CO SOGLIA 1</v>
      </c>
      <c r="U1884" t="str">
        <f t="shared" si="266"/>
        <v>Comando</v>
      </c>
      <c r="V1884" t="str">
        <f t="shared" si="267"/>
        <v>GALLERIA</v>
      </c>
      <c r="W1884" t="str">
        <f t="shared" si="268"/>
        <v>GALLERIA SAN GIULIANO</v>
      </c>
      <c r="Z1884" t="str">
        <f t="shared" si="269"/>
        <v>10.220.80.16</v>
      </c>
    </row>
    <row r="1885" spans="1:26" x14ac:dyDescent="0.25">
      <c r="A1885" t="s">
        <v>10</v>
      </c>
      <c r="B1885" t="s">
        <v>1063</v>
      </c>
      <c r="C1885" t="s">
        <v>2173</v>
      </c>
      <c r="D1885" t="s">
        <v>2713</v>
      </c>
      <c r="E1885" t="s">
        <v>2717</v>
      </c>
      <c r="F1885" t="s">
        <v>14</v>
      </c>
      <c r="G1885" t="s">
        <v>2531</v>
      </c>
      <c r="H1885" t="s">
        <v>1295</v>
      </c>
      <c r="I1885">
        <v>10012</v>
      </c>
      <c r="J1885" t="s">
        <v>2719</v>
      </c>
      <c r="K1885">
        <f t="shared" si="261"/>
        <v>10012</v>
      </c>
      <c r="N1885" t="str">
        <f t="shared" si="262"/>
        <v>HOLDING REGISTER</v>
      </c>
      <c r="O1885" t="str">
        <f t="shared" si="263"/>
        <v>REAL</v>
      </c>
      <c r="P1885" t="str">
        <f t="shared" si="264"/>
        <v>IMPOSTA SOGLIE GALLERIA SOGLIE CO</v>
      </c>
      <c r="R1885" t="str">
        <f t="shared" si="265"/>
        <v>CO SOGLIA 2</v>
      </c>
      <c r="U1885" t="str">
        <f t="shared" si="266"/>
        <v>Comando</v>
      </c>
      <c r="V1885" t="str">
        <f t="shared" si="267"/>
        <v>GALLERIA</v>
      </c>
      <c r="W1885" t="str">
        <f t="shared" si="268"/>
        <v>GALLERIA SAN GIULIANO</v>
      </c>
      <c r="Z1885" t="str">
        <f t="shared" si="269"/>
        <v>10.220.80.16</v>
      </c>
    </row>
    <row r="1886" spans="1:26" x14ac:dyDescent="0.25">
      <c r="A1886" t="s">
        <v>10</v>
      </c>
      <c r="B1886" t="s">
        <v>1063</v>
      </c>
      <c r="C1886" t="s">
        <v>2173</v>
      </c>
      <c r="D1886" t="s">
        <v>2713</v>
      </c>
      <c r="E1886" t="s">
        <v>2717</v>
      </c>
      <c r="F1886" t="s">
        <v>14</v>
      </c>
      <c r="G1886" t="s">
        <v>2531</v>
      </c>
      <c r="H1886" t="s">
        <v>1295</v>
      </c>
      <c r="I1886">
        <v>10014</v>
      </c>
      <c r="J1886" t="s">
        <v>2720</v>
      </c>
      <c r="K1886">
        <f t="shared" si="261"/>
        <v>10014</v>
      </c>
      <c r="N1886" t="str">
        <f t="shared" si="262"/>
        <v>HOLDING REGISTER</v>
      </c>
      <c r="O1886" t="str">
        <f t="shared" si="263"/>
        <v>REAL</v>
      </c>
      <c r="P1886" t="str">
        <f t="shared" si="264"/>
        <v>IMPOSTA SOGLIE GALLERIA SOGLIE CO</v>
      </c>
      <c r="R1886" t="str">
        <f t="shared" si="265"/>
        <v>CO SOGLIA 3</v>
      </c>
      <c r="U1886" t="str">
        <f t="shared" si="266"/>
        <v>Comando</v>
      </c>
      <c r="V1886" t="str">
        <f t="shared" si="267"/>
        <v>GALLERIA</v>
      </c>
      <c r="W1886" t="str">
        <f t="shared" si="268"/>
        <v>GALLERIA SAN GIULIANO</v>
      </c>
      <c r="Z1886" t="str">
        <f t="shared" si="269"/>
        <v>10.220.80.16</v>
      </c>
    </row>
    <row r="1887" spans="1:26" x14ac:dyDescent="0.25">
      <c r="A1887" t="s">
        <v>10</v>
      </c>
      <c r="B1887" t="s">
        <v>1063</v>
      </c>
      <c r="C1887" t="s">
        <v>2173</v>
      </c>
      <c r="D1887" t="s">
        <v>2713</v>
      </c>
      <c r="E1887" t="s">
        <v>2721</v>
      </c>
      <c r="F1887" t="s">
        <v>14</v>
      </c>
      <c r="G1887" t="s">
        <v>2531</v>
      </c>
      <c r="H1887" t="s">
        <v>1295</v>
      </c>
      <c r="I1887">
        <v>10016</v>
      </c>
      <c r="J1887" t="s">
        <v>2722</v>
      </c>
      <c r="K1887">
        <f t="shared" si="261"/>
        <v>10016</v>
      </c>
      <c r="N1887" t="str">
        <f t="shared" si="262"/>
        <v>HOLDING REGISTER</v>
      </c>
      <c r="O1887" t="str">
        <f t="shared" si="263"/>
        <v>REAL</v>
      </c>
      <c r="P1887" t="str">
        <f t="shared" si="264"/>
        <v>IMPOSTA SOGLIE GALLERIA SOGLIE OP</v>
      </c>
      <c r="R1887" t="str">
        <f t="shared" si="265"/>
        <v>OP SOGLIA 1</v>
      </c>
      <c r="U1887" t="str">
        <f t="shared" si="266"/>
        <v>Comando</v>
      </c>
      <c r="V1887" t="str">
        <f t="shared" si="267"/>
        <v>GALLERIA</v>
      </c>
      <c r="W1887" t="str">
        <f t="shared" si="268"/>
        <v>GALLERIA SAN GIULIANO</v>
      </c>
      <c r="Z1887" t="str">
        <f t="shared" si="269"/>
        <v>10.220.80.16</v>
      </c>
    </row>
    <row r="1888" spans="1:26" x14ac:dyDescent="0.25">
      <c r="A1888" t="s">
        <v>10</v>
      </c>
      <c r="B1888" t="s">
        <v>1063</v>
      </c>
      <c r="C1888" t="s">
        <v>2173</v>
      </c>
      <c r="D1888" t="s">
        <v>2713</v>
      </c>
      <c r="E1888" t="s">
        <v>2721</v>
      </c>
      <c r="F1888" t="s">
        <v>14</v>
      </c>
      <c r="G1888" t="s">
        <v>2531</v>
      </c>
      <c r="H1888" t="s">
        <v>1295</v>
      </c>
      <c r="I1888">
        <v>10018</v>
      </c>
      <c r="J1888" t="s">
        <v>2723</v>
      </c>
      <c r="K1888">
        <f t="shared" si="261"/>
        <v>10018</v>
      </c>
      <c r="N1888" t="str">
        <f t="shared" si="262"/>
        <v>HOLDING REGISTER</v>
      </c>
      <c r="O1888" t="str">
        <f t="shared" si="263"/>
        <v>REAL</v>
      </c>
      <c r="P1888" t="str">
        <f t="shared" si="264"/>
        <v>IMPOSTA SOGLIE GALLERIA SOGLIE OP</v>
      </c>
      <c r="R1888" t="str">
        <f t="shared" si="265"/>
        <v>OP SOGLIA 2</v>
      </c>
      <c r="U1888" t="str">
        <f t="shared" si="266"/>
        <v>Comando</v>
      </c>
      <c r="V1888" t="str">
        <f t="shared" si="267"/>
        <v>GALLERIA</v>
      </c>
      <c r="W1888" t="str">
        <f t="shared" si="268"/>
        <v>GALLERIA SAN GIULIANO</v>
      </c>
      <c r="Z1888" t="str">
        <f t="shared" si="269"/>
        <v>10.220.80.16</v>
      </c>
    </row>
    <row r="1889" spans="1:26" x14ac:dyDescent="0.25">
      <c r="A1889" t="s">
        <v>10</v>
      </c>
      <c r="B1889" t="s">
        <v>1063</v>
      </c>
      <c r="C1889" t="s">
        <v>2173</v>
      </c>
      <c r="D1889" t="s">
        <v>2713</v>
      </c>
      <c r="E1889" t="s">
        <v>2721</v>
      </c>
      <c r="F1889" t="s">
        <v>14</v>
      </c>
      <c r="G1889" t="s">
        <v>2531</v>
      </c>
      <c r="H1889" t="s">
        <v>1295</v>
      </c>
      <c r="I1889">
        <v>10020</v>
      </c>
      <c r="J1889" t="s">
        <v>2724</v>
      </c>
      <c r="K1889">
        <f t="shared" si="261"/>
        <v>10020</v>
      </c>
      <c r="N1889" t="str">
        <f t="shared" si="262"/>
        <v>HOLDING REGISTER</v>
      </c>
      <c r="O1889" t="str">
        <f t="shared" si="263"/>
        <v>REAL</v>
      </c>
      <c r="P1889" t="str">
        <f t="shared" si="264"/>
        <v>IMPOSTA SOGLIE GALLERIA SOGLIE OP</v>
      </c>
      <c r="R1889" t="str">
        <f t="shared" si="265"/>
        <v>OP SOGLIA 3</v>
      </c>
      <c r="U1889" t="str">
        <f t="shared" si="266"/>
        <v>Comando</v>
      </c>
      <c r="V1889" t="str">
        <f t="shared" si="267"/>
        <v>GALLERIA</v>
      </c>
      <c r="W1889" t="str">
        <f t="shared" si="268"/>
        <v>GALLERIA SAN GIULIANO</v>
      </c>
      <c r="Z1889" t="str">
        <f t="shared" si="269"/>
        <v>10.220.80.16</v>
      </c>
    </row>
    <row r="1890" spans="1:26" x14ac:dyDescent="0.25">
      <c r="A1890" t="s">
        <v>10</v>
      </c>
      <c r="B1890" t="s">
        <v>1063</v>
      </c>
      <c r="C1890" t="s">
        <v>2173</v>
      </c>
      <c r="D1890" t="s">
        <v>2713</v>
      </c>
      <c r="E1890" t="s">
        <v>2725</v>
      </c>
      <c r="F1890" t="s">
        <v>14</v>
      </c>
      <c r="G1890" t="s">
        <v>2531</v>
      </c>
      <c r="H1890" t="s">
        <v>16</v>
      </c>
      <c r="I1890">
        <v>10022</v>
      </c>
      <c r="J1890" t="s">
        <v>2726</v>
      </c>
      <c r="K1890">
        <f t="shared" si="261"/>
        <v>10022</v>
      </c>
      <c r="N1890" t="str">
        <f t="shared" si="262"/>
        <v>HOLDING REGISTER</v>
      </c>
      <c r="O1890" t="str">
        <f t="shared" si="263"/>
        <v>INT</v>
      </c>
      <c r="P1890" t="str">
        <f t="shared" si="264"/>
        <v>IMPOSTA SOGLIE GALLERIA NUMERO VENTILATORI SOGLIA</v>
      </c>
      <c r="R1890" t="str">
        <f t="shared" si="265"/>
        <v>Soglia 1 N° Ventilatori</v>
      </c>
      <c r="U1890" t="str">
        <f t="shared" si="266"/>
        <v>Comando</v>
      </c>
      <c r="V1890" t="str">
        <f t="shared" si="267"/>
        <v>GALLERIA</v>
      </c>
      <c r="W1890" t="str">
        <f t="shared" si="268"/>
        <v>GALLERIA SAN GIULIANO</v>
      </c>
      <c r="Z1890" t="str">
        <f t="shared" si="269"/>
        <v>10.220.80.16</v>
      </c>
    </row>
    <row r="1891" spans="1:26" x14ac:dyDescent="0.25">
      <c r="A1891" t="s">
        <v>10</v>
      </c>
      <c r="B1891" t="s">
        <v>1063</v>
      </c>
      <c r="C1891" t="s">
        <v>2173</v>
      </c>
      <c r="D1891" t="s">
        <v>2713</v>
      </c>
      <c r="E1891" t="s">
        <v>2725</v>
      </c>
      <c r="F1891" t="s">
        <v>14</v>
      </c>
      <c r="G1891" t="s">
        <v>2531</v>
      </c>
      <c r="H1891" t="s">
        <v>16</v>
      </c>
      <c r="I1891">
        <v>10023</v>
      </c>
      <c r="J1891" t="s">
        <v>2727</v>
      </c>
      <c r="K1891">
        <f t="shared" si="261"/>
        <v>10023</v>
      </c>
      <c r="N1891" t="str">
        <f t="shared" si="262"/>
        <v>HOLDING REGISTER</v>
      </c>
      <c r="O1891" t="str">
        <f t="shared" si="263"/>
        <v>INT</v>
      </c>
      <c r="P1891" t="str">
        <f t="shared" si="264"/>
        <v>IMPOSTA SOGLIE GALLERIA NUMERO VENTILATORI SOGLIA</v>
      </c>
      <c r="R1891" t="str">
        <f t="shared" si="265"/>
        <v>Soglia 2 N° Ventilatori</v>
      </c>
      <c r="U1891" t="str">
        <f t="shared" si="266"/>
        <v>Comando</v>
      </c>
      <c r="V1891" t="str">
        <f t="shared" si="267"/>
        <v>GALLERIA</v>
      </c>
      <c r="W1891" t="str">
        <f t="shared" si="268"/>
        <v>GALLERIA SAN GIULIANO</v>
      </c>
      <c r="Z1891" t="str">
        <f t="shared" si="269"/>
        <v>10.220.80.16</v>
      </c>
    </row>
    <row r="1892" spans="1:26" x14ac:dyDescent="0.25">
      <c r="A1892" t="s">
        <v>10</v>
      </c>
      <c r="B1892" t="s">
        <v>1063</v>
      </c>
      <c r="C1892" t="s">
        <v>2173</v>
      </c>
      <c r="D1892" t="s">
        <v>2713</v>
      </c>
      <c r="E1892" t="s">
        <v>2725</v>
      </c>
      <c r="F1892" t="s">
        <v>14</v>
      </c>
      <c r="G1892" t="s">
        <v>2531</v>
      </c>
      <c r="H1892" t="s">
        <v>16</v>
      </c>
      <c r="I1892">
        <v>10024</v>
      </c>
      <c r="J1892" t="s">
        <v>2728</v>
      </c>
      <c r="K1892">
        <f t="shared" si="261"/>
        <v>10024</v>
      </c>
      <c r="N1892" t="str">
        <f t="shared" si="262"/>
        <v>HOLDING REGISTER</v>
      </c>
      <c r="O1892" t="str">
        <f t="shared" si="263"/>
        <v>INT</v>
      </c>
      <c r="P1892" t="str">
        <f t="shared" si="264"/>
        <v>IMPOSTA SOGLIE GALLERIA NUMERO VENTILATORI SOGLIA</v>
      </c>
      <c r="R1892" t="str">
        <f t="shared" si="265"/>
        <v>Soglia 3 N° Ventilatori</v>
      </c>
      <c r="U1892" t="str">
        <f t="shared" si="266"/>
        <v>Comando</v>
      </c>
      <c r="V1892" t="str">
        <f t="shared" si="267"/>
        <v>GALLERIA</v>
      </c>
      <c r="W1892" t="str">
        <f t="shared" si="268"/>
        <v>GALLERIA SAN GIULIANO</v>
      </c>
      <c r="Z1892" t="str">
        <f t="shared" si="269"/>
        <v>10.220.80.16</v>
      </c>
    </row>
    <row r="1893" spans="1:26" x14ac:dyDescent="0.25">
      <c r="A1893" t="s">
        <v>10</v>
      </c>
      <c r="B1893" t="s">
        <v>1063</v>
      </c>
      <c r="C1893" t="s">
        <v>2173</v>
      </c>
      <c r="D1893" t="s">
        <v>2713</v>
      </c>
      <c r="E1893" t="s">
        <v>2729</v>
      </c>
      <c r="F1893" t="s">
        <v>14</v>
      </c>
      <c r="G1893" t="s">
        <v>2531</v>
      </c>
      <c r="H1893" t="s">
        <v>16</v>
      </c>
      <c r="I1893">
        <v>10025</v>
      </c>
      <c r="J1893" t="s">
        <v>2730</v>
      </c>
      <c r="K1893">
        <f t="shared" si="261"/>
        <v>10025</v>
      </c>
      <c r="N1893" t="str">
        <f t="shared" si="262"/>
        <v>HOLDING REGISTER</v>
      </c>
      <c r="O1893" t="str">
        <f t="shared" si="263"/>
        <v>INT</v>
      </c>
      <c r="P1893" t="str">
        <f t="shared" si="264"/>
        <v>IMPOSTA SOGLIE GALLERIA TEMPI SOGLIE SENSORI</v>
      </c>
      <c r="R1893" t="str">
        <f t="shared" si="265"/>
        <v>Tempo Ritardo Attivazione</v>
      </c>
      <c r="U1893" t="str">
        <f t="shared" si="266"/>
        <v>Comando</v>
      </c>
      <c r="V1893" t="str">
        <f t="shared" si="267"/>
        <v>GALLERIA</v>
      </c>
      <c r="W1893" t="str">
        <f t="shared" si="268"/>
        <v>GALLERIA SAN GIULIANO</v>
      </c>
      <c r="Z1893" t="str">
        <f t="shared" si="269"/>
        <v>10.220.80.16</v>
      </c>
    </row>
    <row r="1894" spans="1:26" x14ac:dyDescent="0.25">
      <c r="A1894" t="s">
        <v>10</v>
      </c>
      <c r="B1894" t="s">
        <v>1063</v>
      </c>
      <c r="C1894" t="s">
        <v>2173</v>
      </c>
      <c r="D1894" t="s">
        <v>2713</v>
      </c>
      <c r="E1894" t="s">
        <v>2729</v>
      </c>
      <c r="F1894" t="s">
        <v>14</v>
      </c>
      <c r="G1894" t="s">
        <v>2531</v>
      </c>
      <c r="H1894" t="s">
        <v>16</v>
      </c>
      <c r="I1894">
        <v>10026</v>
      </c>
      <c r="J1894" t="s">
        <v>2731</v>
      </c>
      <c r="K1894">
        <f t="shared" si="261"/>
        <v>10026</v>
      </c>
      <c r="N1894" t="str">
        <f t="shared" si="262"/>
        <v>HOLDING REGISTER</v>
      </c>
      <c r="O1894" t="str">
        <f t="shared" si="263"/>
        <v>INT</v>
      </c>
      <c r="P1894" t="str">
        <f t="shared" si="264"/>
        <v>IMPOSTA SOGLIE GALLERIA TEMPI SOGLIE SENSORI</v>
      </c>
      <c r="R1894" t="str">
        <f t="shared" si="265"/>
        <v>Tempo Ritardo Rientro</v>
      </c>
      <c r="U1894" t="str">
        <f t="shared" si="266"/>
        <v>Comando</v>
      </c>
      <c r="V1894" t="str">
        <f t="shared" si="267"/>
        <v>GALLERIA</v>
      </c>
      <c r="W1894" t="str">
        <f t="shared" si="268"/>
        <v>GALLERIA SAN GIULIANO</v>
      </c>
      <c r="Z1894" t="str">
        <f t="shared" si="269"/>
        <v>10.220.80.16</v>
      </c>
    </row>
    <row r="1895" spans="1:26" x14ac:dyDescent="0.25">
      <c r="A1895" t="s">
        <v>10</v>
      </c>
      <c r="B1895" t="s">
        <v>1063</v>
      </c>
      <c r="C1895" t="s">
        <v>2173</v>
      </c>
      <c r="D1895" t="s">
        <v>2371</v>
      </c>
      <c r="E1895" t="s">
        <v>2372</v>
      </c>
      <c r="F1895" t="s">
        <v>14</v>
      </c>
      <c r="G1895" t="s">
        <v>2531</v>
      </c>
      <c r="H1895" t="s">
        <v>22</v>
      </c>
      <c r="I1895" t="s">
        <v>2732</v>
      </c>
      <c r="J1895" t="s">
        <v>2733</v>
      </c>
      <c r="K1895" t="str">
        <f t="shared" si="261"/>
        <v>10009.1</v>
      </c>
      <c r="N1895" t="str">
        <f t="shared" si="262"/>
        <v>HOLDING REGISTER</v>
      </c>
      <c r="O1895" t="str">
        <f t="shared" si="263"/>
        <v>BOOL</v>
      </c>
      <c r="P1895" t="str">
        <f t="shared" si="264"/>
        <v>SENSORE CO CO1</v>
      </c>
      <c r="R1895" t="str">
        <f t="shared" si="265"/>
        <v>CO1 -.Escludi</v>
      </c>
      <c r="U1895" t="str">
        <f t="shared" si="266"/>
        <v>Comando</v>
      </c>
      <c r="V1895" t="str">
        <f t="shared" si="267"/>
        <v>GALLERIA</v>
      </c>
      <c r="W1895" t="str">
        <f t="shared" si="268"/>
        <v>GALLERIA SAN GIULIANO</v>
      </c>
      <c r="Z1895" t="str">
        <f t="shared" si="269"/>
        <v>10.220.80.16</v>
      </c>
    </row>
    <row r="1896" spans="1:26" x14ac:dyDescent="0.25">
      <c r="A1896" t="s">
        <v>10</v>
      </c>
      <c r="B1896" t="s">
        <v>1063</v>
      </c>
      <c r="C1896" t="s">
        <v>2173</v>
      </c>
      <c r="D1896" t="s">
        <v>2371</v>
      </c>
      <c r="E1896" t="s">
        <v>2372</v>
      </c>
      <c r="F1896" t="s">
        <v>14</v>
      </c>
      <c r="G1896" t="s">
        <v>2531</v>
      </c>
      <c r="H1896" t="s">
        <v>22</v>
      </c>
      <c r="I1896" t="s">
        <v>2734</v>
      </c>
      <c r="J1896" t="s">
        <v>2735</v>
      </c>
      <c r="K1896" t="str">
        <f t="shared" si="261"/>
        <v>10009.2</v>
      </c>
      <c r="N1896" t="str">
        <f t="shared" si="262"/>
        <v>HOLDING REGISTER</v>
      </c>
      <c r="O1896" t="str">
        <f t="shared" si="263"/>
        <v>BOOL</v>
      </c>
      <c r="P1896" t="str">
        <f t="shared" si="264"/>
        <v>SENSORE CO CO1</v>
      </c>
      <c r="R1896" t="str">
        <f t="shared" si="265"/>
        <v>CO1 -.Includi</v>
      </c>
      <c r="U1896" t="str">
        <f t="shared" si="266"/>
        <v>Comando</v>
      </c>
      <c r="V1896" t="str">
        <f t="shared" si="267"/>
        <v>GALLERIA</v>
      </c>
      <c r="W1896" t="str">
        <f t="shared" si="268"/>
        <v>GALLERIA SAN GIULIANO</v>
      </c>
      <c r="Z1896" t="str">
        <f t="shared" si="269"/>
        <v>10.220.80.16</v>
      </c>
    </row>
    <row r="1897" spans="1:26" x14ac:dyDescent="0.25">
      <c r="A1897" t="s">
        <v>10</v>
      </c>
      <c r="B1897" t="s">
        <v>1063</v>
      </c>
      <c r="C1897" t="s">
        <v>2173</v>
      </c>
      <c r="D1897" t="s">
        <v>2375</v>
      </c>
      <c r="E1897" t="s">
        <v>2376</v>
      </c>
      <c r="F1897" t="s">
        <v>14</v>
      </c>
      <c r="G1897" t="s">
        <v>2531</v>
      </c>
      <c r="H1897" t="s">
        <v>22</v>
      </c>
      <c r="I1897" t="s">
        <v>2736</v>
      </c>
      <c r="J1897" t="s">
        <v>2737</v>
      </c>
      <c r="K1897" t="str">
        <f t="shared" si="261"/>
        <v>10009.3</v>
      </c>
      <c r="N1897" t="str">
        <f t="shared" si="262"/>
        <v>HOLDING REGISTER</v>
      </c>
      <c r="O1897" t="str">
        <f t="shared" si="263"/>
        <v>BOOL</v>
      </c>
      <c r="P1897" t="str">
        <f t="shared" si="264"/>
        <v>SENSORE OP OP1</v>
      </c>
      <c r="R1897" t="str">
        <f t="shared" si="265"/>
        <v>OP1 -.Escludi</v>
      </c>
      <c r="U1897" t="str">
        <f t="shared" si="266"/>
        <v>Comando</v>
      </c>
      <c r="V1897" t="str">
        <f t="shared" si="267"/>
        <v>GALLERIA</v>
      </c>
      <c r="W1897" t="str">
        <f t="shared" si="268"/>
        <v>GALLERIA SAN GIULIANO</v>
      </c>
      <c r="Z1897" t="str">
        <f t="shared" si="269"/>
        <v>10.220.80.16</v>
      </c>
    </row>
    <row r="1898" spans="1:26" x14ac:dyDescent="0.25">
      <c r="A1898" t="s">
        <v>10</v>
      </c>
      <c r="B1898" t="s">
        <v>1063</v>
      </c>
      <c r="C1898" t="s">
        <v>2173</v>
      </c>
      <c r="D1898" t="s">
        <v>2375</v>
      </c>
      <c r="E1898" t="s">
        <v>2376</v>
      </c>
      <c r="F1898" t="s">
        <v>14</v>
      </c>
      <c r="G1898" t="s">
        <v>2531</v>
      </c>
      <c r="H1898" t="s">
        <v>22</v>
      </c>
      <c r="I1898" t="s">
        <v>2738</v>
      </c>
      <c r="J1898" t="s">
        <v>2739</v>
      </c>
      <c r="K1898" t="str">
        <f t="shared" si="261"/>
        <v>10009.4</v>
      </c>
      <c r="N1898" t="str">
        <f t="shared" si="262"/>
        <v>HOLDING REGISTER</v>
      </c>
      <c r="O1898" t="str">
        <f t="shared" si="263"/>
        <v>BOOL</v>
      </c>
      <c r="P1898" t="str">
        <f t="shared" si="264"/>
        <v>SENSORE OP OP1</v>
      </c>
      <c r="R1898" t="str">
        <f t="shared" si="265"/>
        <v>OP1 -.Includi</v>
      </c>
      <c r="U1898" t="str">
        <f t="shared" si="266"/>
        <v>Comando</v>
      </c>
      <c r="V1898" t="str">
        <f t="shared" si="267"/>
        <v>GALLERIA</v>
      </c>
      <c r="W1898" t="str">
        <f t="shared" si="268"/>
        <v>GALLERIA SAN GIULIANO</v>
      </c>
      <c r="Z1898" t="str">
        <f t="shared" si="269"/>
        <v>10.220.80.16</v>
      </c>
    </row>
    <row r="1899" spans="1:26" x14ac:dyDescent="0.25">
      <c r="A1899" t="s">
        <v>10</v>
      </c>
      <c r="B1899" t="s">
        <v>1063</v>
      </c>
      <c r="C1899" t="s">
        <v>2388</v>
      </c>
      <c r="D1899" t="s">
        <v>2371</v>
      </c>
      <c r="E1899" t="s">
        <v>2372</v>
      </c>
      <c r="F1899" t="s">
        <v>14</v>
      </c>
      <c r="G1899" t="s">
        <v>2531</v>
      </c>
      <c r="H1899" t="s">
        <v>22</v>
      </c>
      <c r="I1899" t="s">
        <v>2740</v>
      </c>
      <c r="J1899" t="s">
        <v>2733</v>
      </c>
      <c r="K1899" t="str">
        <f t="shared" si="261"/>
        <v>10009.5</v>
      </c>
      <c r="N1899" t="str">
        <f t="shared" si="262"/>
        <v>HOLDING REGISTER</v>
      </c>
      <c r="O1899" t="str">
        <f t="shared" si="263"/>
        <v>BOOL</v>
      </c>
      <c r="P1899" t="str">
        <f t="shared" si="264"/>
        <v>SENSORE CO CO1</v>
      </c>
      <c r="R1899" t="str">
        <f t="shared" si="265"/>
        <v>CO1 -.Escludi</v>
      </c>
      <c r="U1899" t="str">
        <f t="shared" si="266"/>
        <v>Comando</v>
      </c>
      <c r="V1899" t="str">
        <f t="shared" si="267"/>
        <v>VIA ESODO</v>
      </c>
      <c r="W1899" t="str">
        <f t="shared" si="268"/>
        <v>GALLERIA SAN GIULIANO</v>
      </c>
      <c r="Z1899" t="str">
        <f t="shared" si="269"/>
        <v>10.220.80.16</v>
      </c>
    </row>
    <row r="1900" spans="1:26" x14ac:dyDescent="0.25">
      <c r="A1900" t="s">
        <v>10</v>
      </c>
      <c r="B1900" t="s">
        <v>1063</v>
      </c>
      <c r="C1900" t="s">
        <v>2388</v>
      </c>
      <c r="D1900" t="s">
        <v>2371</v>
      </c>
      <c r="E1900" t="s">
        <v>2372</v>
      </c>
      <c r="F1900" t="s">
        <v>14</v>
      </c>
      <c r="G1900" t="s">
        <v>2531</v>
      </c>
      <c r="H1900" t="s">
        <v>22</v>
      </c>
      <c r="I1900" t="s">
        <v>2741</v>
      </c>
      <c r="J1900" t="s">
        <v>2735</v>
      </c>
      <c r="K1900" t="str">
        <f t="shared" si="261"/>
        <v>10009.6</v>
      </c>
      <c r="N1900" t="str">
        <f t="shared" si="262"/>
        <v>HOLDING REGISTER</v>
      </c>
      <c r="O1900" t="str">
        <f t="shared" si="263"/>
        <v>BOOL</v>
      </c>
      <c r="P1900" t="str">
        <f t="shared" si="264"/>
        <v>SENSORE CO CO1</v>
      </c>
      <c r="R1900" t="str">
        <f t="shared" si="265"/>
        <v>CO1 -.Includi</v>
      </c>
      <c r="U1900" t="str">
        <f t="shared" si="266"/>
        <v>Comando</v>
      </c>
      <c r="V1900" t="str">
        <f t="shared" si="267"/>
        <v>VIA ESODO</v>
      </c>
      <c r="W1900" t="str">
        <f t="shared" si="268"/>
        <v>GALLERIA SAN GIULIANO</v>
      </c>
      <c r="Z1900" t="str">
        <f t="shared" si="269"/>
        <v>10.220.80.16</v>
      </c>
    </row>
    <row r="1901" spans="1:26" x14ac:dyDescent="0.25">
      <c r="A1901" t="s">
        <v>10</v>
      </c>
      <c r="B1901" t="s">
        <v>1063</v>
      </c>
      <c r="C1901" t="s">
        <v>2388</v>
      </c>
      <c r="D1901" t="s">
        <v>2375</v>
      </c>
      <c r="E1901" t="s">
        <v>2376</v>
      </c>
      <c r="F1901" t="s">
        <v>14</v>
      </c>
      <c r="G1901" t="s">
        <v>2531</v>
      </c>
      <c r="H1901" t="s">
        <v>22</v>
      </c>
      <c r="I1901" t="s">
        <v>2742</v>
      </c>
      <c r="J1901" t="s">
        <v>2737</v>
      </c>
      <c r="K1901" t="str">
        <f t="shared" si="261"/>
        <v>10009.7</v>
      </c>
      <c r="N1901" t="str">
        <f t="shared" si="262"/>
        <v>HOLDING REGISTER</v>
      </c>
      <c r="O1901" t="str">
        <f t="shared" si="263"/>
        <v>BOOL</v>
      </c>
      <c r="P1901" t="str">
        <f t="shared" si="264"/>
        <v>SENSORE OP OP1</v>
      </c>
      <c r="R1901" t="str">
        <f t="shared" si="265"/>
        <v>OP1 -.Escludi</v>
      </c>
      <c r="U1901" t="str">
        <f t="shared" si="266"/>
        <v>Comando</v>
      </c>
      <c r="V1901" t="str">
        <f t="shared" si="267"/>
        <v>VIA ESODO</v>
      </c>
      <c r="W1901" t="str">
        <f t="shared" si="268"/>
        <v>GALLERIA SAN GIULIANO</v>
      </c>
      <c r="Z1901" t="str">
        <f t="shared" si="269"/>
        <v>10.220.80.16</v>
      </c>
    </row>
    <row r="1902" spans="1:26" x14ac:dyDescent="0.25">
      <c r="A1902" t="s">
        <v>10</v>
      </c>
      <c r="B1902" t="s">
        <v>1063</v>
      </c>
      <c r="C1902" t="s">
        <v>2388</v>
      </c>
      <c r="D1902" t="s">
        <v>2375</v>
      </c>
      <c r="E1902" t="s">
        <v>2376</v>
      </c>
      <c r="F1902" t="s">
        <v>14</v>
      </c>
      <c r="G1902" t="s">
        <v>2531</v>
      </c>
      <c r="H1902" t="s">
        <v>22</v>
      </c>
      <c r="I1902" t="s">
        <v>2743</v>
      </c>
      <c r="J1902" t="s">
        <v>2739</v>
      </c>
      <c r="K1902" t="str">
        <f t="shared" si="261"/>
        <v>10009.8</v>
      </c>
      <c r="N1902" t="str">
        <f t="shared" si="262"/>
        <v>HOLDING REGISTER</v>
      </c>
      <c r="O1902" t="str">
        <f t="shared" si="263"/>
        <v>BOOL</v>
      </c>
      <c r="P1902" t="str">
        <f t="shared" si="264"/>
        <v>SENSORE OP OP1</v>
      </c>
      <c r="R1902" t="str">
        <f t="shared" si="265"/>
        <v>OP1 -.Includi</v>
      </c>
      <c r="U1902" t="str">
        <f t="shared" si="266"/>
        <v>Comando</v>
      </c>
      <c r="V1902" t="str">
        <f t="shared" si="267"/>
        <v>VIA ESODO</v>
      </c>
      <c r="W1902" t="str">
        <f t="shared" si="268"/>
        <v>GALLERIA SAN GIULIANO</v>
      </c>
      <c r="Z1902" t="str">
        <f t="shared" si="269"/>
        <v>10.220.80.16</v>
      </c>
    </row>
    <row r="1903" spans="1:26" x14ac:dyDescent="0.25">
      <c r="A1903" t="s">
        <v>10</v>
      </c>
      <c r="B1903" t="s">
        <v>1063</v>
      </c>
      <c r="C1903" t="s">
        <v>2173</v>
      </c>
      <c r="D1903" t="s">
        <v>2160</v>
      </c>
      <c r="E1903" t="s">
        <v>2744</v>
      </c>
      <c r="F1903" t="s">
        <v>14</v>
      </c>
      <c r="G1903" t="s">
        <v>2531</v>
      </c>
      <c r="H1903" t="s">
        <v>22</v>
      </c>
      <c r="I1903" t="s">
        <v>2745</v>
      </c>
      <c r="J1903" t="s">
        <v>2746</v>
      </c>
      <c r="K1903" t="str">
        <f t="shared" si="261"/>
        <v>10009.9</v>
      </c>
      <c r="N1903" t="str">
        <f t="shared" si="262"/>
        <v>HOLDING REGISTER</v>
      </c>
      <c r="O1903" t="str">
        <f t="shared" si="263"/>
        <v>BOOL</v>
      </c>
      <c r="P1903" t="str">
        <f t="shared" si="264"/>
        <v>CAVO TERMOSENSIBILE LDM -MARCIA NORD</v>
      </c>
      <c r="R1903" t="str">
        <f t="shared" si="265"/>
        <v>Reset</v>
      </c>
      <c r="U1903" t="str">
        <f t="shared" si="266"/>
        <v>Comando</v>
      </c>
      <c r="V1903" t="str">
        <f t="shared" si="267"/>
        <v>GALLERIA</v>
      </c>
      <c r="W1903" t="str">
        <f t="shared" si="268"/>
        <v>GALLERIA SAN GIULIANO</v>
      </c>
      <c r="Z1903" t="str">
        <f t="shared" si="269"/>
        <v>10.220.80.16</v>
      </c>
    </row>
    <row r="1904" spans="1:26" x14ac:dyDescent="0.25">
      <c r="A1904" t="s">
        <v>10</v>
      </c>
      <c r="B1904" t="s">
        <v>1063</v>
      </c>
      <c r="C1904" t="s">
        <v>2173</v>
      </c>
      <c r="D1904" t="s">
        <v>2160</v>
      </c>
      <c r="E1904" t="s">
        <v>2747</v>
      </c>
      <c r="F1904" t="s">
        <v>14</v>
      </c>
      <c r="G1904" t="s">
        <v>2531</v>
      </c>
      <c r="H1904" t="s">
        <v>22</v>
      </c>
      <c r="I1904" t="s">
        <v>2748</v>
      </c>
      <c r="J1904" t="s">
        <v>2746</v>
      </c>
      <c r="K1904" t="str">
        <f t="shared" si="261"/>
        <v>10009.10</v>
      </c>
      <c r="N1904" t="str">
        <f t="shared" si="262"/>
        <v>HOLDING REGISTER</v>
      </c>
      <c r="O1904" t="str">
        <f t="shared" si="263"/>
        <v>BOOL</v>
      </c>
      <c r="P1904" t="str">
        <f t="shared" si="264"/>
        <v>CAVO TERMOSENSIBILE LDM -MARCIA SUD</v>
      </c>
      <c r="R1904" t="str">
        <f t="shared" si="265"/>
        <v>Reset</v>
      </c>
      <c r="U1904" t="str">
        <f t="shared" si="266"/>
        <v>Comando</v>
      </c>
      <c r="V1904" t="str">
        <f t="shared" si="267"/>
        <v>GALLERIA</v>
      </c>
      <c r="W1904" t="str">
        <f t="shared" si="268"/>
        <v>GALLERIA SAN GIULIANO</v>
      </c>
      <c r="Z1904" t="str">
        <f t="shared" si="269"/>
        <v>10.220.80.16</v>
      </c>
    </row>
    <row r="1905" spans="1:26" x14ac:dyDescent="0.25">
      <c r="A1905" t="s">
        <v>10</v>
      </c>
      <c r="B1905" t="s">
        <v>1063</v>
      </c>
      <c r="C1905" t="s">
        <v>2173</v>
      </c>
      <c r="D1905" t="s">
        <v>2749</v>
      </c>
      <c r="E1905" t="s">
        <v>2522</v>
      </c>
      <c r="F1905" t="s">
        <v>14</v>
      </c>
      <c r="G1905" t="s">
        <v>2531</v>
      </c>
      <c r="H1905" t="s">
        <v>22</v>
      </c>
      <c r="I1905" t="s">
        <v>2750</v>
      </c>
      <c r="J1905" t="s">
        <v>2751</v>
      </c>
      <c r="K1905" t="str">
        <f t="shared" si="261"/>
        <v>10009.11</v>
      </c>
      <c r="N1905" t="str">
        <f t="shared" si="262"/>
        <v>HOLDING REGISTER</v>
      </c>
      <c r="O1905" t="str">
        <f t="shared" si="263"/>
        <v>BOOL</v>
      </c>
      <c r="P1905" t="str">
        <f t="shared" si="264"/>
        <v>SCENARI SAN GIULIANO Scenari Tutti</v>
      </c>
      <c r="R1905" t="str">
        <f t="shared" si="265"/>
        <v>Scenari -Abilita Impostazione Scenari</v>
      </c>
      <c r="U1905" t="str">
        <f t="shared" si="266"/>
        <v>Comando</v>
      </c>
      <c r="V1905" t="str">
        <f t="shared" si="267"/>
        <v>GALLERIA</v>
      </c>
      <c r="W1905" t="str">
        <f t="shared" si="268"/>
        <v>GALLERIA SAN GIULIANO</v>
      </c>
      <c r="Z1905" t="str">
        <f t="shared" si="269"/>
        <v>10.220.80.16</v>
      </c>
    </row>
    <row r="1906" spans="1:26" x14ac:dyDescent="0.25">
      <c r="A1906" t="s">
        <v>10</v>
      </c>
      <c r="B1906" t="s">
        <v>1063</v>
      </c>
      <c r="C1906" t="s">
        <v>2173</v>
      </c>
      <c r="D1906" t="s">
        <v>2749</v>
      </c>
      <c r="E1906" t="s">
        <v>2483</v>
      </c>
      <c r="F1906" t="s">
        <v>14</v>
      </c>
      <c r="G1906" t="s">
        <v>2531</v>
      </c>
      <c r="H1906" t="s">
        <v>22</v>
      </c>
      <c r="I1906" t="s">
        <v>2752</v>
      </c>
      <c r="J1906" t="s">
        <v>2485</v>
      </c>
      <c r="K1906" t="str">
        <f t="shared" si="261"/>
        <v>10027.0</v>
      </c>
      <c r="N1906" t="str">
        <f t="shared" si="262"/>
        <v>HOLDING REGISTER</v>
      </c>
      <c r="O1906" t="str">
        <f t="shared" si="263"/>
        <v>BOOL</v>
      </c>
      <c r="P1906" t="str">
        <f t="shared" si="264"/>
        <v>SCENARI SAN GIULIANO Scenario E2</v>
      </c>
      <c r="R1906" t="str">
        <f t="shared" si="265"/>
        <v>Scenari -Comando Manuale Scenario E2: ALLARME SOS</v>
      </c>
      <c r="U1906" t="str">
        <f t="shared" si="266"/>
        <v>Comando</v>
      </c>
      <c r="V1906" t="str">
        <f t="shared" si="267"/>
        <v>GALLERIA</v>
      </c>
      <c r="W1906" t="str">
        <f t="shared" si="268"/>
        <v>GALLERIA SAN GIULIANO</v>
      </c>
      <c r="Z1906" t="str">
        <f t="shared" si="269"/>
        <v>10.220.80.16</v>
      </c>
    </row>
    <row r="1907" spans="1:26" x14ac:dyDescent="0.25">
      <c r="A1907" t="s">
        <v>10</v>
      </c>
      <c r="B1907" t="s">
        <v>1063</v>
      </c>
      <c r="C1907" t="s">
        <v>2173</v>
      </c>
      <c r="D1907" t="s">
        <v>2749</v>
      </c>
      <c r="E1907" t="s">
        <v>2486</v>
      </c>
      <c r="F1907" t="s">
        <v>14</v>
      </c>
      <c r="G1907" t="s">
        <v>2531</v>
      </c>
      <c r="H1907" t="s">
        <v>22</v>
      </c>
      <c r="I1907" t="s">
        <v>2753</v>
      </c>
      <c r="J1907" t="s">
        <v>2488</v>
      </c>
      <c r="K1907" t="str">
        <f t="shared" si="261"/>
        <v>10027.1</v>
      </c>
      <c r="N1907" t="str">
        <f t="shared" si="262"/>
        <v>HOLDING REGISTER</v>
      </c>
      <c r="O1907" t="str">
        <f t="shared" si="263"/>
        <v>BOOL</v>
      </c>
      <c r="P1907" t="str">
        <f t="shared" si="264"/>
        <v>SCENARI SAN GIULIANO Scenario E3</v>
      </c>
      <c r="R1907" t="str">
        <f t="shared" si="265"/>
        <v>Scenari -Comando Manuale Scenario E3: PEDONE IN GALLERIA</v>
      </c>
      <c r="U1907" t="str">
        <f t="shared" si="266"/>
        <v>Comando</v>
      </c>
      <c r="V1907" t="str">
        <f t="shared" si="267"/>
        <v>GALLERIA</v>
      </c>
      <c r="W1907" t="str">
        <f t="shared" si="268"/>
        <v>GALLERIA SAN GIULIANO</v>
      </c>
      <c r="Z1907" t="str">
        <f t="shared" si="269"/>
        <v>10.220.80.16</v>
      </c>
    </row>
    <row r="1908" spans="1:26" x14ac:dyDescent="0.25">
      <c r="A1908" t="s">
        <v>10</v>
      </c>
      <c r="B1908" t="s">
        <v>1063</v>
      </c>
      <c r="C1908" t="s">
        <v>2173</v>
      </c>
      <c r="D1908" t="s">
        <v>2749</v>
      </c>
      <c r="E1908" t="s">
        <v>2489</v>
      </c>
      <c r="F1908" t="s">
        <v>14</v>
      </c>
      <c r="G1908" t="s">
        <v>2531</v>
      </c>
      <c r="H1908" t="s">
        <v>22</v>
      </c>
      <c r="I1908" t="s">
        <v>2754</v>
      </c>
      <c r="J1908" t="s">
        <v>2491</v>
      </c>
      <c r="K1908" t="str">
        <f t="shared" si="261"/>
        <v>10027.2</v>
      </c>
      <c r="N1908" t="str">
        <f t="shared" si="262"/>
        <v>HOLDING REGISTER</v>
      </c>
      <c r="O1908" t="str">
        <f t="shared" si="263"/>
        <v>BOOL</v>
      </c>
      <c r="P1908" t="str">
        <f t="shared" si="264"/>
        <v>SCENARI SAN GIULIANO Scenario E4</v>
      </c>
      <c r="R1908" t="str">
        <f t="shared" si="265"/>
        <v>Scenari -Comando Manuale Scenario E4: VE ICOLO FERMO/OSTACOLO</v>
      </c>
      <c r="U1908" t="str">
        <f t="shared" si="266"/>
        <v>Comando</v>
      </c>
      <c r="V1908" t="str">
        <f t="shared" si="267"/>
        <v>GALLERIA</v>
      </c>
      <c r="W1908" t="str">
        <f t="shared" si="268"/>
        <v>GALLERIA SAN GIULIANO</v>
      </c>
      <c r="Z1908" t="str">
        <f t="shared" si="269"/>
        <v>10.220.80.16</v>
      </c>
    </row>
    <row r="1909" spans="1:26" x14ac:dyDescent="0.25">
      <c r="A1909" t="s">
        <v>10</v>
      </c>
      <c r="B1909" t="s">
        <v>1063</v>
      </c>
      <c r="C1909" t="s">
        <v>2173</v>
      </c>
      <c r="D1909" t="s">
        <v>2749</v>
      </c>
      <c r="E1909" t="s">
        <v>2492</v>
      </c>
      <c r="F1909" t="s">
        <v>14</v>
      </c>
      <c r="G1909" t="s">
        <v>2531</v>
      </c>
      <c r="H1909" t="s">
        <v>22</v>
      </c>
      <c r="I1909" t="s">
        <v>2755</v>
      </c>
      <c r="J1909" t="s">
        <v>2494</v>
      </c>
      <c r="K1909" t="str">
        <f t="shared" si="261"/>
        <v>10027.3</v>
      </c>
      <c r="N1909" t="str">
        <f t="shared" si="262"/>
        <v>HOLDING REGISTER</v>
      </c>
      <c r="O1909" t="str">
        <f t="shared" si="263"/>
        <v>BOOL</v>
      </c>
      <c r="P1909" t="str">
        <f t="shared" si="264"/>
        <v>SCENARI SAN GIULIANO Scenario E5</v>
      </c>
      <c r="R1909" t="str">
        <f t="shared" si="265"/>
        <v>Scenari -Comando Manuale Scenario E5: INCIDENTE</v>
      </c>
      <c r="U1909" t="str">
        <f t="shared" si="266"/>
        <v>Comando</v>
      </c>
      <c r="V1909" t="str">
        <f t="shared" si="267"/>
        <v>GALLERIA</v>
      </c>
      <c r="W1909" t="str">
        <f t="shared" si="268"/>
        <v>GALLERIA SAN GIULIANO</v>
      </c>
      <c r="Z1909" t="str">
        <f t="shared" si="269"/>
        <v>10.220.80.16</v>
      </c>
    </row>
    <row r="1910" spans="1:26" x14ac:dyDescent="0.25">
      <c r="A1910" t="s">
        <v>10</v>
      </c>
      <c r="B1910" t="s">
        <v>1063</v>
      </c>
      <c r="C1910" t="s">
        <v>2173</v>
      </c>
      <c r="D1910" t="s">
        <v>2749</v>
      </c>
      <c r="E1910" t="s">
        <v>2495</v>
      </c>
      <c r="F1910" t="s">
        <v>14</v>
      </c>
      <c r="G1910" t="s">
        <v>2531</v>
      </c>
      <c r="H1910" t="s">
        <v>22</v>
      </c>
      <c r="I1910" t="s">
        <v>2756</v>
      </c>
      <c r="J1910" t="s">
        <v>2497</v>
      </c>
      <c r="K1910" t="str">
        <f t="shared" si="261"/>
        <v>10027.4</v>
      </c>
      <c r="N1910" t="str">
        <f t="shared" si="262"/>
        <v>HOLDING REGISTER</v>
      </c>
      <c r="O1910" t="str">
        <f t="shared" si="263"/>
        <v>BOOL</v>
      </c>
      <c r="P1910" t="str">
        <f t="shared" si="264"/>
        <v>SCENARI SAN GIULIANO Scenario E6</v>
      </c>
      <c r="R1910" t="str">
        <f t="shared" si="265"/>
        <v>Scenari -Comando Manuale Scenario E6: DISTACCO JETFAN</v>
      </c>
      <c r="U1910" t="str">
        <f t="shared" si="266"/>
        <v>Comando</v>
      </c>
      <c r="V1910" t="str">
        <f t="shared" si="267"/>
        <v>GALLERIA</v>
      </c>
      <c r="W1910" t="str">
        <f t="shared" si="268"/>
        <v>GALLERIA SAN GIULIANO</v>
      </c>
      <c r="Z1910" t="str">
        <f t="shared" si="269"/>
        <v>10.220.80.16</v>
      </c>
    </row>
    <row r="1911" spans="1:26" x14ac:dyDescent="0.25">
      <c r="A1911" t="s">
        <v>10</v>
      </c>
      <c r="B1911" t="s">
        <v>1063</v>
      </c>
      <c r="C1911" t="s">
        <v>2173</v>
      </c>
      <c r="D1911" t="s">
        <v>2749</v>
      </c>
      <c r="E1911" t="s">
        <v>2498</v>
      </c>
      <c r="F1911" t="s">
        <v>14</v>
      </c>
      <c r="G1911" t="s">
        <v>2531</v>
      </c>
      <c r="H1911" t="s">
        <v>22</v>
      </c>
      <c r="I1911" t="s">
        <v>2757</v>
      </c>
      <c r="J1911" t="s">
        <v>2500</v>
      </c>
      <c r="K1911" t="str">
        <f t="shared" si="261"/>
        <v>10027.5</v>
      </c>
      <c r="N1911" t="str">
        <f t="shared" si="262"/>
        <v>HOLDING REGISTER</v>
      </c>
      <c r="O1911" t="str">
        <f t="shared" si="263"/>
        <v>BOOL</v>
      </c>
      <c r="P1911" t="str">
        <f t="shared" si="264"/>
        <v>SCENARI SAN GIULIANO Scenario E7</v>
      </c>
      <c r="R1911" t="str">
        <f t="shared" si="265"/>
        <v>Scenari -Comando Manuale Scenario E7: GALLERIA INQUINATA</v>
      </c>
      <c r="U1911" t="str">
        <f t="shared" si="266"/>
        <v>Comando</v>
      </c>
      <c r="V1911" t="str">
        <f t="shared" si="267"/>
        <v>GALLERIA</v>
      </c>
      <c r="W1911" t="str">
        <f t="shared" si="268"/>
        <v>GALLERIA SAN GIULIANO</v>
      </c>
      <c r="Z1911" t="str">
        <f t="shared" si="269"/>
        <v>10.220.80.16</v>
      </c>
    </row>
    <row r="1912" spans="1:26" x14ac:dyDescent="0.25">
      <c r="A1912" t="s">
        <v>10</v>
      </c>
      <c r="B1912" t="s">
        <v>1063</v>
      </c>
      <c r="C1912" t="s">
        <v>2173</v>
      </c>
      <c r="D1912" t="s">
        <v>2749</v>
      </c>
      <c r="E1912" t="s">
        <v>2501</v>
      </c>
      <c r="F1912" t="s">
        <v>14</v>
      </c>
      <c r="G1912" t="s">
        <v>2531</v>
      </c>
      <c r="H1912" t="s">
        <v>22</v>
      </c>
      <c r="I1912" t="s">
        <v>2758</v>
      </c>
      <c r="J1912" t="s">
        <v>2503</v>
      </c>
      <c r="K1912" t="str">
        <f t="shared" si="261"/>
        <v>10027.6</v>
      </c>
      <c r="N1912" t="str">
        <f t="shared" si="262"/>
        <v>HOLDING REGISTER</v>
      </c>
      <c r="O1912" t="str">
        <f t="shared" si="263"/>
        <v>BOOL</v>
      </c>
      <c r="P1912" t="str">
        <f t="shared" si="264"/>
        <v>SCENARI SAN GIULIANO Scenario E8</v>
      </c>
      <c r="R1912" t="str">
        <f t="shared" si="265"/>
        <v>Scenari -Comando Manuale Scenario E8: VEICOLO CONTROMANO</v>
      </c>
      <c r="U1912" t="str">
        <f t="shared" si="266"/>
        <v>Comando</v>
      </c>
      <c r="V1912" t="str">
        <f t="shared" si="267"/>
        <v>GALLERIA</v>
      </c>
      <c r="W1912" t="str">
        <f t="shared" si="268"/>
        <v>GALLERIA SAN GIULIANO</v>
      </c>
      <c r="Z1912" t="str">
        <f t="shared" si="269"/>
        <v>10.220.80.16</v>
      </c>
    </row>
    <row r="1913" spans="1:26" x14ac:dyDescent="0.25">
      <c r="A1913" t="s">
        <v>10</v>
      </c>
      <c r="B1913" t="s">
        <v>1063</v>
      </c>
      <c r="C1913" t="s">
        <v>2173</v>
      </c>
      <c r="D1913" t="s">
        <v>2749</v>
      </c>
      <c r="E1913" t="s">
        <v>2504</v>
      </c>
      <c r="F1913" t="s">
        <v>14</v>
      </c>
      <c r="G1913" t="s">
        <v>2531</v>
      </c>
      <c r="H1913" t="s">
        <v>22</v>
      </c>
      <c r="I1913" t="s">
        <v>2759</v>
      </c>
      <c r="J1913" t="s">
        <v>2506</v>
      </c>
      <c r="K1913" t="str">
        <f t="shared" si="261"/>
        <v>10027.7</v>
      </c>
      <c r="N1913" t="str">
        <f t="shared" si="262"/>
        <v>HOLDING REGISTER</v>
      </c>
      <c r="O1913" t="str">
        <f t="shared" si="263"/>
        <v>BOOL</v>
      </c>
      <c r="P1913" t="str">
        <f t="shared" si="264"/>
        <v>SCENARI SAN GIULIANO Scenario E10</v>
      </c>
      <c r="R1913" t="str">
        <f t="shared" si="265"/>
        <v>Scenari -Comando Manuale Scenario E10: PREALLARME INCENDIO</v>
      </c>
      <c r="U1913" t="str">
        <f t="shared" si="266"/>
        <v>Comando</v>
      </c>
      <c r="V1913" t="str">
        <f t="shared" si="267"/>
        <v>GALLERIA</v>
      </c>
      <c r="W1913" t="str">
        <f t="shared" si="268"/>
        <v>GALLERIA SAN GIULIANO</v>
      </c>
      <c r="Z1913" t="str">
        <f t="shared" si="269"/>
        <v>10.220.80.16</v>
      </c>
    </row>
    <row r="1914" spans="1:26" x14ac:dyDescent="0.25">
      <c r="A1914" t="s">
        <v>10</v>
      </c>
      <c r="B1914" t="s">
        <v>1063</v>
      </c>
      <c r="C1914" t="s">
        <v>2173</v>
      </c>
      <c r="D1914" t="s">
        <v>2749</v>
      </c>
      <c r="E1914" t="s">
        <v>2507</v>
      </c>
      <c r="F1914" t="s">
        <v>14</v>
      </c>
      <c r="G1914" t="s">
        <v>2531</v>
      </c>
      <c r="H1914" t="s">
        <v>22</v>
      </c>
      <c r="I1914" t="s">
        <v>2760</v>
      </c>
      <c r="J1914" t="s">
        <v>2509</v>
      </c>
      <c r="K1914" t="str">
        <f t="shared" si="261"/>
        <v>10027.8</v>
      </c>
      <c r="N1914" t="str">
        <f t="shared" si="262"/>
        <v>HOLDING REGISTER</v>
      </c>
      <c r="O1914" t="str">
        <f t="shared" si="263"/>
        <v>BOOL</v>
      </c>
      <c r="P1914" t="str">
        <f t="shared" si="264"/>
        <v>SCENARI SAN GIULIANO Scenario E11</v>
      </c>
      <c r="R1914" t="str">
        <f t="shared" si="265"/>
        <v>Scenari -Comando Manuale Scenario E11: ALLARME INCENDIO</v>
      </c>
      <c r="U1914" t="str">
        <f t="shared" si="266"/>
        <v>Comando</v>
      </c>
      <c r="V1914" t="str">
        <f t="shared" si="267"/>
        <v>GALLERIA</v>
      </c>
      <c r="W1914" t="str">
        <f t="shared" si="268"/>
        <v>GALLERIA SAN GIULIANO</v>
      </c>
      <c r="Z1914" t="str">
        <f t="shared" si="269"/>
        <v>10.220.80.16</v>
      </c>
    </row>
    <row r="1915" spans="1:26" x14ac:dyDescent="0.25">
      <c r="A1915" t="s">
        <v>10</v>
      </c>
      <c r="B1915" t="s">
        <v>1063</v>
      </c>
      <c r="C1915" t="s">
        <v>2173</v>
      </c>
      <c r="D1915" t="s">
        <v>2749</v>
      </c>
      <c r="E1915" t="s">
        <v>2510</v>
      </c>
      <c r="F1915" t="s">
        <v>14</v>
      </c>
      <c r="G1915" t="s">
        <v>2531</v>
      </c>
      <c r="H1915" t="s">
        <v>22</v>
      </c>
      <c r="I1915" t="s">
        <v>2761</v>
      </c>
      <c r="J1915" t="s">
        <v>2512</v>
      </c>
      <c r="K1915" t="str">
        <f t="shared" si="261"/>
        <v>10027.9</v>
      </c>
      <c r="N1915" t="str">
        <f t="shared" si="262"/>
        <v>HOLDING REGISTER</v>
      </c>
      <c r="O1915" t="str">
        <f t="shared" si="263"/>
        <v>BOOL</v>
      </c>
      <c r="P1915" t="str">
        <f t="shared" si="264"/>
        <v>SCENARI SAN GIULIANO Scenario V1</v>
      </c>
      <c r="R1915" t="str">
        <f t="shared" si="265"/>
        <v>Scenari -Comando Manuale Scenario V1: CODA</v>
      </c>
      <c r="U1915" t="str">
        <f t="shared" si="266"/>
        <v>Comando</v>
      </c>
      <c r="V1915" t="str">
        <f t="shared" si="267"/>
        <v>GALLERIA</v>
      </c>
      <c r="W1915" t="str">
        <f t="shared" si="268"/>
        <v>GALLERIA SAN GIULIANO</v>
      </c>
      <c r="Z1915" t="str">
        <f t="shared" si="269"/>
        <v>10.220.80.16</v>
      </c>
    </row>
    <row r="1916" spans="1:26" x14ac:dyDescent="0.25">
      <c r="A1916" t="s">
        <v>10</v>
      </c>
      <c r="B1916" t="s">
        <v>1063</v>
      </c>
      <c r="C1916" t="s">
        <v>2173</v>
      </c>
      <c r="D1916" t="s">
        <v>2749</v>
      </c>
      <c r="E1916" t="s">
        <v>2513</v>
      </c>
      <c r="F1916" t="s">
        <v>14</v>
      </c>
      <c r="G1916" t="s">
        <v>2531</v>
      </c>
      <c r="H1916" t="s">
        <v>22</v>
      </c>
      <c r="I1916" t="s">
        <v>2762</v>
      </c>
      <c r="J1916" t="s">
        <v>2515</v>
      </c>
      <c r="K1916" t="str">
        <f t="shared" si="261"/>
        <v>10027.10</v>
      </c>
      <c r="N1916" t="str">
        <f t="shared" si="262"/>
        <v>HOLDING REGISTER</v>
      </c>
      <c r="O1916" t="str">
        <f t="shared" si="263"/>
        <v>BOOL</v>
      </c>
      <c r="P1916" t="str">
        <f t="shared" si="264"/>
        <v>SCENARI SAN GIULIANO Scenario V6</v>
      </c>
      <c r="R1916" t="str">
        <f t="shared" si="265"/>
        <v>Scenari -Comando Manuale Scenario V6 -Galleria chiusa</v>
      </c>
      <c r="U1916" t="str">
        <f t="shared" si="266"/>
        <v>Comando</v>
      </c>
      <c r="V1916" t="str">
        <f t="shared" si="267"/>
        <v>GALLERIA</v>
      </c>
      <c r="W1916" t="str">
        <f t="shared" si="268"/>
        <v>GALLERIA SAN GIULIANO</v>
      </c>
      <c r="Z1916" t="str">
        <f t="shared" si="269"/>
        <v>10.220.80.16</v>
      </c>
    </row>
    <row r="1917" spans="1:26" x14ac:dyDescent="0.25">
      <c r="A1917" t="s">
        <v>10</v>
      </c>
      <c r="B1917" t="s">
        <v>1063</v>
      </c>
      <c r="C1917" t="s">
        <v>2173</v>
      </c>
      <c r="D1917" t="s">
        <v>2749</v>
      </c>
      <c r="E1917" t="s">
        <v>2516</v>
      </c>
      <c r="F1917" t="s">
        <v>14</v>
      </c>
      <c r="G1917" t="s">
        <v>2531</v>
      </c>
      <c r="H1917" t="s">
        <v>22</v>
      </c>
      <c r="I1917" t="s">
        <v>2763</v>
      </c>
      <c r="J1917" t="s">
        <v>2764</v>
      </c>
      <c r="K1917" t="str">
        <f t="shared" si="261"/>
        <v>10027.11</v>
      </c>
      <c r="N1917" t="str">
        <f t="shared" si="262"/>
        <v>HOLDING REGISTER</v>
      </c>
      <c r="O1917" t="str">
        <f t="shared" si="263"/>
        <v>BOOL</v>
      </c>
      <c r="P1917" t="str">
        <f t="shared" si="264"/>
        <v>SCENARI SAN GIULIANO Scenario V4</v>
      </c>
      <c r="R1917" t="str">
        <f t="shared" si="265"/>
        <v>Scenari -Comando Manuale Scenario V4 -Corsia Marcia Sud</v>
      </c>
      <c r="U1917" t="str">
        <f t="shared" si="266"/>
        <v>Comando</v>
      </c>
      <c r="V1917" t="str">
        <f t="shared" si="267"/>
        <v>GALLERIA</v>
      </c>
      <c r="W1917" t="str">
        <f t="shared" si="268"/>
        <v>GALLERIA SAN GIULIANO</v>
      </c>
      <c r="Z1917" t="str">
        <f t="shared" si="269"/>
        <v>10.220.80.16</v>
      </c>
    </row>
    <row r="1918" spans="1:26" x14ac:dyDescent="0.25">
      <c r="A1918" t="s">
        <v>10</v>
      </c>
      <c r="B1918" t="s">
        <v>1063</v>
      </c>
      <c r="C1918" t="s">
        <v>2173</v>
      </c>
      <c r="D1918" t="s">
        <v>2749</v>
      </c>
      <c r="E1918" t="s">
        <v>2519</v>
      </c>
      <c r="F1918" t="s">
        <v>14</v>
      </c>
      <c r="G1918" t="s">
        <v>2531</v>
      </c>
      <c r="H1918" t="s">
        <v>22</v>
      </c>
      <c r="I1918" t="s">
        <v>2765</v>
      </c>
      <c r="J1918" t="s">
        <v>2766</v>
      </c>
      <c r="K1918" t="str">
        <f t="shared" si="261"/>
        <v>10027.12</v>
      </c>
      <c r="N1918" t="str">
        <f t="shared" si="262"/>
        <v>HOLDING REGISTER</v>
      </c>
      <c r="O1918" t="str">
        <f t="shared" si="263"/>
        <v>BOOL</v>
      </c>
      <c r="P1918" t="str">
        <f t="shared" si="264"/>
        <v>SCENARI SAN GIULIANO Scenario V5</v>
      </c>
      <c r="R1918" t="str">
        <f t="shared" si="265"/>
        <v>Scenari -Comando Manuale Scenario V5 -Corsia Marcia Nord</v>
      </c>
      <c r="U1918" t="str">
        <f t="shared" si="266"/>
        <v>Comando</v>
      </c>
      <c r="V1918" t="str">
        <f t="shared" si="267"/>
        <v>GALLERIA</v>
      </c>
      <c r="W1918" t="str">
        <f t="shared" si="268"/>
        <v>GALLERIA SAN GIULIANO</v>
      </c>
      <c r="Z1918" t="str">
        <f t="shared" si="269"/>
        <v>10.220.80.16</v>
      </c>
    </row>
    <row r="1919" spans="1:26" x14ac:dyDescent="0.25">
      <c r="A1919" t="s">
        <v>10</v>
      </c>
      <c r="B1919" t="s">
        <v>1063</v>
      </c>
      <c r="C1919" t="s">
        <v>2173</v>
      </c>
      <c r="D1919" t="s">
        <v>2749</v>
      </c>
      <c r="E1919" t="s">
        <v>2483</v>
      </c>
      <c r="F1919" t="s">
        <v>14</v>
      </c>
      <c r="G1919" t="s">
        <v>2531</v>
      </c>
      <c r="H1919" t="s">
        <v>22</v>
      </c>
      <c r="I1919" t="s">
        <v>2767</v>
      </c>
      <c r="J1919" t="s">
        <v>2768</v>
      </c>
      <c r="K1919" t="str">
        <f t="shared" si="261"/>
        <v>10028.0</v>
      </c>
      <c r="N1919" t="str">
        <f t="shared" si="262"/>
        <v>HOLDING REGISTER</v>
      </c>
      <c r="O1919" t="str">
        <f t="shared" si="263"/>
        <v>BOOL</v>
      </c>
      <c r="P1919" t="str">
        <f t="shared" si="264"/>
        <v>SCENARI SAN GIULIANO Scenario E2</v>
      </c>
      <c r="R1919" t="str">
        <f t="shared" si="265"/>
        <v>Scenari -Comando Reset Scenario E2: ALLARME SOS</v>
      </c>
      <c r="U1919" t="str">
        <f t="shared" si="266"/>
        <v>Comando</v>
      </c>
      <c r="V1919" t="str">
        <f t="shared" si="267"/>
        <v>GALLERIA</v>
      </c>
      <c r="W1919" t="str">
        <f t="shared" si="268"/>
        <v>GALLERIA SAN GIULIANO</v>
      </c>
      <c r="Z1919" t="str">
        <f t="shared" si="269"/>
        <v>10.220.80.16</v>
      </c>
    </row>
    <row r="1920" spans="1:26" x14ac:dyDescent="0.25">
      <c r="A1920" t="s">
        <v>10</v>
      </c>
      <c r="B1920" t="s">
        <v>1063</v>
      </c>
      <c r="C1920" t="s">
        <v>2173</v>
      </c>
      <c r="D1920" t="s">
        <v>2749</v>
      </c>
      <c r="E1920" t="s">
        <v>2486</v>
      </c>
      <c r="F1920" t="s">
        <v>14</v>
      </c>
      <c r="G1920" t="s">
        <v>2531</v>
      </c>
      <c r="H1920" t="s">
        <v>22</v>
      </c>
      <c r="I1920" t="s">
        <v>2769</v>
      </c>
      <c r="J1920" t="s">
        <v>2770</v>
      </c>
      <c r="K1920" t="str">
        <f t="shared" si="261"/>
        <v>10028.1</v>
      </c>
      <c r="N1920" t="str">
        <f t="shared" si="262"/>
        <v>HOLDING REGISTER</v>
      </c>
      <c r="O1920" t="str">
        <f t="shared" si="263"/>
        <v>BOOL</v>
      </c>
      <c r="P1920" t="str">
        <f t="shared" si="264"/>
        <v>SCENARI SAN GIULIANO Scenario E3</v>
      </c>
      <c r="R1920" t="str">
        <f t="shared" si="265"/>
        <v>Scenari -Comando Reset Scenario E3: PEDONE IN GALLERIA</v>
      </c>
      <c r="U1920" t="str">
        <f t="shared" si="266"/>
        <v>Comando</v>
      </c>
      <c r="V1920" t="str">
        <f t="shared" si="267"/>
        <v>GALLERIA</v>
      </c>
      <c r="W1920" t="str">
        <f t="shared" si="268"/>
        <v>GALLERIA SAN GIULIANO</v>
      </c>
      <c r="Z1920" t="str">
        <f t="shared" si="269"/>
        <v>10.220.80.16</v>
      </c>
    </row>
    <row r="1921" spans="1:26" x14ac:dyDescent="0.25">
      <c r="A1921" t="s">
        <v>10</v>
      </c>
      <c r="B1921" t="s">
        <v>1063</v>
      </c>
      <c r="C1921" t="s">
        <v>2173</v>
      </c>
      <c r="D1921" t="s">
        <v>2749</v>
      </c>
      <c r="E1921" t="s">
        <v>2489</v>
      </c>
      <c r="F1921" t="s">
        <v>14</v>
      </c>
      <c r="G1921" t="s">
        <v>2531</v>
      </c>
      <c r="H1921" t="s">
        <v>22</v>
      </c>
      <c r="I1921" t="s">
        <v>2771</v>
      </c>
      <c r="J1921" t="s">
        <v>2772</v>
      </c>
      <c r="K1921" t="str">
        <f t="shared" si="261"/>
        <v>10028.2</v>
      </c>
      <c r="N1921" t="str">
        <f t="shared" si="262"/>
        <v>HOLDING REGISTER</v>
      </c>
      <c r="O1921" t="str">
        <f t="shared" si="263"/>
        <v>BOOL</v>
      </c>
      <c r="P1921" t="str">
        <f t="shared" si="264"/>
        <v>SCENARI SAN GIULIANO Scenario E4</v>
      </c>
      <c r="R1921" t="str">
        <f t="shared" si="265"/>
        <v>Scenari -Comando Reset Scenario E4: VE ICOLO FERMO/OSTACOLO</v>
      </c>
      <c r="U1921" t="str">
        <f t="shared" si="266"/>
        <v>Comando</v>
      </c>
      <c r="V1921" t="str">
        <f t="shared" si="267"/>
        <v>GALLERIA</v>
      </c>
      <c r="W1921" t="str">
        <f t="shared" si="268"/>
        <v>GALLERIA SAN GIULIANO</v>
      </c>
      <c r="Z1921" t="str">
        <f t="shared" si="269"/>
        <v>10.220.80.16</v>
      </c>
    </row>
    <row r="1922" spans="1:26" x14ac:dyDescent="0.25">
      <c r="A1922" t="s">
        <v>10</v>
      </c>
      <c r="B1922" t="s">
        <v>1063</v>
      </c>
      <c r="C1922" t="s">
        <v>2173</v>
      </c>
      <c r="D1922" t="s">
        <v>2749</v>
      </c>
      <c r="E1922" t="s">
        <v>2492</v>
      </c>
      <c r="F1922" t="s">
        <v>14</v>
      </c>
      <c r="G1922" t="s">
        <v>2531</v>
      </c>
      <c r="H1922" t="s">
        <v>22</v>
      </c>
      <c r="I1922" t="s">
        <v>2773</v>
      </c>
      <c r="J1922" t="s">
        <v>2774</v>
      </c>
      <c r="K1922" t="str">
        <f t="shared" si="261"/>
        <v>10028.3</v>
      </c>
      <c r="N1922" t="str">
        <f t="shared" si="262"/>
        <v>HOLDING REGISTER</v>
      </c>
      <c r="O1922" t="str">
        <f t="shared" si="263"/>
        <v>BOOL</v>
      </c>
      <c r="P1922" t="str">
        <f t="shared" si="264"/>
        <v>SCENARI SAN GIULIANO Scenario E5</v>
      </c>
      <c r="R1922" t="str">
        <f t="shared" si="265"/>
        <v>Scenari -Comando Reset Scenario E5: INCIDENTE</v>
      </c>
      <c r="U1922" t="str">
        <f t="shared" si="266"/>
        <v>Comando</v>
      </c>
      <c r="V1922" t="str">
        <f t="shared" si="267"/>
        <v>GALLERIA</v>
      </c>
      <c r="W1922" t="str">
        <f t="shared" si="268"/>
        <v>GALLERIA SAN GIULIANO</v>
      </c>
      <c r="Z1922" t="str">
        <f t="shared" si="269"/>
        <v>10.220.80.16</v>
      </c>
    </row>
    <row r="1923" spans="1:26" x14ac:dyDescent="0.25">
      <c r="A1923" t="s">
        <v>10</v>
      </c>
      <c r="B1923" t="s">
        <v>1063</v>
      </c>
      <c r="C1923" t="s">
        <v>2173</v>
      </c>
      <c r="D1923" t="s">
        <v>2749</v>
      </c>
      <c r="E1923" t="s">
        <v>2495</v>
      </c>
      <c r="F1923" t="s">
        <v>14</v>
      </c>
      <c r="G1923" t="s">
        <v>2531</v>
      </c>
      <c r="H1923" t="s">
        <v>22</v>
      </c>
      <c r="I1923" t="s">
        <v>2775</v>
      </c>
      <c r="J1923" t="s">
        <v>2776</v>
      </c>
      <c r="K1923" t="str">
        <f t="shared" ref="K1923:K1986" si="270">IF(I1923="","",I1923)</f>
        <v>10028.4</v>
      </c>
      <c r="N1923" t="str">
        <f t="shared" ref="N1923:N1986" si="271">IF(F1923="","",F1923)</f>
        <v>HOLDING REGISTER</v>
      </c>
      <c r="O1923" t="str">
        <f t="shared" ref="O1923:O1986" si="272">IF(H1923="","",H1923)</f>
        <v>BOOL</v>
      </c>
      <c r="P1923" t="str">
        <f t="shared" ref="P1923:P1986" si="273">_xlfn.CONCAT(D1923," ",E1923)</f>
        <v>SCENARI SAN GIULIANO Scenario E6</v>
      </c>
      <c r="R1923" t="str">
        <f t="shared" ref="R1923:R1986" si="274">IF(J1923="","",J1923)</f>
        <v>Scenari -Comando Reset Scenario E6: DISTACCO JETFAN</v>
      </c>
      <c r="U1923" t="str">
        <f t="shared" ref="U1923:U1986" si="275">IF(G1923="","",G1923)</f>
        <v>Comando</v>
      </c>
      <c r="V1923" t="str">
        <f t="shared" ref="V1923:V1986" si="276">IF(C1923="","",C1923)</f>
        <v>GALLERIA</v>
      </c>
      <c r="W1923" t="str">
        <f t="shared" ref="W1923:W1986" si="277">IF(B1923="","",B1923)</f>
        <v>GALLERIA SAN GIULIANO</v>
      </c>
      <c r="Z1923" t="str">
        <f t="shared" ref="Z1923:Z1986" si="278">IF(A1923="","",A1923)</f>
        <v>10.220.80.16</v>
      </c>
    </row>
    <row r="1924" spans="1:26" x14ac:dyDescent="0.25">
      <c r="A1924" t="s">
        <v>10</v>
      </c>
      <c r="B1924" t="s">
        <v>1063</v>
      </c>
      <c r="C1924" t="s">
        <v>2173</v>
      </c>
      <c r="D1924" t="s">
        <v>2749</v>
      </c>
      <c r="E1924" t="s">
        <v>2498</v>
      </c>
      <c r="F1924" t="s">
        <v>14</v>
      </c>
      <c r="G1924" t="s">
        <v>2531</v>
      </c>
      <c r="H1924" t="s">
        <v>22</v>
      </c>
      <c r="I1924" t="s">
        <v>2777</v>
      </c>
      <c r="J1924" t="s">
        <v>2778</v>
      </c>
      <c r="K1924" t="str">
        <f t="shared" si="270"/>
        <v>10028.5</v>
      </c>
      <c r="N1924" t="str">
        <f t="shared" si="271"/>
        <v>HOLDING REGISTER</v>
      </c>
      <c r="O1924" t="str">
        <f t="shared" si="272"/>
        <v>BOOL</v>
      </c>
      <c r="P1924" t="str">
        <f t="shared" si="273"/>
        <v>SCENARI SAN GIULIANO Scenario E7</v>
      </c>
      <c r="R1924" t="str">
        <f t="shared" si="274"/>
        <v>Scenari -Comando Reset Scenario E7: GALLERIA INQUINATA</v>
      </c>
      <c r="U1924" t="str">
        <f t="shared" si="275"/>
        <v>Comando</v>
      </c>
      <c r="V1924" t="str">
        <f t="shared" si="276"/>
        <v>GALLERIA</v>
      </c>
      <c r="W1924" t="str">
        <f t="shared" si="277"/>
        <v>GALLERIA SAN GIULIANO</v>
      </c>
      <c r="Z1924" t="str">
        <f t="shared" si="278"/>
        <v>10.220.80.16</v>
      </c>
    </row>
    <row r="1925" spans="1:26" x14ac:dyDescent="0.25">
      <c r="A1925" t="s">
        <v>10</v>
      </c>
      <c r="B1925" t="s">
        <v>1063</v>
      </c>
      <c r="C1925" t="s">
        <v>2173</v>
      </c>
      <c r="D1925" t="s">
        <v>2749</v>
      </c>
      <c r="E1925" t="s">
        <v>2501</v>
      </c>
      <c r="F1925" t="s">
        <v>14</v>
      </c>
      <c r="G1925" t="s">
        <v>2531</v>
      </c>
      <c r="H1925" t="s">
        <v>22</v>
      </c>
      <c r="I1925" t="s">
        <v>2779</v>
      </c>
      <c r="J1925" t="s">
        <v>2780</v>
      </c>
      <c r="K1925" t="str">
        <f t="shared" si="270"/>
        <v>10028.6</v>
      </c>
      <c r="N1925" t="str">
        <f t="shared" si="271"/>
        <v>HOLDING REGISTER</v>
      </c>
      <c r="O1925" t="str">
        <f t="shared" si="272"/>
        <v>BOOL</v>
      </c>
      <c r="P1925" t="str">
        <f t="shared" si="273"/>
        <v>SCENARI SAN GIULIANO Scenario E8</v>
      </c>
      <c r="R1925" t="str">
        <f t="shared" si="274"/>
        <v>Scenari -Comando Reset Scenario E8: VEICOLO CONTROMANO</v>
      </c>
      <c r="U1925" t="str">
        <f t="shared" si="275"/>
        <v>Comando</v>
      </c>
      <c r="V1925" t="str">
        <f t="shared" si="276"/>
        <v>GALLERIA</v>
      </c>
      <c r="W1925" t="str">
        <f t="shared" si="277"/>
        <v>GALLERIA SAN GIULIANO</v>
      </c>
      <c r="Z1925" t="str">
        <f t="shared" si="278"/>
        <v>10.220.80.16</v>
      </c>
    </row>
    <row r="1926" spans="1:26" x14ac:dyDescent="0.25">
      <c r="A1926" t="s">
        <v>10</v>
      </c>
      <c r="B1926" t="s">
        <v>1063</v>
      </c>
      <c r="C1926" t="s">
        <v>2173</v>
      </c>
      <c r="D1926" t="s">
        <v>2749</v>
      </c>
      <c r="E1926" t="s">
        <v>2504</v>
      </c>
      <c r="F1926" t="s">
        <v>14</v>
      </c>
      <c r="G1926" t="s">
        <v>2531</v>
      </c>
      <c r="H1926" t="s">
        <v>22</v>
      </c>
      <c r="I1926" t="s">
        <v>2781</v>
      </c>
      <c r="J1926" t="s">
        <v>2782</v>
      </c>
      <c r="K1926" t="str">
        <f t="shared" si="270"/>
        <v>10028.7</v>
      </c>
      <c r="N1926" t="str">
        <f t="shared" si="271"/>
        <v>HOLDING REGISTER</v>
      </c>
      <c r="O1926" t="str">
        <f t="shared" si="272"/>
        <v>BOOL</v>
      </c>
      <c r="P1926" t="str">
        <f t="shared" si="273"/>
        <v>SCENARI SAN GIULIANO Scenario E10</v>
      </c>
      <c r="R1926" t="str">
        <f t="shared" si="274"/>
        <v>Scenari -Comando Reset Scenario E10: PREALLARME INCENDIO</v>
      </c>
      <c r="U1926" t="str">
        <f t="shared" si="275"/>
        <v>Comando</v>
      </c>
      <c r="V1926" t="str">
        <f t="shared" si="276"/>
        <v>GALLERIA</v>
      </c>
      <c r="W1926" t="str">
        <f t="shared" si="277"/>
        <v>GALLERIA SAN GIULIANO</v>
      </c>
      <c r="Z1926" t="str">
        <f t="shared" si="278"/>
        <v>10.220.80.16</v>
      </c>
    </row>
    <row r="1927" spans="1:26" x14ac:dyDescent="0.25">
      <c r="A1927" t="s">
        <v>10</v>
      </c>
      <c r="B1927" t="s">
        <v>1063</v>
      </c>
      <c r="C1927" t="s">
        <v>2173</v>
      </c>
      <c r="D1927" t="s">
        <v>2749</v>
      </c>
      <c r="E1927" t="s">
        <v>2507</v>
      </c>
      <c r="F1927" t="s">
        <v>14</v>
      </c>
      <c r="G1927" t="s">
        <v>2531</v>
      </c>
      <c r="H1927" t="s">
        <v>22</v>
      </c>
      <c r="I1927" t="s">
        <v>2783</v>
      </c>
      <c r="J1927" t="s">
        <v>2784</v>
      </c>
      <c r="K1927" t="str">
        <f t="shared" si="270"/>
        <v>10028.8</v>
      </c>
      <c r="N1927" t="str">
        <f t="shared" si="271"/>
        <v>HOLDING REGISTER</v>
      </c>
      <c r="O1927" t="str">
        <f t="shared" si="272"/>
        <v>BOOL</v>
      </c>
      <c r="P1927" t="str">
        <f t="shared" si="273"/>
        <v>SCENARI SAN GIULIANO Scenario E11</v>
      </c>
      <c r="R1927" t="str">
        <f t="shared" si="274"/>
        <v>Scenari -Comando Reset Scenario E11: ALLARME INCENDIO</v>
      </c>
      <c r="U1927" t="str">
        <f t="shared" si="275"/>
        <v>Comando</v>
      </c>
      <c r="V1927" t="str">
        <f t="shared" si="276"/>
        <v>GALLERIA</v>
      </c>
      <c r="W1927" t="str">
        <f t="shared" si="277"/>
        <v>GALLERIA SAN GIULIANO</v>
      </c>
      <c r="Z1927" t="str">
        <f t="shared" si="278"/>
        <v>10.220.80.16</v>
      </c>
    </row>
    <row r="1928" spans="1:26" x14ac:dyDescent="0.25">
      <c r="A1928" t="s">
        <v>10</v>
      </c>
      <c r="B1928" t="s">
        <v>1063</v>
      </c>
      <c r="C1928" t="s">
        <v>2173</v>
      </c>
      <c r="D1928" t="s">
        <v>2749</v>
      </c>
      <c r="E1928" t="s">
        <v>2510</v>
      </c>
      <c r="F1928" t="s">
        <v>14</v>
      </c>
      <c r="G1928" t="s">
        <v>2531</v>
      </c>
      <c r="H1928" t="s">
        <v>22</v>
      </c>
      <c r="I1928" t="s">
        <v>2785</v>
      </c>
      <c r="J1928" t="s">
        <v>2786</v>
      </c>
      <c r="K1928" t="str">
        <f t="shared" si="270"/>
        <v>10028.9</v>
      </c>
      <c r="N1928" t="str">
        <f t="shared" si="271"/>
        <v>HOLDING REGISTER</v>
      </c>
      <c r="O1928" t="str">
        <f t="shared" si="272"/>
        <v>BOOL</v>
      </c>
      <c r="P1928" t="str">
        <f t="shared" si="273"/>
        <v>SCENARI SAN GIULIANO Scenario V1</v>
      </c>
      <c r="R1928" t="str">
        <f t="shared" si="274"/>
        <v>Scenari -Comando Reset Scenario V1: CODA</v>
      </c>
      <c r="U1928" t="str">
        <f t="shared" si="275"/>
        <v>Comando</v>
      </c>
      <c r="V1928" t="str">
        <f t="shared" si="276"/>
        <v>GALLERIA</v>
      </c>
      <c r="W1928" t="str">
        <f t="shared" si="277"/>
        <v>GALLERIA SAN GIULIANO</v>
      </c>
      <c r="Z1928" t="str">
        <f t="shared" si="278"/>
        <v>10.220.80.16</v>
      </c>
    </row>
    <row r="1929" spans="1:26" x14ac:dyDescent="0.25">
      <c r="A1929" t="s">
        <v>10</v>
      </c>
      <c r="B1929" t="s">
        <v>1063</v>
      </c>
      <c r="C1929" t="s">
        <v>2173</v>
      </c>
      <c r="D1929" t="s">
        <v>2749</v>
      </c>
      <c r="E1929" t="s">
        <v>2513</v>
      </c>
      <c r="F1929" t="s">
        <v>14</v>
      </c>
      <c r="G1929" t="s">
        <v>2531</v>
      </c>
      <c r="H1929" t="s">
        <v>22</v>
      </c>
      <c r="I1929" t="s">
        <v>2787</v>
      </c>
      <c r="J1929" t="s">
        <v>2788</v>
      </c>
      <c r="K1929" t="str">
        <f t="shared" si="270"/>
        <v>10028.10</v>
      </c>
      <c r="N1929" t="str">
        <f t="shared" si="271"/>
        <v>HOLDING REGISTER</v>
      </c>
      <c r="O1929" t="str">
        <f t="shared" si="272"/>
        <v>BOOL</v>
      </c>
      <c r="P1929" t="str">
        <f t="shared" si="273"/>
        <v>SCENARI SAN GIULIANO Scenario V6</v>
      </c>
      <c r="R1929" t="str">
        <f t="shared" si="274"/>
        <v>Scenari -Comando Reset Scenario V6 -Galleria chiusa</v>
      </c>
      <c r="U1929" t="str">
        <f t="shared" si="275"/>
        <v>Comando</v>
      </c>
      <c r="V1929" t="str">
        <f t="shared" si="276"/>
        <v>GALLERIA</v>
      </c>
      <c r="W1929" t="str">
        <f t="shared" si="277"/>
        <v>GALLERIA SAN GIULIANO</v>
      </c>
      <c r="Z1929" t="str">
        <f t="shared" si="278"/>
        <v>10.220.80.16</v>
      </c>
    </row>
    <row r="1930" spans="1:26" x14ac:dyDescent="0.25">
      <c r="A1930" t="s">
        <v>10</v>
      </c>
      <c r="B1930" t="s">
        <v>1063</v>
      </c>
      <c r="C1930" t="s">
        <v>2173</v>
      </c>
      <c r="D1930" t="s">
        <v>2749</v>
      </c>
      <c r="E1930" t="s">
        <v>2516</v>
      </c>
      <c r="F1930" t="s">
        <v>14</v>
      </c>
      <c r="G1930" t="s">
        <v>2531</v>
      </c>
      <c r="H1930" t="s">
        <v>22</v>
      </c>
      <c r="I1930" t="s">
        <v>2789</v>
      </c>
      <c r="J1930" t="s">
        <v>2790</v>
      </c>
      <c r="K1930" t="str">
        <f t="shared" si="270"/>
        <v>10028.11</v>
      </c>
      <c r="N1930" t="str">
        <f t="shared" si="271"/>
        <v>HOLDING REGISTER</v>
      </c>
      <c r="O1930" t="str">
        <f t="shared" si="272"/>
        <v>BOOL</v>
      </c>
      <c r="P1930" t="str">
        <f t="shared" si="273"/>
        <v>SCENARI SAN GIULIANO Scenario V4</v>
      </c>
      <c r="R1930" t="str">
        <f t="shared" si="274"/>
        <v>Scenari -Comando Reset Scenario V4 -Corsia Marcia Sud</v>
      </c>
      <c r="U1930" t="str">
        <f t="shared" si="275"/>
        <v>Comando</v>
      </c>
      <c r="V1930" t="str">
        <f t="shared" si="276"/>
        <v>GALLERIA</v>
      </c>
      <c r="W1930" t="str">
        <f t="shared" si="277"/>
        <v>GALLERIA SAN GIULIANO</v>
      </c>
      <c r="Z1930" t="str">
        <f t="shared" si="278"/>
        <v>10.220.80.16</v>
      </c>
    </row>
    <row r="1931" spans="1:26" x14ac:dyDescent="0.25">
      <c r="A1931" t="s">
        <v>10</v>
      </c>
      <c r="B1931" t="s">
        <v>1063</v>
      </c>
      <c r="C1931" t="s">
        <v>2173</v>
      </c>
      <c r="D1931" t="s">
        <v>2749</v>
      </c>
      <c r="E1931" t="s">
        <v>2519</v>
      </c>
      <c r="F1931" t="s">
        <v>14</v>
      </c>
      <c r="G1931" t="s">
        <v>2531</v>
      </c>
      <c r="H1931" t="s">
        <v>22</v>
      </c>
      <c r="I1931" t="s">
        <v>2791</v>
      </c>
      <c r="J1931" t="s">
        <v>2792</v>
      </c>
      <c r="K1931" t="str">
        <f t="shared" si="270"/>
        <v>10028.12</v>
      </c>
      <c r="N1931" t="str">
        <f t="shared" si="271"/>
        <v>HOLDING REGISTER</v>
      </c>
      <c r="O1931" t="str">
        <f t="shared" si="272"/>
        <v>BOOL</v>
      </c>
      <c r="P1931" t="str">
        <f t="shared" si="273"/>
        <v>SCENARI SAN GIULIANO Scenario V5</v>
      </c>
      <c r="R1931" t="str">
        <f t="shared" si="274"/>
        <v>Scenari -Comando Reset Scenario V5 -Corsia Marcia Nord</v>
      </c>
      <c r="U1931" t="str">
        <f t="shared" si="275"/>
        <v>Comando</v>
      </c>
      <c r="V1931" t="str">
        <f t="shared" si="276"/>
        <v>GALLERIA</v>
      </c>
      <c r="W1931" t="str">
        <f t="shared" si="277"/>
        <v>GALLERIA SAN GIULIANO</v>
      </c>
      <c r="Z1931" t="str">
        <f t="shared" si="278"/>
        <v>10.220.80.16</v>
      </c>
    </row>
    <row r="1932" spans="1:26" x14ac:dyDescent="0.25">
      <c r="A1932" t="s">
        <v>10</v>
      </c>
      <c r="B1932" t="s">
        <v>1063</v>
      </c>
      <c r="C1932" t="s">
        <v>2173</v>
      </c>
      <c r="D1932" t="s">
        <v>2749</v>
      </c>
      <c r="E1932" t="s">
        <v>2483</v>
      </c>
      <c r="F1932" t="s">
        <v>14</v>
      </c>
      <c r="G1932" t="s">
        <v>2531</v>
      </c>
      <c r="H1932" t="s">
        <v>16</v>
      </c>
      <c r="I1932">
        <v>10029</v>
      </c>
      <c r="J1932" t="s">
        <v>2793</v>
      </c>
      <c r="K1932">
        <f t="shared" si="270"/>
        <v>10029</v>
      </c>
      <c r="N1932" t="str">
        <f t="shared" si="271"/>
        <v>HOLDING REGISTER</v>
      </c>
      <c r="O1932" t="str">
        <f t="shared" si="272"/>
        <v>INT</v>
      </c>
      <c r="P1932" t="str">
        <f t="shared" si="273"/>
        <v>SCENARI SAN GIULIANO Scenario E2</v>
      </c>
      <c r="R1932" t="str">
        <f t="shared" si="274"/>
        <v>Scenari -Comando Attivazione Scenario E2: ALLARME SOS = Cod.13</v>
      </c>
      <c r="U1932" t="str">
        <f t="shared" si="275"/>
        <v>Comando</v>
      </c>
      <c r="V1932" t="str">
        <f t="shared" si="276"/>
        <v>GALLERIA</v>
      </c>
      <c r="W1932" t="str">
        <f t="shared" si="277"/>
        <v>GALLERIA SAN GIULIANO</v>
      </c>
      <c r="Z1932" t="str">
        <f t="shared" si="278"/>
        <v>10.220.80.16</v>
      </c>
    </row>
    <row r="1933" spans="1:26" x14ac:dyDescent="0.25">
      <c r="A1933" t="s">
        <v>10</v>
      </c>
      <c r="B1933" t="s">
        <v>1063</v>
      </c>
      <c r="C1933" t="s">
        <v>2173</v>
      </c>
      <c r="D1933" t="s">
        <v>2749</v>
      </c>
      <c r="E1933" t="s">
        <v>2486</v>
      </c>
      <c r="F1933" t="s">
        <v>14</v>
      </c>
      <c r="G1933" t="s">
        <v>2531</v>
      </c>
      <c r="H1933" t="s">
        <v>16</v>
      </c>
      <c r="I1933">
        <v>10029</v>
      </c>
      <c r="J1933" t="s">
        <v>2794</v>
      </c>
      <c r="K1933">
        <f t="shared" si="270"/>
        <v>10029</v>
      </c>
      <c r="N1933" t="str">
        <f t="shared" si="271"/>
        <v>HOLDING REGISTER</v>
      </c>
      <c r="O1933" t="str">
        <f t="shared" si="272"/>
        <v>INT</v>
      </c>
      <c r="P1933" t="str">
        <f t="shared" si="273"/>
        <v>SCENARI SAN GIULIANO Scenario E3</v>
      </c>
      <c r="R1933" t="str">
        <f t="shared" si="274"/>
        <v>Scenari -Comando Attivazione Scenario E3: PEDONE IN GALLERIA = Cod.11</v>
      </c>
      <c r="U1933" t="str">
        <f t="shared" si="275"/>
        <v>Comando</v>
      </c>
      <c r="V1933" t="str">
        <f t="shared" si="276"/>
        <v>GALLERIA</v>
      </c>
      <c r="W1933" t="str">
        <f t="shared" si="277"/>
        <v>GALLERIA SAN GIULIANO</v>
      </c>
      <c r="Z1933" t="str">
        <f t="shared" si="278"/>
        <v>10.220.80.16</v>
      </c>
    </row>
    <row r="1934" spans="1:26" x14ac:dyDescent="0.25">
      <c r="A1934" t="s">
        <v>10</v>
      </c>
      <c r="B1934" t="s">
        <v>1063</v>
      </c>
      <c r="C1934" t="s">
        <v>2173</v>
      </c>
      <c r="D1934" t="s">
        <v>2749</v>
      </c>
      <c r="E1934" t="s">
        <v>2489</v>
      </c>
      <c r="F1934" t="s">
        <v>14</v>
      </c>
      <c r="G1934" t="s">
        <v>2531</v>
      </c>
      <c r="H1934" t="s">
        <v>16</v>
      </c>
      <c r="I1934">
        <v>10029</v>
      </c>
      <c r="J1934" t="s">
        <v>2795</v>
      </c>
      <c r="K1934">
        <f t="shared" si="270"/>
        <v>10029</v>
      </c>
      <c r="N1934" t="str">
        <f t="shared" si="271"/>
        <v>HOLDING REGISTER</v>
      </c>
      <c r="O1934" t="str">
        <f t="shared" si="272"/>
        <v>INT</v>
      </c>
      <c r="P1934" t="str">
        <f t="shared" si="273"/>
        <v>SCENARI SAN GIULIANO Scenario E4</v>
      </c>
      <c r="R1934" t="str">
        <f t="shared" si="274"/>
        <v>Scenari -Comando Attivazione Scenario E4: VE ICOLO FERMO/OSTACOLO = Cod.14</v>
      </c>
      <c r="U1934" t="str">
        <f t="shared" si="275"/>
        <v>Comando</v>
      </c>
      <c r="V1934" t="str">
        <f t="shared" si="276"/>
        <v>GALLERIA</v>
      </c>
      <c r="W1934" t="str">
        <f t="shared" si="277"/>
        <v>GALLERIA SAN GIULIANO</v>
      </c>
      <c r="Z1934" t="str">
        <f t="shared" si="278"/>
        <v>10.220.80.16</v>
      </c>
    </row>
    <row r="1935" spans="1:26" x14ac:dyDescent="0.25">
      <c r="A1935" t="s">
        <v>10</v>
      </c>
      <c r="B1935" t="s">
        <v>1063</v>
      </c>
      <c r="C1935" t="s">
        <v>2173</v>
      </c>
      <c r="D1935" t="s">
        <v>2749</v>
      </c>
      <c r="E1935" t="s">
        <v>2492</v>
      </c>
      <c r="F1935" t="s">
        <v>14</v>
      </c>
      <c r="G1935" t="s">
        <v>2531</v>
      </c>
      <c r="H1935" t="s">
        <v>16</v>
      </c>
      <c r="I1935">
        <v>10029</v>
      </c>
      <c r="J1935" t="s">
        <v>2796</v>
      </c>
      <c r="K1935">
        <f t="shared" si="270"/>
        <v>10029</v>
      </c>
      <c r="N1935" t="str">
        <f t="shared" si="271"/>
        <v>HOLDING REGISTER</v>
      </c>
      <c r="O1935" t="str">
        <f t="shared" si="272"/>
        <v>INT</v>
      </c>
      <c r="P1935" t="str">
        <f t="shared" si="273"/>
        <v>SCENARI SAN GIULIANO Scenario E5</v>
      </c>
      <c r="R1935" t="str">
        <f t="shared" si="274"/>
        <v>Scenari -Comando Attivazione Scenario E5: INCIDENTE = Cod.15</v>
      </c>
      <c r="U1935" t="str">
        <f t="shared" si="275"/>
        <v>Comando</v>
      </c>
      <c r="V1935" t="str">
        <f t="shared" si="276"/>
        <v>GALLERIA</v>
      </c>
      <c r="W1935" t="str">
        <f t="shared" si="277"/>
        <v>GALLERIA SAN GIULIANO</v>
      </c>
      <c r="Z1935" t="str">
        <f t="shared" si="278"/>
        <v>10.220.80.16</v>
      </c>
    </row>
    <row r="1936" spans="1:26" x14ac:dyDescent="0.25">
      <c r="A1936" t="s">
        <v>10</v>
      </c>
      <c r="B1936" t="s">
        <v>1063</v>
      </c>
      <c r="C1936" t="s">
        <v>2173</v>
      </c>
      <c r="D1936" t="s">
        <v>2749</v>
      </c>
      <c r="E1936" t="s">
        <v>2495</v>
      </c>
      <c r="F1936" t="s">
        <v>14</v>
      </c>
      <c r="G1936" t="s">
        <v>2531</v>
      </c>
      <c r="H1936" t="s">
        <v>16</v>
      </c>
      <c r="I1936">
        <v>10029</v>
      </c>
      <c r="J1936" t="s">
        <v>2797</v>
      </c>
      <c r="K1936">
        <f t="shared" si="270"/>
        <v>10029</v>
      </c>
      <c r="N1936" t="str">
        <f t="shared" si="271"/>
        <v>HOLDING REGISTER</v>
      </c>
      <c r="O1936" t="str">
        <f t="shared" si="272"/>
        <v>INT</v>
      </c>
      <c r="P1936" t="str">
        <f t="shared" si="273"/>
        <v>SCENARI SAN GIULIANO Scenario E6</v>
      </c>
      <c r="R1936" t="str">
        <f t="shared" si="274"/>
        <v>Scenari -Comando Attivazione Scenario E6: DISTACCO JETFAN = Cod.16</v>
      </c>
      <c r="U1936" t="str">
        <f t="shared" si="275"/>
        <v>Comando</v>
      </c>
      <c r="V1936" t="str">
        <f t="shared" si="276"/>
        <v>GALLERIA</v>
      </c>
      <c r="W1936" t="str">
        <f t="shared" si="277"/>
        <v>GALLERIA SAN GIULIANO</v>
      </c>
      <c r="Z1936" t="str">
        <f t="shared" si="278"/>
        <v>10.220.80.16</v>
      </c>
    </row>
    <row r="1937" spans="1:26" x14ac:dyDescent="0.25">
      <c r="A1937" t="s">
        <v>10</v>
      </c>
      <c r="B1937" t="s">
        <v>1063</v>
      </c>
      <c r="C1937" t="s">
        <v>2173</v>
      </c>
      <c r="D1937" t="s">
        <v>2749</v>
      </c>
      <c r="E1937" t="s">
        <v>2498</v>
      </c>
      <c r="F1937" t="s">
        <v>14</v>
      </c>
      <c r="G1937" t="s">
        <v>2531</v>
      </c>
      <c r="H1937" t="s">
        <v>16</v>
      </c>
      <c r="I1937">
        <v>10029</v>
      </c>
      <c r="J1937" t="s">
        <v>2798</v>
      </c>
      <c r="K1937">
        <f t="shared" si="270"/>
        <v>10029</v>
      </c>
      <c r="N1937" t="str">
        <f t="shared" si="271"/>
        <v>HOLDING REGISTER</v>
      </c>
      <c r="O1937" t="str">
        <f t="shared" si="272"/>
        <v>INT</v>
      </c>
      <c r="P1937" t="str">
        <f t="shared" si="273"/>
        <v>SCENARI SAN GIULIANO Scenario E7</v>
      </c>
      <c r="R1937" t="str">
        <f t="shared" si="274"/>
        <v>Scenari -Comando Attivazione Scenario E7: GALLERIA INQUINATA = Cod.17</v>
      </c>
      <c r="U1937" t="str">
        <f t="shared" si="275"/>
        <v>Comando</v>
      </c>
      <c r="V1937" t="str">
        <f t="shared" si="276"/>
        <v>GALLERIA</v>
      </c>
      <c r="W1937" t="str">
        <f t="shared" si="277"/>
        <v>GALLERIA SAN GIULIANO</v>
      </c>
      <c r="Z1937" t="str">
        <f t="shared" si="278"/>
        <v>10.220.80.16</v>
      </c>
    </row>
    <row r="1938" spans="1:26" x14ac:dyDescent="0.25">
      <c r="A1938" t="s">
        <v>10</v>
      </c>
      <c r="B1938" t="s">
        <v>1063</v>
      </c>
      <c r="C1938" t="s">
        <v>2173</v>
      </c>
      <c r="D1938" t="s">
        <v>2749</v>
      </c>
      <c r="E1938" t="s">
        <v>2501</v>
      </c>
      <c r="F1938" t="s">
        <v>14</v>
      </c>
      <c r="G1938" t="s">
        <v>2531</v>
      </c>
      <c r="H1938" t="s">
        <v>16</v>
      </c>
      <c r="I1938">
        <v>10029</v>
      </c>
      <c r="J1938" t="s">
        <v>2799</v>
      </c>
      <c r="K1938">
        <f t="shared" si="270"/>
        <v>10029</v>
      </c>
      <c r="N1938" t="str">
        <f t="shared" si="271"/>
        <v>HOLDING REGISTER</v>
      </c>
      <c r="O1938" t="str">
        <f t="shared" si="272"/>
        <v>INT</v>
      </c>
      <c r="P1938" t="str">
        <f t="shared" si="273"/>
        <v>SCENARI SAN GIULIANO Scenario E8</v>
      </c>
      <c r="R1938" t="str">
        <f t="shared" si="274"/>
        <v>Scenari -Comando Attivazione Scenario E8: VEICOLO CONTROMANO = Cod.18</v>
      </c>
      <c r="U1938" t="str">
        <f t="shared" si="275"/>
        <v>Comando</v>
      </c>
      <c r="V1938" t="str">
        <f t="shared" si="276"/>
        <v>GALLERIA</v>
      </c>
      <c r="W1938" t="str">
        <f t="shared" si="277"/>
        <v>GALLERIA SAN GIULIANO</v>
      </c>
      <c r="Z1938" t="str">
        <f t="shared" si="278"/>
        <v>10.220.80.16</v>
      </c>
    </row>
    <row r="1939" spans="1:26" x14ac:dyDescent="0.25">
      <c r="A1939" t="s">
        <v>10</v>
      </c>
      <c r="B1939" t="s">
        <v>1063</v>
      </c>
      <c r="C1939" t="s">
        <v>2173</v>
      </c>
      <c r="D1939" t="s">
        <v>2749</v>
      </c>
      <c r="E1939" t="s">
        <v>2504</v>
      </c>
      <c r="F1939" t="s">
        <v>14</v>
      </c>
      <c r="G1939" t="s">
        <v>2531</v>
      </c>
      <c r="H1939" t="s">
        <v>16</v>
      </c>
      <c r="I1939">
        <v>10029</v>
      </c>
      <c r="J1939" t="s">
        <v>2800</v>
      </c>
      <c r="K1939">
        <f t="shared" si="270"/>
        <v>10029</v>
      </c>
      <c r="N1939" t="str">
        <f t="shared" si="271"/>
        <v>HOLDING REGISTER</v>
      </c>
      <c r="O1939" t="str">
        <f t="shared" si="272"/>
        <v>INT</v>
      </c>
      <c r="P1939" t="str">
        <f t="shared" si="273"/>
        <v>SCENARI SAN GIULIANO Scenario E10</v>
      </c>
      <c r="R1939" t="str">
        <f t="shared" si="274"/>
        <v>Scenari -Comando Attivazione Scenario E10: PREALLARME INCENDIO = Cod.12</v>
      </c>
      <c r="U1939" t="str">
        <f t="shared" si="275"/>
        <v>Comando</v>
      </c>
      <c r="V1939" t="str">
        <f t="shared" si="276"/>
        <v>GALLERIA</v>
      </c>
      <c r="W1939" t="str">
        <f t="shared" si="277"/>
        <v>GALLERIA SAN GIULIANO</v>
      </c>
      <c r="Z1939" t="str">
        <f t="shared" si="278"/>
        <v>10.220.80.16</v>
      </c>
    </row>
    <row r="1940" spans="1:26" x14ac:dyDescent="0.25">
      <c r="A1940" t="s">
        <v>10</v>
      </c>
      <c r="B1940" t="s">
        <v>1063</v>
      </c>
      <c r="C1940" t="s">
        <v>2173</v>
      </c>
      <c r="D1940" t="s">
        <v>2749</v>
      </c>
      <c r="E1940" t="s">
        <v>2507</v>
      </c>
      <c r="F1940" t="s">
        <v>14</v>
      </c>
      <c r="G1940" t="s">
        <v>2531</v>
      </c>
      <c r="H1940" t="s">
        <v>16</v>
      </c>
      <c r="I1940">
        <v>10029</v>
      </c>
      <c r="J1940" t="s">
        <v>2801</v>
      </c>
      <c r="K1940">
        <f t="shared" si="270"/>
        <v>10029</v>
      </c>
      <c r="N1940" t="str">
        <f t="shared" si="271"/>
        <v>HOLDING REGISTER</v>
      </c>
      <c r="O1940" t="str">
        <f t="shared" si="272"/>
        <v>INT</v>
      </c>
      <c r="P1940" t="str">
        <f t="shared" si="273"/>
        <v>SCENARI SAN GIULIANO Scenario E11</v>
      </c>
      <c r="R1940" t="str">
        <f t="shared" si="274"/>
        <v>Scenari -Comando Attivazione Scenario E11: ALLARME INCENDIO = Cod.10</v>
      </c>
      <c r="U1940" t="str">
        <f t="shared" si="275"/>
        <v>Comando</v>
      </c>
      <c r="V1940" t="str">
        <f t="shared" si="276"/>
        <v>GALLERIA</v>
      </c>
      <c r="W1940" t="str">
        <f t="shared" si="277"/>
        <v>GALLERIA SAN GIULIANO</v>
      </c>
      <c r="Z1940" t="str">
        <f t="shared" si="278"/>
        <v>10.220.80.16</v>
      </c>
    </row>
    <row r="1941" spans="1:26" x14ac:dyDescent="0.25">
      <c r="A1941" t="s">
        <v>10</v>
      </c>
      <c r="B1941" t="s">
        <v>1063</v>
      </c>
      <c r="C1941" t="s">
        <v>2173</v>
      </c>
      <c r="D1941" t="s">
        <v>2749</v>
      </c>
      <c r="E1941" t="s">
        <v>2510</v>
      </c>
      <c r="F1941" t="s">
        <v>14</v>
      </c>
      <c r="G1941" t="s">
        <v>2531</v>
      </c>
      <c r="H1941" t="s">
        <v>16</v>
      </c>
      <c r="I1941">
        <v>10029</v>
      </c>
      <c r="J1941" t="s">
        <v>2802</v>
      </c>
      <c r="K1941">
        <f t="shared" si="270"/>
        <v>10029</v>
      </c>
      <c r="N1941" t="str">
        <f t="shared" si="271"/>
        <v>HOLDING REGISTER</v>
      </c>
      <c r="O1941" t="str">
        <f t="shared" si="272"/>
        <v>INT</v>
      </c>
      <c r="P1941" t="str">
        <f t="shared" si="273"/>
        <v>SCENARI SAN GIULIANO Scenario V1</v>
      </c>
      <c r="R1941" t="str">
        <f t="shared" si="274"/>
        <v>Scenari -Comando Attivazione Scenario V1: CODA = Cod.31</v>
      </c>
      <c r="U1941" t="str">
        <f t="shared" si="275"/>
        <v>Comando</v>
      </c>
      <c r="V1941" t="str">
        <f t="shared" si="276"/>
        <v>GALLERIA</v>
      </c>
      <c r="W1941" t="str">
        <f t="shared" si="277"/>
        <v>GALLERIA SAN GIULIANO</v>
      </c>
      <c r="Z1941" t="str">
        <f t="shared" si="278"/>
        <v>10.220.80.16</v>
      </c>
    </row>
    <row r="1942" spans="1:26" x14ac:dyDescent="0.25">
      <c r="A1942" t="s">
        <v>10</v>
      </c>
      <c r="B1942" t="s">
        <v>1063</v>
      </c>
      <c r="C1942" t="s">
        <v>2173</v>
      </c>
      <c r="D1942" t="s">
        <v>2749</v>
      </c>
      <c r="E1942" t="s">
        <v>2513</v>
      </c>
      <c r="F1942" t="s">
        <v>14</v>
      </c>
      <c r="G1942" t="s">
        <v>2531</v>
      </c>
      <c r="H1942" t="s">
        <v>16</v>
      </c>
      <c r="I1942">
        <v>10029</v>
      </c>
      <c r="J1942" t="s">
        <v>2803</v>
      </c>
      <c r="K1942">
        <f t="shared" si="270"/>
        <v>10029</v>
      </c>
      <c r="N1942" t="str">
        <f t="shared" si="271"/>
        <v>HOLDING REGISTER</v>
      </c>
      <c r="O1942" t="str">
        <f t="shared" si="272"/>
        <v>INT</v>
      </c>
      <c r="P1942" t="str">
        <f t="shared" si="273"/>
        <v>SCENARI SAN GIULIANO Scenario V6</v>
      </c>
      <c r="R1942" t="str">
        <f t="shared" si="274"/>
        <v>Scenari -Comando Attivazione Scenario V6 -Galleria chiusa = Cod.21</v>
      </c>
      <c r="U1942" t="str">
        <f t="shared" si="275"/>
        <v>Comando</v>
      </c>
      <c r="V1942" t="str">
        <f t="shared" si="276"/>
        <v>GALLERIA</v>
      </c>
      <c r="W1942" t="str">
        <f t="shared" si="277"/>
        <v>GALLERIA SAN GIULIANO</v>
      </c>
      <c r="Z1942" t="str">
        <f t="shared" si="278"/>
        <v>10.220.80.16</v>
      </c>
    </row>
    <row r="1943" spans="1:26" x14ac:dyDescent="0.25">
      <c r="A1943" t="s">
        <v>10</v>
      </c>
      <c r="B1943" t="s">
        <v>1063</v>
      </c>
      <c r="C1943" t="s">
        <v>2173</v>
      </c>
      <c r="D1943" t="s">
        <v>2749</v>
      </c>
      <c r="E1943" t="s">
        <v>2516</v>
      </c>
      <c r="F1943" t="s">
        <v>14</v>
      </c>
      <c r="G1943" t="s">
        <v>2531</v>
      </c>
      <c r="H1943" t="s">
        <v>16</v>
      </c>
      <c r="I1943">
        <v>10029</v>
      </c>
      <c r="J1943" t="s">
        <v>2804</v>
      </c>
      <c r="K1943">
        <f t="shared" si="270"/>
        <v>10029</v>
      </c>
      <c r="N1943" t="str">
        <f t="shared" si="271"/>
        <v>HOLDING REGISTER</v>
      </c>
      <c r="O1943" t="str">
        <f t="shared" si="272"/>
        <v>INT</v>
      </c>
      <c r="P1943" t="str">
        <f t="shared" si="273"/>
        <v>SCENARI SAN GIULIANO Scenario V4</v>
      </c>
      <c r="R1943" t="str">
        <f t="shared" si="274"/>
        <v>Scenari -Comando Attivazione Scenario V4 -Corsia Marcia Sud = Cod.22</v>
      </c>
      <c r="U1943" t="str">
        <f t="shared" si="275"/>
        <v>Comando</v>
      </c>
      <c r="V1943" t="str">
        <f t="shared" si="276"/>
        <v>GALLERIA</v>
      </c>
      <c r="W1943" t="str">
        <f t="shared" si="277"/>
        <v>GALLERIA SAN GIULIANO</v>
      </c>
      <c r="Z1943" t="str">
        <f t="shared" si="278"/>
        <v>10.220.80.16</v>
      </c>
    </row>
    <row r="1944" spans="1:26" x14ac:dyDescent="0.25">
      <c r="A1944" t="s">
        <v>10</v>
      </c>
      <c r="B1944" t="s">
        <v>1063</v>
      </c>
      <c r="C1944" t="s">
        <v>2173</v>
      </c>
      <c r="D1944" t="s">
        <v>2749</v>
      </c>
      <c r="E1944" t="s">
        <v>2519</v>
      </c>
      <c r="F1944" t="s">
        <v>14</v>
      </c>
      <c r="G1944" t="s">
        <v>2531</v>
      </c>
      <c r="H1944" t="s">
        <v>16</v>
      </c>
      <c r="I1944">
        <v>10029</v>
      </c>
      <c r="J1944" t="s">
        <v>2805</v>
      </c>
      <c r="K1944">
        <f t="shared" si="270"/>
        <v>10029</v>
      </c>
      <c r="N1944" t="str">
        <f t="shared" si="271"/>
        <v>HOLDING REGISTER</v>
      </c>
      <c r="O1944" t="str">
        <f t="shared" si="272"/>
        <v>INT</v>
      </c>
      <c r="P1944" t="str">
        <f t="shared" si="273"/>
        <v>SCENARI SAN GIULIANO Scenario V5</v>
      </c>
      <c r="R1944" t="str">
        <f t="shared" si="274"/>
        <v>Scenari -Comando Attivazione Scenario V5 -Corsia Marcia Nord = Cod.23</v>
      </c>
      <c r="U1944" t="str">
        <f t="shared" si="275"/>
        <v>Comando</v>
      </c>
      <c r="V1944" t="str">
        <f t="shared" si="276"/>
        <v>GALLERIA</v>
      </c>
      <c r="W1944" t="str">
        <f t="shared" si="277"/>
        <v>GALLERIA SAN GIULIANO</v>
      </c>
      <c r="Z1944" t="str">
        <f t="shared" si="278"/>
        <v>10.220.80.16</v>
      </c>
    </row>
    <row r="1945" spans="1:26" x14ac:dyDescent="0.25">
      <c r="A1945" t="s">
        <v>10</v>
      </c>
      <c r="B1945" t="s">
        <v>1206</v>
      </c>
      <c r="C1945" t="s">
        <v>2530</v>
      </c>
      <c r="D1945" t="s">
        <v>1354</v>
      </c>
      <c r="E1945" t="s">
        <v>2530</v>
      </c>
      <c r="F1945" t="s">
        <v>14</v>
      </c>
      <c r="G1945" t="s">
        <v>28</v>
      </c>
      <c r="H1945" t="s">
        <v>22</v>
      </c>
      <c r="I1945" t="s">
        <v>2806</v>
      </c>
      <c r="J1945" t="s">
        <v>1356</v>
      </c>
      <c r="K1945" t="str">
        <f t="shared" si="270"/>
        <v>5000.0</v>
      </c>
      <c r="N1945" t="str">
        <f t="shared" si="271"/>
        <v>HOLDING REGISTER</v>
      </c>
      <c r="O1945" t="str">
        <f t="shared" si="272"/>
        <v>BOOL</v>
      </c>
      <c r="P1945" t="str">
        <f t="shared" si="273"/>
        <v>PULSANTE CHIAMATA SOS 1</v>
      </c>
      <c r="R1945" t="str">
        <f t="shared" si="274"/>
        <v>CHIAMATA 118 EFFETTUATA</v>
      </c>
      <c r="U1945" t="str">
        <f t="shared" si="275"/>
        <v>Allarme</v>
      </c>
      <c r="V1945" t="str">
        <f t="shared" si="276"/>
        <v>SOS 1</v>
      </c>
      <c r="W1945" t="str">
        <f t="shared" si="277"/>
        <v>GALLERIA CASOLA</v>
      </c>
      <c r="Z1945" t="str">
        <f t="shared" si="278"/>
        <v>10.220.80.16</v>
      </c>
    </row>
    <row r="1946" spans="1:26" x14ac:dyDescent="0.25">
      <c r="A1946" t="s">
        <v>10</v>
      </c>
      <c r="B1946" t="s">
        <v>1206</v>
      </c>
      <c r="C1946" t="s">
        <v>2530</v>
      </c>
      <c r="D1946" t="s">
        <v>1354</v>
      </c>
      <c r="E1946" t="s">
        <v>2530</v>
      </c>
      <c r="F1946" t="s">
        <v>14</v>
      </c>
      <c r="G1946" t="s">
        <v>28</v>
      </c>
      <c r="H1946" t="s">
        <v>22</v>
      </c>
      <c r="I1946" t="s">
        <v>2807</v>
      </c>
      <c r="J1946" t="s">
        <v>1358</v>
      </c>
      <c r="K1946" t="str">
        <f t="shared" si="270"/>
        <v>5000.1</v>
      </c>
      <c r="N1946" t="str">
        <f t="shared" si="271"/>
        <v>HOLDING REGISTER</v>
      </c>
      <c r="O1946" t="str">
        <f t="shared" si="272"/>
        <v>BOOL</v>
      </c>
      <c r="P1946" t="str">
        <f t="shared" si="273"/>
        <v>PULSANTE CHIAMATA SOS 1</v>
      </c>
      <c r="R1946" t="str">
        <f t="shared" si="274"/>
        <v>CHIAMATA 113 EFFETTUATA</v>
      </c>
      <c r="U1946" t="str">
        <f t="shared" si="275"/>
        <v>Allarme</v>
      </c>
      <c r="V1946" t="str">
        <f t="shared" si="276"/>
        <v>SOS 1</v>
      </c>
      <c r="W1946" t="str">
        <f t="shared" si="277"/>
        <v>GALLERIA CASOLA</v>
      </c>
      <c r="Z1946" t="str">
        <f t="shared" si="278"/>
        <v>10.220.80.16</v>
      </c>
    </row>
    <row r="1947" spans="1:26" x14ac:dyDescent="0.25">
      <c r="A1947" t="s">
        <v>10</v>
      </c>
      <c r="B1947" t="s">
        <v>1206</v>
      </c>
      <c r="C1947" t="s">
        <v>2530</v>
      </c>
      <c r="D1947" t="s">
        <v>1354</v>
      </c>
      <c r="E1947" t="s">
        <v>2530</v>
      </c>
      <c r="F1947" t="s">
        <v>14</v>
      </c>
      <c r="G1947" t="s">
        <v>28</v>
      </c>
      <c r="H1947" t="s">
        <v>22</v>
      </c>
      <c r="I1947" t="s">
        <v>2808</v>
      </c>
      <c r="J1947" t="s">
        <v>1360</v>
      </c>
      <c r="K1947" t="str">
        <f t="shared" si="270"/>
        <v>5000.2</v>
      </c>
      <c r="N1947" t="str">
        <f t="shared" si="271"/>
        <v>HOLDING REGISTER</v>
      </c>
      <c r="O1947" t="str">
        <f t="shared" si="272"/>
        <v>BOOL</v>
      </c>
      <c r="P1947" t="str">
        <f t="shared" si="273"/>
        <v>PULSANTE CHIAMATA SOS 1</v>
      </c>
      <c r="R1947" t="str">
        <f t="shared" si="274"/>
        <v>CHIAMATA 115 EFFETTUATA</v>
      </c>
      <c r="U1947" t="str">
        <f t="shared" si="275"/>
        <v>Allarme</v>
      </c>
      <c r="V1947" t="str">
        <f t="shared" si="276"/>
        <v>SOS 1</v>
      </c>
      <c r="W1947" t="str">
        <f t="shared" si="277"/>
        <v>GALLERIA CASOLA</v>
      </c>
      <c r="Z1947" t="str">
        <f t="shared" si="278"/>
        <v>10.220.80.16</v>
      </c>
    </row>
    <row r="1948" spans="1:26" x14ac:dyDescent="0.25">
      <c r="A1948" t="s">
        <v>10</v>
      </c>
      <c r="B1948" t="s">
        <v>1206</v>
      </c>
      <c r="C1948" t="s">
        <v>2530</v>
      </c>
      <c r="D1948" t="s">
        <v>1354</v>
      </c>
      <c r="E1948" t="s">
        <v>2530</v>
      </c>
      <c r="F1948" t="s">
        <v>14</v>
      </c>
      <c r="G1948" t="s">
        <v>28</v>
      </c>
      <c r="H1948" t="s">
        <v>22</v>
      </c>
      <c r="I1948" t="s">
        <v>2809</v>
      </c>
      <c r="J1948" t="s">
        <v>1362</v>
      </c>
      <c r="K1948" t="str">
        <f t="shared" si="270"/>
        <v>5000.3</v>
      </c>
      <c r="N1948" t="str">
        <f t="shared" si="271"/>
        <v>HOLDING REGISTER</v>
      </c>
      <c r="O1948" t="str">
        <f t="shared" si="272"/>
        <v>BOOL</v>
      </c>
      <c r="P1948" t="str">
        <f t="shared" si="273"/>
        <v>PULSANTE CHIAMATA SOS 1</v>
      </c>
      <c r="R1948" t="str">
        <f t="shared" si="274"/>
        <v>CHIAMATA SALA CONTROLLO ANAS EFFETTUATA</v>
      </c>
      <c r="U1948" t="str">
        <f t="shared" si="275"/>
        <v>Allarme</v>
      </c>
      <c r="V1948" t="str">
        <f t="shared" si="276"/>
        <v>SOS 1</v>
      </c>
      <c r="W1948" t="str">
        <f t="shared" si="277"/>
        <v>GALLERIA CASOLA</v>
      </c>
      <c r="Z1948" t="str">
        <f t="shared" si="278"/>
        <v>10.220.80.16</v>
      </c>
    </row>
    <row r="1949" spans="1:26" x14ac:dyDescent="0.25">
      <c r="A1949" t="s">
        <v>10</v>
      </c>
      <c r="B1949" t="s">
        <v>1206</v>
      </c>
      <c r="C1949" t="s">
        <v>2530</v>
      </c>
      <c r="D1949" t="s">
        <v>1363</v>
      </c>
      <c r="E1949" t="s">
        <v>2530</v>
      </c>
      <c r="F1949" t="s">
        <v>14</v>
      </c>
      <c r="G1949" t="s">
        <v>28</v>
      </c>
      <c r="H1949" t="s">
        <v>22</v>
      </c>
      <c r="I1949" t="s">
        <v>2810</v>
      </c>
      <c r="J1949" t="s">
        <v>1365</v>
      </c>
      <c r="K1949" t="str">
        <f t="shared" si="270"/>
        <v>5000.4</v>
      </c>
      <c r="N1949" t="str">
        <f t="shared" si="271"/>
        <v>HOLDING REGISTER</v>
      </c>
      <c r="O1949" t="str">
        <f t="shared" si="272"/>
        <v>BOOL</v>
      </c>
      <c r="P1949" t="str">
        <f t="shared" si="273"/>
        <v>ESTINTORE SOS 1</v>
      </c>
      <c r="R1949" t="str">
        <f t="shared" si="274"/>
        <v>ESTINTORE PRELEVATO 1</v>
      </c>
      <c r="U1949" t="str">
        <f t="shared" si="275"/>
        <v>Allarme</v>
      </c>
      <c r="V1949" t="str">
        <f t="shared" si="276"/>
        <v>SOS 1</v>
      </c>
      <c r="W1949" t="str">
        <f t="shared" si="277"/>
        <v>GALLERIA CASOLA</v>
      </c>
      <c r="Z1949" t="str">
        <f t="shared" si="278"/>
        <v>10.220.80.16</v>
      </c>
    </row>
    <row r="1950" spans="1:26" x14ac:dyDescent="0.25">
      <c r="A1950" t="s">
        <v>10</v>
      </c>
      <c r="B1950" t="s">
        <v>1206</v>
      </c>
      <c r="C1950" t="s">
        <v>2530</v>
      </c>
      <c r="D1950" t="s">
        <v>1363</v>
      </c>
      <c r="E1950" t="s">
        <v>2530</v>
      </c>
      <c r="F1950" t="s">
        <v>14</v>
      </c>
      <c r="G1950" t="s">
        <v>28</v>
      </c>
      <c r="H1950" t="s">
        <v>22</v>
      </c>
      <c r="I1950" t="s">
        <v>2811</v>
      </c>
      <c r="J1950" t="s">
        <v>1367</v>
      </c>
      <c r="K1950" t="str">
        <f t="shared" si="270"/>
        <v>5000.5</v>
      </c>
      <c r="N1950" t="str">
        <f t="shared" si="271"/>
        <v>HOLDING REGISTER</v>
      </c>
      <c r="O1950" t="str">
        <f t="shared" si="272"/>
        <v>BOOL</v>
      </c>
      <c r="P1950" t="str">
        <f t="shared" si="273"/>
        <v>ESTINTORE SOS 1</v>
      </c>
      <c r="R1950" t="str">
        <f t="shared" si="274"/>
        <v>ESTINTORE PRELEVATO 2</v>
      </c>
      <c r="U1950" t="str">
        <f t="shared" si="275"/>
        <v>Allarme</v>
      </c>
      <c r="V1950" t="str">
        <f t="shared" si="276"/>
        <v>SOS 1</v>
      </c>
      <c r="W1950" t="str">
        <f t="shared" si="277"/>
        <v>GALLERIA CASOLA</v>
      </c>
      <c r="Z1950" t="str">
        <f t="shared" si="278"/>
        <v>10.220.80.16</v>
      </c>
    </row>
    <row r="1951" spans="1:26" x14ac:dyDescent="0.25">
      <c r="A1951" t="s">
        <v>10</v>
      </c>
      <c r="B1951" t="s">
        <v>1206</v>
      </c>
      <c r="C1951" t="s">
        <v>2530</v>
      </c>
      <c r="D1951" t="s">
        <v>1368</v>
      </c>
      <c r="E1951" t="s">
        <v>2530</v>
      </c>
      <c r="F1951" t="s">
        <v>14</v>
      </c>
      <c r="G1951" t="s">
        <v>28</v>
      </c>
      <c r="H1951" t="s">
        <v>22</v>
      </c>
      <c r="I1951" t="s">
        <v>2812</v>
      </c>
      <c r="J1951" t="s">
        <v>1370</v>
      </c>
      <c r="K1951" t="str">
        <f t="shared" si="270"/>
        <v>5000.6</v>
      </c>
      <c r="N1951" t="str">
        <f t="shared" si="271"/>
        <v>HOLDING REGISTER</v>
      </c>
      <c r="O1951" t="str">
        <f t="shared" si="272"/>
        <v>BOOL</v>
      </c>
      <c r="P1951" t="str">
        <f t="shared" si="273"/>
        <v>PORTA SOS 1</v>
      </c>
      <c r="R1951" t="str">
        <f t="shared" si="274"/>
        <v>MANICHETTA PRELEVATA</v>
      </c>
      <c r="U1951" t="str">
        <f t="shared" si="275"/>
        <v>Allarme</v>
      </c>
      <c r="V1951" t="str">
        <f t="shared" si="276"/>
        <v>SOS 1</v>
      </c>
      <c r="W1951" t="str">
        <f t="shared" si="277"/>
        <v>GALLERIA CASOLA</v>
      </c>
      <c r="Z1951" t="str">
        <f t="shared" si="278"/>
        <v>10.220.80.16</v>
      </c>
    </row>
    <row r="1952" spans="1:26" x14ac:dyDescent="0.25">
      <c r="A1952" t="s">
        <v>10</v>
      </c>
      <c r="B1952" t="s">
        <v>1206</v>
      </c>
      <c r="C1952" t="s">
        <v>2530</v>
      </c>
      <c r="D1952" t="s">
        <v>1368</v>
      </c>
      <c r="E1952" t="s">
        <v>2530</v>
      </c>
      <c r="F1952" t="s">
        <v>14</v>
      </c>
      <c r="G1952" t="s">
        <v>28</v>
      </c>
      <c r="H1952" t="s">
        <v>22</v>
      </c>
      <c r="I1952" t="s">
        <v>2813</v>
      </c>
      <c r="J1952" t="s">
        <v>1372</v>
      </c>
      <c r="K1952" t="str">
        <f t="shared" si="270"/>
        <v>5000.7</v>
      </c>
      <c r="N1952" t="str">
        <f t="shared" si="271"/>
        <v>HOLDING REGISTER</v>
      </c>
      <c r="O1952" t="str">
        <f t="shared" si="272"/>
        <v>BOOL</v>
      </c>
      <c r="P1952" t="str">
        <f t="shared" si="273"/>
        <v>PORTA SOS 1</v>
      </c>
      <c r="R1952" t="str">
        <f t="shared" si="274"/>
        <v>PORTA TELEFONO VOIP APERTA</v>
      </c>
      <c r="U1952" t="str">
        <f t="shared" si="275"/>
        <v>Allarme</v>
      </c>
      <c r="V1952" t="str">
        <f t="shared" si="276"/>
        <v>SOS 1</v>
      </c>
      <c r="W1952" t="str">
        <f t="shared" si="277"/>
        <v>GALLERIA CASOLA</v>
      </c>
      <c r="Z1952" t="str">
        <f t="shared" si="278"/>
        <v>10.220.80.16</v>
      </c>
    </row>
    <row r="1953" spans="1:26" x14ac:dyDescent="0.25">
      <c r="A1953" t="s">
        <v>10</v>
      </c>
      <c r="B1953" t="s">
        <v>1206</v>
      </c>
      <c r="C1953" t="s">
        <v>2530</v>
      </c>
      <c r="D1953" t="s">
        <v>1368</v>
      </c>
      <c r="E1953" t="s">
        <v>2530</v>
      </c>
      <c r="F1953" t="s">
        <v>14</v>
      </c>
      <c r="G1953" t="s">
        <v>28</v>
      </c>
      <c r="H1953" t="s">
        <v>22</v>
      </c>
      <c r="I1953" t="s">
        <v>2814</v>
      </c>
      <c r="J1953" t="s">
        <v>1374</v>
      </c>
      <c r="K1953" t="str">
        <f t="shared" si="270"/>
        <v>5000.8</v>
      </c>
      <c r="N1953" t="str">
        <f t="shared" si="271"/>
        <v>HOLDING REGISTER</v>
      </c>
      <c r="O1953" t="str">
        <f t="shared" si="272"/>
        <v>BOOL</v>
      </c>
      <c r="P1953" t="str">
        <f t="shared" si="273"/>
        <v>PORTA SOS 1</v>
      </c>
      <c r="R1953" t="str">
        <f t="shared" si="274"/>
        <v>PORTA VANO TECNICO APERTA</v>
      </c>
      <c r="U1953" t="str">
        <f t="shared" si="275"/>
        <v>Allarme</v>
      </c>
      <c r="V1953" t="str">
        <f t="shared" si="276"/>
        <v>SOS 1</v>
      </c>
      <c r="W1953" t="str">
        <f t="shared" si="277"/>
        <v>GALLERIA CASOLA</v>
      </c>
      <c r="Z1953" t="str">
        <f t="shared" si="278"/>
        <v>10.220.80.16</v>
      </c>
    </row>
    <row r="1954" spans="1:26" x14ac:dyDescent="0.25">
      <c r="A1954" t="s">
        <v>10</v>
      </c>
      <c r="B1954" t="s">
        <v>1206</v>
      </c>
      <c r="C1954" t="s">
        <v>2530</v>
      </c>
      <c r="D1954" t="s">
        <v>1375</v>
      </c>
      <c r="E1954" t="s">
        <v>2530</v>
      </c>
      <c r="F1954" t="s">
        <v>14</v>
      </c>
      <c r="G1954" t="s">
        <v>1375</v>
      </c>
      <c r="H1954" t="s">
        <v>22</v>
      </c>
      <c r="I1954" t="s">
        <v>2815</v>
      </c>
      <c r="J1954" t="s">
        <v>1375</v>
      </c>
      <c r="K1954" t="str">
        <f t="shared" si="270"/>
        <v>5000.9</v>
      </c>
      <c r="N1954" t="str">
        <f t="shared" si="271"/>
        <v>HOLDING REGISTER</v>
      </c>
      <c r="O1954" t="str">
        <f t="shared" si="272"/>
        <v>BOOL</v>
      </c>
      <c r="P1954" t="str">
        <f t="shared" si="273"/>
        <v>disponibile SOS 1</v>
      </c>
      <c r="R1954" t="str">
        <f t="shared" si="274"/>
        <v>disponibile</v>
      </c>
      <c r="U1954" t="str">
        <f t="shared" si="275"/>
        <v>disponibile</v>
      </c>
      <c r="V1954" t="str">
        <f t="shared" si="276"/>
        <v>SOS 1</v>
      </c>
      <c r="W1954" t="str">
        <f t="shared" si="277"/>
        <v>GALLERIA CASOLA</v>
      </c>
      <c r="Z1954" t="str">
        <f t="shared" si="278"/>
        <v>10.220.80.16</v>
      </c>
    </row>
    <row r="1955" spans="1:26" x14ac:dyDescent="0.25">
      <c r="A1955" t="s">
        <v>10</v>
      </c>
      <c r="B1955" t="s">
        <v>1206</v>
      </c>
      <c r="C1955" t="s">
        <v>2530</v>
      </c>
      <c r="D1955" t="s">
        <v>1375</v>
      </c>
      <c r="E1955" t="s">
        <v>2530</v>
      </c>
      <c r="F1955" t="s">
        <v>14</v>
      </c>
      <c r="G1955" t="s">
        <v>1375</v>
      </c>
      <c r="H1955" t="s">
        <v>22</v>
      </c>
      <c r="I1955" t="s">
        <v>2816</v>
      </c>
      <c r="J1955" t="s">
        <v>1375</v>
      </c>
      <c r="K1955" t="str">
        <f t="shared" si="270"/>
        <v>5000.10</v>
      </c>
      <c r="N1955" t="str">
        <f t="shared" si="271"/>
        <v>HOLDING REGISTER</v>
      </c>
      <c r="O1955" t="str">
        <f t="shared" si="272"/>
        <v>BOOL</v>
      </c>
      <c r="P1955" t="str">
        <f t="shared" si="273"/>
        <v>disponibile SOS 1</v>
      </c>
      <c r="R1955" t="str">
        <f t="shared" si="274"/>
        <v>disponibile</v>
      </c>
      <c r="U1955" t="str">
        <f t="shared" si="275"/>
        <v>disponibile</v>
      </c>
      <c r="V1955" t="str">
        <f t="shared" si="276"/>
        <v>SOS 1</v>
      </c>
      <c r="W1955" t="str">
        <f t="shared" si="277"/>
        <v>GALLERIA CASOLA</v>
      </c>
      <c r="Z1955" t="str">
        <f t="shared" si="278"/>
        <v>10.220.80.16</v>
      </c>
    </row>
    <row r="1956" spans="1:26" x14ac:dyDescent="0.25">
      <c r="A1956" t="s">
        <v>10</v>
      </c>
      <c r="B1956" t="s">
        <v>1206</v>
      </c>
      <c r="C1956" t="s">
        <v>2530</v>
      </c>
      <c r="D1956" t="s">
        <v>1375</v>
      </c>
      <c r="E1956" t="s">
        <v>2530</v>
      </c>
      <c r="F1956" t="s">
        <v>14</v>
      </c>
      <c r="G1956" t="s">
        <v>1375</v>
      </c>
      <c r="H1956" t="s">
        <v>22</v>
      </c>
      <c r="I1956" t="s">
        <v>2817</v>
      </c>
      <c r="J1956" t="s">
        <v>1375</v>
      </c>
      <c r="K1956" t="str">
        <f t="shared" si="270"/>
        <v>5000.11</v>
      </c>
      <c r="N1956" t="str">
        <f t="shared" si="271"/>
        <v>HOLDING REGISTER</v>
      </c>
      <c r="O1956" t="str">
        <f t="shared" si="272"/>
        <v>BOOL</v>
      </c>
      <c r="P1956" t="str">
        <f t="shared" si="273"/>
        <v>disponibile SOS 1</v>
      </c>
      <c r="R1956" t="str">
        <f t="shared" si="274"/>
        <v>disponibile</v>
      </c>
      <c r="U1956" t="str">
        <f t="shared" si="275"/>
        <v>disponibile</v>
      </c>
      <c r="V1956" t="str">
        <f t="shared" si="276"/>
        <v>SOS 1</v>
      </c>
      <c r="W1956" t="str">
        <f t="shared" si="277"/>
        <v>GALLERIA CASOLA</v>
      </c>
      <c r="Z1956" t="str">
        <f t="shared" si="278"/>
        <v>10.220.80.16</v>
      </c>
    </row>
    <row r="1957" spans="1:26" x14ac:dyDescent="0.25">
      <c r="A1957" t="s">
        <v>10</v>
      </c>
      <c r="B1957" t="s">
        <v>1206</v>
      </c>
      <c r="C1957" t="s">
        <v>2530</v>
      </c>
      <c r="D1957" t="s">
        <v>1375</v>
      </c>
      <c r="E1957" t="s">
        <v>2530</v>
      </c>
      <c r="F1957" t="s">
        <v>14</v>
      </c>
      <c r="G1957" t="s">
        <v>1375</v>
      </c>
      <c r="H1957" t="s">
        <v>22</v>
      </c>
      <c r="I1957" t="s">
        <v>2818</v>
      </c>
      <c r="J1957" t="s">
        <v>1375</v>
      </c>
      <c r="K1957" t="str">
        <f t="shared" si="270"/>
        <v>5000.12</v>
      </c>
      <c r="N1957" t="str">
        <f t="shared" si="271"/>
        <v>HOLDING REGISTER</v>
      </c>
      <c r="O1957" t="str">
        <f t="shared" si="272"/>
        <v>BOOL</v>
      </c>
      <c r="P1957" t="str">
        <f t="shared" si="273"/>
        <v>disponibile SOS 1</v>
      </c>
      <c r="R1957" t="str">
        <f t="shared" si="274"/>
        <v>disponibile</v>
      </c>
      <c r="U1957" t="str">
        <f t="shared" si="275"/>
        <v>disponibile</v>
      </c>
      <c r="V1957" t="str">
        <f t="shared" si="276"/>
        <v>SOS 1</v>
      </c>
      <c r="W1957" t="str">
        <f t="shared" si="277"/>
        <v>GALLERIA CASOLA</v>
      </c>
      <c r="Z1957" t="str">
        <f t="shared" si="278"/>
        <v>10.220.80.16</v>
      </c>
    </row>
    <row r="1958" spans="1:26" x14ac:dyDescent="0.25">
      <c r="A1958" t="s">
        <v>10</v>
      </c>
      <c r="B1958" t="s">
        <v>1206</v>
      </c>
      <c r="C1958" t="s">
        <v>2530</v>
      </c>
      <c r="D1958" t="s">
        <v>12</v>
      </c>
      <c r="E1958" t="s">
        <v>2530</v>
      </c>
      <c r="F1958" t="s">
        <v>14</v>
      </c>
      <c r="G1958" t="s">
        <v>28</v>
      </c>
      <c r="H1958" t="s">
        <v>22</v>
      </c>
      <c r="I1958" t="s">
        <v>2819</v>
      </c>
      <c r="J1958" t="s">
        <v>1381</v>
      </c>
      <c r="K1958" t="str">
        <f t="shared" si="270"/>
        <v>5000.13</v>
      </c>
      <c r="N1958" t="str">
        <f t="shared" si="271"/>
        <v>HOLDING REGISTER</v>
      </c>
      <c r="O1958" t="str">
        <f t="shared" si="272"/>
        <v>BOOL</v>
      </c>
      <c r="P1958" t="str">
        <f t="shared" si="273"/>
        <v>PLC SOS 1</v>
      </c>
      <c r="R1958" t="str">
        <f t="shared" si="274"/>
        <v>PLC IN STOP</v>
      </c>
      <c r="U1958" t="str">
        <f t="shared" si="275"/>
        <v>Allarme</v>
      </c>
      <c r="V1958" t="str">
        <f t="shared" si="276"/>
        <v>SOS 1</v>
      </c>
      <c r="W1958" t="str">
        <f t="shared" si="277"/>
        <v>GALLERIA CASOLA</v>
      </c>
      <c r="Z1958" t="str">
        <f t="shared" si="278"/>
        <v>10.220.80.16</v>
      </c>
    </row>
    <row r="1959" spans="1:26" x14ac:dyDescent="0.25">
      <c r="A1959" t="s">
        <v>10</v>
      </c>
      <c r="B1959" t="s">
        <v>1206</v>
      </c>
      <c r="C1959" t="s">
        <v>2530</v>
      </c>
      <c r="D1959" t="s">
        <v>12</v>
      </c>
      <c r="E1959" t="s">
        <v>2530</v>
      </c>
      <c r="F1959" t="s">
        <v>14</v>
      </c>
      <c r="G1959" t="s">
        <v>28</v>
      </c>
      <c r="H1959" t="s">
        <v>22</v>
      </c>
      <c r="I1959" t="s">
        <v>2820</v>
      </c>
      <c r="J1959" t="s">
        <v>1383</v>
      </c>
      <c r="K1959" t="str">
        <f t="shared" si="270"/>
        <v>5000.14</v>
      </c>
      <c r="N1959" t="str">
        <f t="shared" si="271"/>
        <v>HOLDING REGISTER</v>
      </c>
      <c r="O1959" t="str">
        <f t="shared" si="272"/>
        <v>BOOL</v>
      </c>
      <c r="P1959" t="str">
        <f t="shared" si="273"/>
        <v>PLC SOS 1</v>
      </c>
      <c r="R1959" t="str">
        <f t="shared" si="274"/>
        <v>FAULT COMUNICAZIONE ETHERNET</v>
      </c>
      <c r="U1959" t="str">
        <f t="shared" si="275"/>
        <v>Allarme</v>
      </c>
      <c r="V1959" t="str">
        <f t="shared" si="276"/>
        <v>SOS 1</v>
      </c>
      <c r="W1959" t="str">
        <f t="shared" si="277"/>
        <v>GALLERIA CASOLA</v>
      </c>
      <c r="Z1959" t="str">
        <f t="shared" si="278"/>
        <v>10.220.80.16</v>
      </c>
    </row>
    <row r="1960" spans="1:26" x14ac:dyDescent="0.25">
      <c r="A1960" t="s">
        <v>10</v>
      </c>
      <c r="B1960" t="s">
        <v>1206</v>
      </c>
      <c r="C1960" t="s">
        <v>2530</v>
      </c>
      <c r="D1960" t="s">
        <v>1384</v>
      </c>
      <c r="E1960" t="s">
        <v>2530</v>
      </c>
      <c r="F1960" t="s">
        <v>14</v>
      </c>
      <c r="G1960" t="s">
        <v>21</v>
      </c>
      <c r="H1960" t="s">
        <v>22</v>
      </c>
      <c r="I1960" t="s">
        <v>2821</v>
      </c>
      <c r="J1960" t="s">
        <v>1386</v>
      </c>
      <c r="K1960" t="str">
        <f t="shared" si="270"/>
        <v>5000.15</v>
      </c>
      <c r="N1960" t="str">
        <f t="shared" si="271"/>
        <v>HOLDING REGISTER</v>
      </c>
      <c r="O1960" t="str">
        <f t="shared" si="272"/>
        <v>BOOL</v>
      </c>
      <c r="P1960" t="str">
        <f t="shared" si="273"/>
        <v xml:space="preserve">  SOS 1</v>
      </c>
      <c r="R1960" t="str">
        <f t="shared" si="274"/>
        <v>FEEDBACK RESET DA RMT</v>
      </c>
      <c r="U1960" t="str">
        <f t="shared" si="275"/>
        <v>Stato</v>
      </c>
      <c r="V1960" t="str">
        <f t="shared" si="276"/>
        <v>SOS 1</v>
      </c>
      <c r="W1960" t="str">
        <f t="shared" si="277"/>
        <v>GALLERIA CASOLA</v>
      </c>
      <c r="Z1960" t="str">
        <f t="shared" si="278"/>
        <v>10.220.80.16</v>
      </c>
    </row>
    <row r="1961" spans="1:26" x14ac:dyDescent="0.25">
      <c r="A1961" t="s">
        <v>10</v>
      </c>
      <c r="B1961" t="s">
        <v>1206</v>
      </c>
      <c r="C1961" t="s">
        <v>2534</v>
      </c>
      <c r="D1961" t="s">
        <v>1354</v>
      </c>
      <c r="E1961" t="s">
        <v>2534</v>
      </c>
      <c r="F1961" t="s">
        <v>14</v>
      </c>
      <c r="G1961" t="s">
        <v>28</v>
      </c>
      <c r="H1961" t="s">
        <v>22</v>
      </c>
      <c r="I1961" t="s">
        <v>2822</v>
      </c>
      <c r="J1961" t="s">
        <v>1356</v>
      </c>
      <c r="K1961" t="str">
        <f t="shared" si="270"/>
        <v>5001.0</v>
      </c>
      <c r="N1961" t="str">
        <f t="shared" si="271"/>
        <v>HOLDING REGISTER</v>
      </c>
      <c r="O1961" t="str">
        <f t="shared" si="272"/>
        <v>BOOL</v>
      </c>
      <c r="P1961" t="str">
        <f t="shared" si="273"/>
        <v>PULSANTE CHIAMATA SOS 2</v>
      </c>
      <c r="R1961" t="str">
        <f t="shared" si="274"/>
        <v>CHIAMATA 118 EFFETTUATA</v>
      </c>
      <c r="U1961" t="str">
        <f t="shared" si="275"/>
        <v>Allarme</v>
      </c>
      <c r="V1961" t="str">
        <f t="shared" si="276"/>
        <v>SOS 2</v>
      </c>
      <c r="W1961" t="str">
        <f t="shared" si="277"/>
        <v>GALLERIA CASOLA</v>
      </c>
      <c r="Z1961" t="str">
        <f t="shared" si="278"/>
        <v>10.220.80.16</v>
      </c>
    </row>
    <row r="1962" spans="1:26" x14ac:dyDescent="0.25">
      <c r="A1962" t="s">
        <v>10</v>
      </c>
      <c r="B1962" t="s">
        <v>1206</v>
      </c>
      <c r="C1962" t="s">
        <v>2534</v>
      </c>
      <c r="D1962" t="s">
        <v>1354</v>
      </c>
      <c r="E1962" t="s">
        <v>2534</v>
      </c>
      <c r="F1962" t="s">
        <v>14</v>
      </c>
      <c r="G1962" t="s">
        <v>28</v>
      </c>
      <c r="H1962" t="s">
        <v>22</v>
      </c>
      <c r="I1962" t="s">
        <v>2823</v>
      </c>
      <c r="J1962" t="s">
        <v>1358</v>
      </c>
      <c r="K1962" t="str">
        <f t="shared" si="270"/>
        <v>5001.1</v>
      </c>
      <c r="N1962" t="str">
        <f t="shared" si="271"/>
        <v>HOLDING REGISTER</v>
      </c>
      <c r="O1962" t="str">
        <f t="shared" si="272"/>
        <v>BOOL</v>
      </c>
      <c r="P1962" t="str">
        <f t="shared" si="273"/>
        <v>PULSANTE CHIAMATA SOS 2</v>
      </c>
      <c r="R1962" t="str">
        <f t="shared" si="274"/>
        <v>CHIAMATA 113 EFFETTUATA</v>
      </c>
      <c r="U1962" t="str">
        <f t="shared" si="275"/>
        <v>Allarme</v>
      </c>
      <c r="V1962" t="str">
        <f t="shared" si="276"/>
        <v>SOS 2</v>
      </c>
      <c r="W1962" t="str">
        <f t="shared" si="277"/>
        <v>GALLERIA CASOLA</v>
      </c>
      <c r="Z1962" t="str">
        <f t="shared" si="278"/>
        <v>10.220.80.16</v>
      </c>
    </row>
    <row r="1963" spans="1:26" x14ac:dyDescent="0.25">
      <c r="A1963" t="s">
        <v>10</v>
      </c>
      <c r="B1963" t="s">
        <v>1206</v>
      </c>
      <c r="C1963" t="s">
        <v>2534</v>
      </c>
      <c r="D1963" t="s">
        <v>1354</v>
      </c>
      <c r="E1963" t="s">
        <v>2534</v>
      </c>
      <c r="F1963" t="s">
        <v>14</v>
      </c>
      <c r="G1963" t="s">
        <v>28</v>
      </c>
      <c r="H1963" t="s">
        <v>22</v>
      </c>
      <c r="I1963" t="s">
        <v>2824</v>
      </c>
      <c r="J1963" t="s">
        <v>1360</v>
      </c>
      <c r="K1963" t="str">
        <f t="shared" si="270"/>
        <v>5001.2</v>
      </c>
      <c r="N1963" t="str">
        <f t="shared" si="271"/>
        <v>HOLDING REGISTER</v>
      </c>
      <c r="O1963" t="str">
        <f t="shared" si="272"/>
        <v>BOOL</v>
      </c>
      <c r="P1963" t="str">
        <f t="shared" si="273"/>
        <v>PULSANTE CHIAMATA SOS 2</v>
      </c>
      <c r="R1963" t="str">
        <f t="shared" si="274"/>
        <v>CHIAMATA 115 EFFETTUATA</v>
      </c>
      <c r="U1963" t="str">
        <f t="shared" si="275"/>
        <v>Allarme</v>
      </c>
      <c r="V1963" t="str">
        <f t="shared" si="276"/>
        <v>SOS 2</v>
      </c>
      <c r="W1963" t="str">
        <f t="shared" si="277"/>
        <v>GALLERIA CASOLA</v>
      </c>
      <c r="Z1963" t="str">
        <f t="shared" si="278"/>
        <v>10.220.80.16</v>
      </c>
    </row>
    <row r="1964" spans="1:26" x14ac:dyDescent="0.25">
      <c r="A1964" t="s">
        <v>10</v>
      </c>
      <c r="B1964" t="s">
        <v>1206</v>
      </c>
      <c r="C1964" t="s">
        <v>2534</v>
      </c>
      <c r="D1964" t="s">
        <v>1354</v>
      </c>
      <c r="E1964" t="s">
        <v>2534</v>
      </c>
      <c r="F1964" t="s">
        <v>14</v>
      </c>
      <c r="G1964" t="s">
        <v>28</v>
      </c>
      <c r="H1964" t="s">
        <v>22</v>
      </c>
      <c r="I1964" t="s">
        <v>2825</v>
      </c>
      <c r="J1964" t="s">
        <v>1362</v>
      </c>
      <c r="K1964" t="str">
        <f t="shared" si="270"/>
        <v>5001.3</v>
      </c>
      <c r="N1964" t="str">
        <f t="shared" si="271"/>
        <v>HOLDING REGISTER</v>
      </c>
      <c r="O1964" t="str">
        <f t="shared" si="272"/>
        <v>BOOL</v>
      </c>
      <c r="P1964" t="str">
        <f t="shared" si="273"/>
        <v>PULSANTE CHIAMATA SOS 2</v>
      </c>
      <c r="R1964" t="str">
        <f t="shared" si="274"/>
        <v>CHIAMATA SALA CONTROLLO ANAS EFFETTUATA</v>
      </c>
      <c r="U1964" t="str">
        <f t="shared" si="275"/>
        <v>Allarme</v>
      </c>
      <c r="V1964" t="str">
        <f t="shared" si="276"/>
        <v>SOS 2</v>
      </c>
      <c r="W1964" t="str">
        <f t="shared" si="277"/>
        <v>GALLERIA CASOLA</v>
      </c>
      <c r="Z1964" t="str">
        <f t="shared" si="278"/>
        <v>10.220.80.16</v>
      </c>
    </row>
    <row r="1965" spans="1:26" x14ac:dyDescent="0.25">
      <c r="A1965" t="s">
        <v>10</v>
      </c>
      <c r="B1965" t="s">
        <v>1206</v>
      </c>
      <c r="C1965" t="s">
        <v>2534</v>
      </c>
      <c r="D1965" t="s">
        <v>1363</v>
      </c>
      <c r="E1965" t="s">
        <v>2534</v>
      </c>
      <c r="F1965" t="s">
        <v>14</v>
      </c>
      <c r="G1965" t="s">
        <v>28</v>
      </c>
      <c r="H1965" t="s">
        <v>22</v>
      </c>
      <c r="I1965" t="s">
        <v>2826</v>
      </c>
      <c r="J1965" t="s">
        <v>1365</v>
      </c>
      <c r="K1965" t="str">
        <f t="shared" si="270"/>
        <v>5001.4</v>
      </c>
      <c r="N1965" t="str">
        <f t="shared" si="271"/>
        <v>HOLDING REGISTER</v>
      </c>
      <c r="O1965" t="str">
        <f t="shared" si="272"/>
        <v>BOOL</v>
      </c>
      <c r="P1965" t="str">
        <f t="shared" si="273"/>
        <v>ESTINTORE SOS 2</v>
      </c>
      <c r="R1965" t="str">
        <f t="shared" si="274"/>
        <v>ESTINTORE PRELEVATO 1</v>
      </c>
      <c r="U1965" t="str">
        <f t="shared" si="275"/>
        <v>Allarme</v>
      </c>
      <c r="V1965" t="str">
        <f t="shared" si="276"/>
        <v>SOS 2</v>
      </c>
      <c r="W1965" t="str">
        <f t="shared" si="277"/>
        <v>GALLERIA CASOLA</v>
      </c>
      <c r="Z1965" t="str">
        <f t="shared" si="278"/>
        <v>10.220.80.16</v>
      </c>
    </row>
    <row r="1966" spans="1:26" x14ac:dyDescent="0.25">
      <c r="A1966" t="s">
        <v>10</v>
      </c>
      <c r="B1966" t="s">
        <v>1206</v>
      </c>
      <c r="C1966" t="s">
        <v>2534</v>
      </c>
      <c r="D1966" t="s">
        <v>1363</v>
      </c>
      <c r="E1966" t="s">
        <v>2534</v>
      </c>
      <c r="F1966" t="s">
        <v>14</v>
      </c>
      <c r="G1966" t="s">
        <v>28</v>
      </c>
      <c r="H1966" t="s">
        <v>22</v>
      </c>
      <c r="I1966" t="s">
        <v>2827</v>
      </c>
      <c r="J1966" t="s">
        <v>1367</v>
      </c>
      <c r="K1966" t="str">
        <f t="shared" si="270"/>
        <v>5001.5</v>
      </c>
      <c r="N1966" t="str">
        <f t="shared" si="271"/>
        <v>HOLDING REGISTER</v>
      </c>
      <c r="O1966" t="str">
        <f t="shared" si="272"/>
        <v>BOOL</v>
      </c>
      <c r="P1966" t="str">
        <f t="shared" si="273"/>
        <v>ESTINTORE SOS 2</v>
      </c>
      <c r="R1966" t="str">
        <f t="shared" si="274"/>
        <v>ESTINTORE PRELEVATO 2</v>
      </c>
      <c r="U1966" t="str">
        <f t="shared" si="275"/>
        <v>Allarme</v>
      </c>
      <c r="V1966" t="str">
        <f t="shared" si="276"/>
        <v>SOS 2</v>
      </c>
      <c r="W1966" t="str">
        <f t="shared" si="277"/>
        <v>GALLERIA CASOLA</v>
      </c>
      <c r="Z1966" t="str">
        <f t="shared" si="278"/>
        <v>10.220.80.16</v>
      </c>
    </row>
    <row r="1967" spans="1:26" x14ac:dyDescent="0.25">
      <c r="A1967" t="s">
        <v>10</v>
      </c>
      <c r="B1967" t="s">
        <v>1206</v>
      </c>
      <c r="C1967" t="s">
        <v>2534</v>
      </c>
      <c r="D1967" t="s">
        <v>1368</v>
      </c>
      <c r="E1967" t="s">
        <v>2534</v>
      </c>
      <c r="F1967" t="s">
        <v>14</v>
      </c>
      <c r="G1967" t="s">
        <v>28</v>
      </c>
      <c r="H1967" t="s">
        <v>22</v>
      </c>
      <c r="I1967" t="s">
        <v>2828</v>
      </c>
      <c r="J1967" t="s">
        <v>1370</v>
      </c>
      <c r="K1967" t="str">
        <f t="shared" si="270"/>
        <v>5001.6</v>
      </c>
      <c r="N1967" t="str">
        <f t="shared" si="271"/>
        <v>HOLDING REGISTER</v>
      </c>
      <c r="O1967" t="str">
        <f t="shared" si="272"/>
        <v>BOOL</v>
      </c>
      <c r="P1967" t="str">
        <f t="shared" si="273"/>
        <v>PORTA SOS 2</v>
      </c>
      <c r="R1967" t="str">
        <f t="shared" si="274"/>
        <v>MANICHETTA PRELEVATA</v>
      </c>
      <c r="U1967" t="str">
        <f t="shared" si="275"/>
        <v>Allarme</v>
      </c>
      <c r="V1967" t="str">
        <f t="shared" si="276"/>
        <v>SOS 2</v>
      </c>
      <c r="W1967" t="str">
        <f t="shared" si="277"/>
        <v>GALLERIA CASOLA</v>
      </c>
      <c r="Z1967" t="str">
        <f t="shared" si="278"/>
        <v>10.220.80.16</v>
      </c>
    </row>
    <row r="1968" spans="1:26" x14ac:dyDescent="0.25">
      <c r="A1968" t="s">
        <v>10</v>
      </c>
      <c r="B1968" t="s">
        <v>1206</v>
      </c>
      <c r="C1968" t="s">
        <v>2534</v>
      </c>
      <c r="D1968" t="s">
        <v>1368</v>
      </c>
      <c r="E1968" t="s">
        <v>2534</v>
      </c>
      <c r="F1968" t="s">
        <v>14</v>
      </c>
      <c r="G1968" t="s">
        <v>28</v>
      </c>
      <c r="H1968" t="s">
        <v>22</v>
      </c>
      <c r="I1968" t="s">
        <v>2829</v>
      </c>
      <c r="J1968" t="s">
        <v>1372</v>
      </c>
      <c r="K1968" t="str">
        <f t="shared" si="270"/>
        <v>5001.7</v>
      </c>
      <c r="N1968" t="str">
        <f t="shared" si="271"/>
        <v>HOLDING REGISTER</v>
      </c>
      <c r="O1968" t="str">
        <f t="shared" si="272"/>
        <v>BOOL</v>
      </c>
      <c r="P1968" t="str">
        <f t="shared" si="273"/>
        <v>PORTA SOS 2</v>
      </c>
      <c r="R1968" t="str">
        <f t="shared" si="274"/>
        <v>PORTA TELEFONO VOIP APERTA</v>
      </c>
      <c r="U1968" t="str">
        <f t="shared" si="275"/>
        <v>Allarme</v>
      </c>
      <c r="V1968" t="str">
        <f t="shared" si="276"/>
        <v>SOS 2</v>
      </c>
      <c r="W1968" t="str">
        <f t="shared" si="277"/>
        <v>GALLERIA CASOLA</v>
      </c>
      <c r="Z1968" t="str">
        <f t="shared" si="278"/>
        <v>10.220.80.16</v>
      </c>
    </row>
    <row r="1969" spans="1:26" x14ac:dyDescent="0.25">
      <c r="A1969" t="s">
        <v>10</v>
      </c>
      <c r="B1969" t="s">
        <v>1206</v>
      </c>
      <c r="C1969" t="s">
        <v>2534</v>
      </c>
      <c r="D1969" t="s">
        <v>1368</v>
      </c>
      <c r="E1969" t="s">
        <v>2534</v>
      </c>
      <c r="F1969" t="s">
        <v>14</v>
      </c>
      <c r="G1969" t="s">
        <v>28</v>
      </c>
      <c r="H1969" t="s">
        <v>22</v>
      </c>
      <c r="I1969" t="s">
        <v>2830</v>
      </c>
      <c r="J1969" t="s">
        <v>1374</v>
      </c>
      <c r="K1969" t="str">
        <f t="shared" si="270"/>
        <v>5001.8</v>
      </c>
      <c r="N1969" t="str">
        <f t="shared" si="271"/>
        <v>HOLDING REGISTER</v>
      </c>
      <c r="O1969" t="str">
        <f t="shared" si="272"/>
        <v>BOOL</v>
      </c>
      <c r="P1969" t="str">
        <f t="shared" si="273"/>
        <v>PORTA SOS 2</v>
      </c>
      <c r="R1969" t="str">
        <f t="shared" si="274"/>
        <v>PORTA VANO TECNICO APERTA</v>
      </c>
      <c r="U1969" t="str">
        <f t="shared" si="275"/>
        <v>Allarme</v>
      </c>
      <c r="V1969" t="str">
        <f t="shared" si="276"/>
        <v>SOS 2</v>
      </c>
      <c r="W1969" t="str">
        <f t="shared" si="277"/>
        <v>GALLERIA CASOLA</v>
      </c>
      <c r="Z1969" t="str">
        <f t="shared" si="278"/>
        <v>10.220.80.16</v>
      </c>
    </row>
    <row r="1970" spans="1:26" x14ac:dyDescent="0.25">
      <c r="A1970" t="s">
        <v>10</v>
      </c>
      <c r="B1970" t="s">
        <v>1206</v>
      </c>
      <c r="C1970" t="s">
        <v>2534</v>
      </c>
      <c r="D1970" t="s">
        <v>1375</v>
      </c>
      <c r="E1970" t="s">
        <v>2534</v>
      </c>
      <c r="F1970" t="s">
        <v>14</v>
      </c>
      <c r="G1970" t="s">
        <v>1375</v>
      </c>
      <c r="H1970" t="s">
        <v>22</v>
      </c>
      <c r="I1970" t="s">
        <v>2831</v>
      </c>
      <c r="J1970" t="s">
        <v>1375</v>
      </c>
      <c r="K1970" t="str">
        <f t="shared" si="270"/>
        <v>5001.9</v>
      </c>
      <c r="N1970" t="str">
        <f t="shared" si="271"/>
        <v>HOLDING REGISTER</v>
      </c>
      <c r="O1970" t="str">
        <f t="shared" si="272"/>
        <v>BOOL</v>
      </c>
      <c r="P1970" t="str">
        <f t="shared" si="273"/>
        <v>disponibile SOS 2</v>
      </c>
      <c r="R1970" t="str">
        <f t="shared" si="274"/>
        <v>disponibile</v>
      </c>
      <c r="U1970" t="str">
        <f t="shared" si="275"/>
        <v>disponibile</v>
      </c>
      <c r="V1970" t="str">
        <f t="shared" si="276"/>
        <v>SOS 2</v>
      </c>
      <c r="W1970" t="str">
        <f t="shared" si="277"/>
        <v>GALLERIA CASOLA</v>
      </c>
      <c r="Z1970" t="str">
        <f t="shared" si="278"/>
        <v>10.220.80.16</v>
      </c>
    </row>
    <row r="1971" spans="1:26" x14ac:dyDescent="0.25">
      <c r="A1971" t="s">
        <v>10</v>
      </c>
      <c r="B1971" t="s">
        <v>1206</v>
      </c>
      <c r="C1971" t="s">
        <v>2534</v>
      </c>
      <c r="D1971" t="s">
        <v>1375</v>
      </c>
      <c r="E1971" t="s">
        <v>2534</v>
      </c>
      <c r="F1971" t="s">
        <v>14</v>
      </c>
      <c r="G1971" t="s">
        <v>1375</v>
      </c>
      <c r="H1971" t="s">
        <v>22</v>
      </c>
      <c r="I1971" t="s">
        <v>2832</v>
      </c>
      <c r="J1971" t="s">
        <v>1375</v>
      </c>
      <c r="K1971" t="str">
        <f t="shared" si="270"/>
        <v>5001.10</v>
      </c>
      <c r="N1971" t="str">
        <f t="shared" si="271"/>
        <v>HOLDING REGISTER</v>
      </c>
      <c r="O1971" t="str">
        <f t="shared" si="272"/>
        <v>BOOL</v>
      </c>
      <c r="P1971" t="str">
        <f t="shared" si="273"/>
        <v>disponibile SOS 2</v>
      </c>
      <c r="R1971" t="str">
        <f t="shared" si="274"/>
        <v>disponibile</v>
      </c>
      <c r="U1971" t="str">
        <f t="shared" si="275"/>
        <v>disponibile</v>
      </c>
      <c r="V1971" t="str">
        <f t="shared" si="276"/>
        <v>SOS 2</v>
      </c>
      <c r="W1971" t="str">
        <f t="shared" si="277"/>
        <v>GALLERIA CASOLA</v>
      </c>
      <c r="Z1971" t="str">
        <f t="shared" si="278"/>
        <v>10.220.80.16</v>
      </c>
    </row>
    <row r="1972" spans="1:26" x14ac:dyDescent="0.25">
      <c r="A1972" t="s">
        <v>10</v>
      </c>
      <c r="B1972" t="s">
        <v>1206</v>
      </c>
      <c r="C1972" t="s">
        <v>2534</v>
      </c>
      <c r="D1972" t="s">
        <v>1375</v>
      </c>
      <c r="E1972" t="s">
        <v>2534</v>
      </c>
      <c r="F1972" t="s">
        <v>14</v>
      </c>
      <c r="G1972" t="s">
        <v>1375</v>
      </c>
      <c r="H1972" t="s">
        <v>22</v>
      </c>
      <c r="I1972" t="s">
        <v>2833</v>
      </c>
      <c r="J1972" t="s">
        <v>1375</v>
      </c>
      <c r="K1972" t="str">
        <f t="shared" si="270"/>
        <v>5001.11</v>
      </c>
      <c r="N1972" t="str">
        <f t="shared" si="271"/>
        <v>HOLDING REGISTER</v>
      </c>
      <c r="O1972" t="str">
        <f t="shared" si="272"/>
        <v>BOOL</v>
      </c>
      <c r="P1972" t="str">
        <f t="shared" si="273"/>
        <v>disponibile SOS 2</v>
      </c>
      <c r="R1972" t="str">
        <f t="shared" si="274"/>
        <v>disponibile</v>
      </c>
      <c r="U1972" t="str">
        <f t="shared" si="275"/>
        <v>disponibile</v>
      </c>
      <c r="V1972" t="str">
        <f t="shared" si="276"/>
        <v>SOS 2</v>
      </c>
      <c r="W1972" t="str">
        <f t="shared" si="277"/>
        <v>GALLERIA CASOLA</v>
      </c>
      <c r="Z1972" t="str">
        <f t="shared" si="278"/>
        <v>10.220.80.16</v>
      </c>
    </row>
    <row r="1973" spans="1:26" x14ac:dyDescent="0.25">
      <c r="A1973" t="s">
        <v>10</v>
      </c>
      <c r="B1973" t="s">
        <v>1206</v>
      </c>
      <c r="C1973" t="s">
        <v>2534</v>
      </c>
      <c r="D1973" t="s">
        <v>1375</v>
      </c>
      <c r="E1973" t="s">
        <v>2534</v>
      </c>
      <c r="F1973" t="s">
        <v>14</v>
      </c>
      <c r="G1973" t="s">
        <v>1375</v>
      </c>
      <c r="H1973" t="s">
        <v>22</v>
      </c>
      <c r="I1973" t="s">
        <v>2834</v>
      </c>
      <c r="J1973" t="s">
        <v>1375</v>
      </c>
      <c r="K1973" t="str">
        <f t="shared" si="270"/>
        <v>5001.12</v>
      </c>
      <c r="N1973" t="str">
        <f t="shared" si="271"/>
        <v>HOLDING REGISTER</v>
      </c>
      <c r="O1973" t="str">
        <f t="shared" si="272"/>
        <v>BOOL</v>
      </c>
      <c r="P1973" t="str">
        <f t="shared" si="273"/>
        <v>disponibile SOS 2</v>
      </c>
      <c r="R1973" t="str">
        <f t="shared" si="274"/>
        <v>disponibile</v>
      </c>
      <c r="U1973" t="str">
        <f t="shared" si="275"/>
        <v>disponibile</v>
      </c>
      <c r="V1973" t="str">
        <f t="shared" si="276"/>
        <v>SOS 2</v>
      </c>
      <c r="W1973" t="str">
        <f t="shared" si="277"/>
        <v>GALLERIA CASOLA</v>
      </c>
      <c r="Z1973" t="str">
        <f t="shared" si="278"/>
        <v>10.220.80.16</v>
      </c>
    </row>
    <row r="1974" spans="1:26" x14ac:dyDescent="0.25">
      <c r="A1974" t="s">
        <v>10</v>
      </c>
      <c r="B1974" t="s">
        <v>1206</v>
      </c>
      <c r="C1974" t="s">
        <v>2534</v>
      </c>
      <c r="D1974" t="s">
        <v>12</v>
      </c>
      <c r="E1974" t="s">
        <v>2534</v>
      </c>
      <c r="F1974" t="s">
        <v>14</v>
      </c>
      <c r="G1974" t="s">
        <v>28</v>
      </c>
      <c r="H1974" t="s">
        <v>22</v>
      </c>
      <c r="I1974" t="s">
        <v>2835</v>
      </c>
      <c r="J1974" t="s">
        <v>1381</v>
      </c>
      <c r="K1974" t="str">
        <f t="shared" si="270"/>
        <v>5001.13</v>
      </c>
      <c r="N1974" t="str">
        <f t="shared" si="271"/>
        <v>HOLDING REGISTER</v>
      </c>
      <c r="O1974" t="str">
        <f t="shared" si="272"/>
        <v>BOOL</v>
      </c>
      <c r="P1974" t="str">
        <f t="shared" si="273"/>
        <v>PLC SOS 2</v>
      </c>
      <c r="R1974" t="str">
        <f t="shared" si="274"/>
        <v>PLC IN STOP</v>
      </c>
      <c r="U1974" t="str">
        <f t="shared" si="275"/>
        <v>Allarme</v>
      </c>
      <c r="V1974" t="str">
        <f t="shared" si="276"/>
        <v>SOS 2</v>
      </c>
      <c r="W1974" t="str">
        <f t="shared" si="277"/>
        <v>GALLERIA CASOLA</v>
      </c>
      <c r="Z1974" t="str">
        <f t="shared" si="278"/>
        <v>10.220.80.16</v>
      </c>
    </row>
    <row r="1975" spans="1:26" x14ac:dyDescent="0.25">
      <c r="A1975" t="s">
        <v>10</v>
      </c>
      <c r="B1975" t="s">
        <v>1206</v>
      </c>
      <c r="C1975" t="s">
        <v>2534</v>
      </c>
      <c r="D1975" t="s">
        <v>12</v>
      </c>
      <c r="E1975" t="s">
        <v>2534</v>
      </c>
      <c r="F1975" t="s">
        <v>14</v>
      </c>
      <c r="G1975" t="s">
        <v>28</v>
      </c>
      <c r="H1975" t="s">
        <v>22</v>
      </c>
      <c r="I1975" t="s">
        <v>2836</v>
      </c>
      <c r="J1975" t="s">
        <v>1383</v>
      </c>
      <c r="K1975" t="str">
        <f t="shared" si="270"/>
        <v>5001.14</v>
      </c>
      <c r="N1975" t="str">
        <f t="shared" si="271"/>
        <v>HOLDING REGISTER</v>
      </c>
      <c r="O1975" t="str">
        <f t="shared" si="272"/>
        <v>BOOL</v>
      </c>
      <c r="P1975" t="str">
        <f t="shared" si="273"/>
        <v>PLC SOS 2</v>
      </c>
      <c r="R1975" t="str">
        <f t="shared" si="274"/>
        <v>FAULT COMUNICAZIONE ETHERNET</v>
      </c>
      <c r="U1975" t="str">
        <f t="shared" si="275"/>
        <v>Allarme</v>
      </c>
      <c r="V1975" t="str">
        <f t="shared" si="276"/>
        <v>SOS 2</v>
      </c>
      <c r="W1975" t="str">
        <f t="shared" si="277"/>
        <v>GALLERIA CASOLA</v>
      </c>
      <c r="Z1975" t="str">
        <f t="shared" si="278"/>
        <v>10.220.80.16</v>
      </c>
    </row>
    <row r="1976" spans="1:26" x14ac:dyDescent="0.25">
      <c r="A1976" t="s">
        <v>10</v>
      </c>
      <c r="B1976" t="s">
        <v>1206</v>
      </c>
      <c r="C1976" t="s">
        <v>2534</v>
      </c>
      <c r="D1976" t="s">
        <v>1384</v>
      </c>
      <c r="E1976" t="s">
        <v>2534</v>
      </c>
      <c r="F1976" t="s">
        <v>14</v>
      </c>
      <c r="G1976" t="s">
        <v>21</v>
      </c>
      <c r="H1976" t="s">
        <v>22</v>
      </c>
      <c r="I1976" t="s">
        <v>2837</v>
      </c>
      <c r="J1976" t="s">
        <v>1386</v>
      </c>
      <c r="K1976" t="str">
        <f t="shared" si="270"/>
        <v>5001.15</v>
      </c>
      <c r="N1976" t="str">
        <f t="shared" si="271"/>
        <v>HOLDING REGISTER</v>
      </c>
      <c r="O1976" t="str">
        <f t="shared" si="272"/>
        <v>BOOL</v>
      </c>
      <c r="P1976" t="str">
        <f t="shared" si="273"/>
        <v xml:space="preserve">  SOS 2</v>
      </c>
      <c r="R1976" t="str">
        <f t="shared" si="274"/>
        <v>FEEDBACK RESET DA RMT</v>
      </c>
      <c r="U1976" t="str">
        <f t="shared" si="275"/>
        <v>Stato</v>
      </c>
      <c r="V1976" t="str">
        <f t="shared" si="276"/>
        <v>SOS 2</v>
      </c>
      <c r="W1976" t="str">
        <f t="shared" si="277"/>
        <v>GALLERIA CASOLA</v>
      </c>
      <c r="Z1976" t="str">
        <f t="shared" si="278"/>
        <v>10.220.80.16</v>
      </c>
    </row>
    <row r="1977" spans="1:26" x14ac:dyDescent="0.25">
      <c r="A1977" t="s">
        <v>10</v>
      </c>
      <c r="B1977" t="s">
        <v>1206</v>
      </c>
      <c r="C1977" t="s">
        <v>2537</v>
      </c>
      <c r="D1977" t="s">
        <v>1354</v>
      </c>
      <c r="E1977" t="s">
        <v>2537</v>
      </c>
      <c r="F1977" t="s">
        <v>14</v>
      </c>
      <c r="G1977" t="s">
        <v>28</v>
      </c>
      <c r="H1977" t="s">
        <v>22</v>
      </c>
      <c r="I1977" t="s">
        <v>2838</v>
      </c>
      <c r="J1977" t="s">
        <v>1356</v>
      </c>
      <c r="K1977" t="str">
        <f t="shared" si="270"/>
        <v>5002.0</v>
      </c>
      <c r="N1977" t="str">
        <f t="shared" si="271"/>
        <v>HOLDING REGISTER</v>
      </c>
      <c r="O1977" t="str">
        <f t="shared" si="272"/>
        <v>BOOL</v>
      </c>
      <c r="P1977" t="str">
        <f t="shared" si="273"/>
        <v>PULSANTE CHIAMATA SOS 3</v>
      </c>
      <c r="R1977" t="str">
        <f t="shared" si="274"/>
        <v>CHIAMATA 118 EFFETTUATA</v>
      </c>
      <c r="U1977" t="str">
        <f t="shared" si="275"/>
        <v>Allarme</v>
      </c>
      <c r="V1977" t="str">
        <f t="shared" si="276"/>
        <v>SOS 3</v>
      </c>
      <c r="W1977" t="str">
        <f t="shared" si="277"/>
        <v>GALLERIA CASOLA</v>
      </c>
      <c r="Z1977" t="str">
        <f t="shared" si="278"/>
        <v>10.220.80.16</v>
      </c>
    </row>
    <row r="1978" spans="1:26" x14ac:dyDescent="0.25">
      <c r="A1978" t="s">
        <v>10</v>
      </c>
      <c r="B1978" t="s">
        <v>1206</v>
      </c>
      <c r="C1978" t="s">
        <v>2537</v>
      </c>
      <c r="D1978" t="s">
        <v>1354</v>
      </c>
      <c r="E1978" t="s">
        <v>2537</v>
      </c>
      <c r="F1978" t="s">
        <v>14</v>
      </c>
      <c r="G1978" t="s">
        <v>28</v>
      </c>
      <c r="H1978" t="s">
        <v>22</v>
      </c>
      <c r="I1978" t="s">
        <v>2839</v>
      </c>
      <c r="J1978" t="s">
        <v>1358</v>
      </c>
      <c r="K1978" t="str">
        <f t="shared" si="270"/>
        <v>5002.1</v>
      </c>
      <c r="N1978" t="str">
        <f t="shared" si="271"/>
        <v>HOLDING REGISTER</v>
      </c>
      <c r="O1978" t="str">
        <f t="shared" si="272"/>
        <v>BOOL</v>
      </c>
      <c r="P1978" t="str">
        <f t="shared" si="273"/>
        <v>PULSANTE CHIAMATA SOS 3</v>
      </c>
      <c r="R1978" t="str">
        <f t="shared" si="274"/>
        <v>CHIAMATA 113 EFFETTUATA</v>
      </c>
      <c r="U1978" t="str">
        <f t="shared" si="275"/>
        <v>Allarme</v>
      </c>
      <c r="V1978" t="str">
        <f t="shared" si="276"/>
        <v>SOS 3</v>
      </c>
      <c r="W1978" t="str">
        <f t="shared" si="277"/>
        <v>GALLERIA CASOLA</v>
      </c>
      <c r="Z1978" t="str">
        <f t="shared" si="278"/>
        <v>10.220.80.16</v>
      </c>
    </row>
    <row r="1979" spans="1:26" x14ac:dyDescent="0.25">
      <c r="A1979" t="s">
        <v>10</v>
      </c>
      <c r="B1979" t="s">
        <v>1206</v>
      </c>
      <c r="C1979" t="s">
        <v>2537</v>
      </c>
      <c r="D1979" t="s">
        <v>1354</v>
      </c>
      <c r="E1979" t="s">
        <v>2537</v>
      </c>
      <c r="F1979" t="s">
        <v>14</v>
      </c>
      <c r="G1979" t="s">
        <v>28</v>
      </c>
      <c r="H1979" t="s">
        <v>22</v>
      </c>
      <c r="I1979" t="s">
        <v>2840</v>
      </c>
      <c r="J1979" t="s">
        <v>1360</v>
      </c>
      <c r="K1979" t="str">
        <f t="shared" si="270"/>
        <v>5002.2</v>
      </c>
      <c r="N1979" t="str">
        <f t="shared" si="271"/>
        <v>HOLDING REGISTER</v>
      </c>
      <c r="O1979" t="str">
        <f t="shared" si="272"/>
        <v>BOOL</v>
      </c>
      <c r="P1979" t="str">
        <f t="shared" si="273"/>
        <v>PULSANTE CHIAMATA SOS 3</v>
      </c>
      <c r="R1979" t="str">
        <f t="shared" si="274"/>
        <v>CHIAMATA 115 EFFETTUATA</v>
      </c>
      <c r="U1979" t="str">
        <f t="shared" si="275"/>
        <v>Allarme</v>
      </c>
      <c r="V1979" t="str">
        <f t="shared" si="276"/>
        <v>SOS 3</v>
      </c>
      <c r="W1979" t="str">
        <f t="shared" si="277"/>
        <v>GALLERIA CASOLA</v>
      </c>
      <c r="Z1979" t="str">
        <f t="shared" si="278"/>
        <v>10.220.80.16</v>
      </c>
    </row>
    <row r="1980" spans="1:26" x14ac:dyDescent="0.25">
      <c r="A1980" t="s">
        <v>10</v>
      </c>
      <c r="B1980" t="s">
        <v>1206</v>
      </c>
      <c r="C1980" t="s">
        <v>2537</v>
      </c>
      <c r="D1980" t="s">
        <v>1354</v>
      </c>
      <c r="E1980" t="s">
        <v>2537</v>
      </c>
      <c r="F1980" t="s">
        <v>14</v>
      </c>
      <c r="G1980" t="s">
        <v>28</v>
      </c>
      <c r="H1980" t="s">
        <v>22</v>
      </c>
      <c r="I1980" t="s">
        <v>2841</v>
      </c>
      <c r="J1980" t="s">
        <v>1362</v>
      </c>
      <c r="K1980" t="str">
        <f t="shared" si="270"/>
        <v>5002.3</v>
      </c>
      <c r="N1980" t="str">
        <f t="shared" si="271"/>
        <v>HOLDING REGISTER</v>
      </c>
      <c r="O1980" t="str">
        <f t="shared" si="272"/>
        <v>BOOL</v>
      </c>
      <c r="P1980" t="str">
        <f t="shared" si="273"/>
        <v>PULSANTE CHIAMATA SOS 3</v>
      </c>
      <c r="R1980" t="str">
        <f t="shared" si="274"/>
        <v>CHIAMATA SALA CONTROLLO ANAS EFFETTUATA</v>
      </c>
      <c r="U1980" t="str">
        <f t="shared" si="275"/>
        <v>Allarme</v>
      </c>
      <c r="V1980" t="str">
        <f t="shared" si="276"/>
        <v>SOS 3</v>
      </c>
      <c r="W1980" t="str">
        <f t="shared" si="277"/>
        <v>GALLERIA CASOLA</v>
      </c>
      <c r="Z1980" t="str">
        <f t="shared" si="278"/>
        <v>10.220.80.16</v>
      </c>
    </row>
    <row r="1981" spans="1:26" x14ac:dyDescent="0.25">
      <c r="A1981" t="s">
        <v>10</v>
      </c>
      <c r="B1981" t="s">
        <v>1206</v>
      </c>
      <c r="C1981" t="s">
        <v>2537</v>
      </c>
      <c r="D1981" t="s">
        <v>1363</v>
      </c>
      <c r="E1981" t="s">
        <v>2537</v>
      </c>
      <c r="F1981" t="s">
        <v>14</v>
      </c>
      <c r="G1981" t="s">
        <v>28</v>
      </c>
      <c r="H1981" t="s">
        <v>22</v>
      </c>
      <c r="I1981" t="s">
        <v>2842</v>
      </c>
      <c r="J1981" t="s">
        <v>1365</v>
      </c>
      <c r="K1981" t="str">
        <f t="shared" si="270"/>
        <v>5002.4</v>
      </c>
      <c r="N1981" t="str">
        <f t="shared" si="271"/>
        <v>HOLDING REGISTER</v>
      </c>
      <c r="O1981" t="str">
        <f t="shared" si="272"/>
        <v>BOOL</v>
      </c>
      <c r="P1981" t="str">
        <f t="shared" si="273"/>
        <v>ESTINTORE SOS 3</v>
      </c>
      <c r="R1981" t="str">
        <f t="shared" si="274"/>
        <v>ESTINTORE PRELEVATO 1</v>
      </c>
      <c r="U1981" t="str">
        <f t="shared" si="275"/>
        <v>Allarme</v>
      </c>
      <c r="V1981" t="str">
        <f t="shared" si="276"/>
        <v>SOS 3</v>
      </c>
      <c r="W1981" t="str">
        <f t="shared" si="277"/>
        <v>GALLERIA CASOLA</v>
      </c>
      <c r="Z1981" t="str">
        <f t="shared" si="278"/>
        <v>10.220.80.16</v>
      </c>
    </row>
    <row r="1982" spans="1:26" x14ac:dyDescent="0.25">
      <c r="A1982" t="s">
        <v>10</v>
      </c>
      <c r="B1982" t="s">
        <v>1206</v>
      </c>
      <c r="C1982" t="s">
        <v>2537</v>
      </c>
      <c r="D1982" t="s">
        <v>1363</v>
      </c>
      <c r="E1982" t="s">
        <v>2537</v>
      </c>
      <c r="F1982" t="s">
        <v>14</v>
      </c>
      <c r="G1982" t="s">
        <v>28</v>
      </c>
      <c r="H1982" t="s">
        <v>22</v>
      </c>
      <c r="I1982" t="s">
        <v>2843</v>
      </c>
      <c r="J1982" t="s">
        <v>1367</v>
      </c>
      <c r="K1982" t="str">
        <f t="shared" si="270"/>
        <v>5002.5</v>
      </c>
      <c r="N1982" t="str">
        <f t="shared" si="271"/>
        <v>HOLDING REGISTER</v>
      </c>
      <c r="O1982" t="str">
        <f t="shared" si="272"/>
        <v>BOOL</v>
      </c>
      <c r="P1982" t="str">
        <f t="shared" si="273"/>
        <v>ESTINTORE SOS 3</v>
      </c>
      <c r="R1982" t="str">
        <f t="shared" si="274"/>
        <v>ESTINTORE PRELEVATO 2</v>
      </c>
      <c r="U1982" t="str">
        <f t="shared" si="275"/>
        <v>Allarme</v>
      </c>
      <c r="V1982" t="str">
        <f t="shared" si="276"/>
        <v>SOS 3</v>
      </c>
      <c r="W1982" t="str">
        <f t="shared" si="277"/>
        <v>GALLERIA CASOLA</v>
      </c>
      <c r="Z1982" t="str">
        <f t="shared" si="278"/>
        <v>10.220.80.16</v>
      </c>
    </row>
    <row r="1983" spans="1:26" x14ac:dyDescent="0.25">
      <c r="A1983" t="s">
        <v>10</v>
      </c>
      <c r="B1983" t="s">
        <v>1206</v>
      </c>
      <c r="C1983" t="s">
        <v>2537</v>
      </c>
      <c r="D1983" t="s">
        <v>1368</v>
      </c>
      <c r="E1983" t="s">
        <v>2537</v>
      </c>
      <c r="F1983" t="s">
        <v>14</v>
      </c>
      <c r="G1983" t="s">
        <v>28</v>
      </c>
      <c r="H1983" t="s">
        <v>22</v>
      </c>
      <c r="I1983" t="s">
        <v>2844</v>
      </c>
      <c r="J1983" t="s">
        <v>1370</v>
      </c>
      <c r="K1983" t="str">
        <f t="shared" si="270"/>
        <v>5002.6</v>
      </c>
      <c r="N1983" t="str">
        <f t="shared" si="271"/>
        <v>HOLDING REGISTER</v>
      </c>
      <c r="O1983" t="str">
        <f t="shared" si="272"/>
        <v>BOOL</v>
      </c>
      <c r="P1983" t="str">
        <f t="shared" si="273"/>
        <v>PORTA SOS 3</v>
      </c>
      <c r="R1983" t="str">
        <f t="shared" si="274"/>
        <v>MANICHETTA PRELEVATA</v>
      </c>
      <c r="U1983" t="str">
        <f t="shared" si="275"/>
        <v>Allarme</v>
      </c>
      <c r="V1983" t="str">
        <f t="shared" si="276"/>
        <v>SOS 3</v>
      </c>
      <c r="W1983" t="str">
        <f t="shared" si="277"/>
        <v>GALLERIA CASOLA</v>
      </c>
      <c r="Z1983" t="str">
        <f t="shared" si="278"/>
        <v>10.220.80.16</v>
      </c>
    </row>
    <row r="1984" spans="1:26" x14ac:dyDescent="0.25">
      <c r="A1984" t="s">
        <v>10</v>
      </c>
      <c r="B1984" t="s">
        <v>1206</v>
      </c>
      <c r="C1984" t="s">
        <v>2537</v>
      </c>
      <c r="D1984" t="s">
        <v>1368</v>
      </c>
      <c r="E1984" t="s">
        <v>2537</v>
      </c>
      <c r="F1984" t="s">
        <v>14</v>
      </c>
      <c r="G1984" t="s">
        <v>28</v>
      </c>
      <c r="H1984" t="s">
        <v>22</v>
      </c>
      <c r="I1984" t="s">
        <v>2845</v>
      </c>
      <c r="J1984" t="s">
        <v>1372</v>
      </c>
      <c r="K1984" t="str">
        <f t="shared" si="270"/>
        <v>5002.7</v>
      </c>
      <c r="N1984" t="str">
        <f t="shared" si="271"/>
        <v>HOLDING REGISTER</v>
      </c>
      <c r="O1984" t="str">
        <f t="shared" si="272"/>
        <v>BOOL</v>
      </c>
      <c r="P1984" t="str">
        <f t="shared" si="273"/>
        <v>PORTA SOS 3</v>
      </c>
      <c r="R1984" t="str">
        <f t="shared" si="274"/>
        <v>PORTA TELEFONO VOIP APERTA</v>
      </c>
      <c r="U1984" t="str">
        <f t="shared" si="275"/>
        <v>Allarme</v>
      </c>
      <c r="V1984" t="str">
        <f t="shared" si="276"/>
        <v>SOS 3</v>
      </c>
      <c r="W1984" t="str">
        <f t="shared" si="277"/>
        <v>GALLERIA CASOLA</v>
      </c>
      <c r="Z1984" t="str">
        <f t="shared" si="278"/>
        <v>10.220.80.16</v>
      </c>
    </row>
    <row r="1985" spans="1:26" x14ac:dyDescent="0.25">
      <c r="A1985" t="s">
        <v>10</v>
      </c>
      <c r="B1985" t="s">
        <v>1206</v>
      </c>
      <c r="C1985" t="s">
        <v>2537</v>
      </c>
      <c r="D1985" t="s">
        <v>1368</v>
      </c>
      <c r="E1985" t="s">
        <v>2537</v>
      </c>
      <c r="F1985" t="s">
        <v>14</v>
      </c>
      <c r="G1985" t="s">
        <v>28</v>
      </c>
      <c r="H1985" t="s">
        <v>22</v>
      </c>
      <c r="I1985" t="s">
        <v>2846</v>
      </c>
      <c r="J1985" t="s">
        <v>1374</v>
      </c>
      <c r="K1985" t="str">
        <f t="shared" si="270"/>
        <v>5002.8</v>
      </c>
      <c r="N1985" t="str">
        <f t="shared" si="271"/>
        <v>HOLDING REGISTER</v>
      </c>
      <c r="O1985" t="str">
        <f t="shared" si="272"/>
        <v>BOOL</v>
      </c>
      <c r="P1985" t="str">
        <f t="shared" si="273"/>
        <v>PORTA SOS 3</v>
      </c>
      <c r="R1985" t="str">
        <f t="shared" si="274"/>
        <v>PORTA VANO TECNICO APERTA</v>
      </c>
      <c r="U1985" t="str">
        <f t="shared" si="275"/>
        <v>Allarme</v>
      </c>
      <c r="V1985" t="str">
        <f t="shared" si="276"/>
        <v>SOS 3</v>
      </c>
      <c r="W1985" t="str">
        <f t="shared" si="277"/>
        <v>GALLERIA CASOLA</v>
      </c>
      <c r="Z1985" t="str">
        <f t="shared" si="278"/>
        <v>10.220.80.16</v>
      </c>
    </row>
    <row r="1986" spans="1:26" x14ac:dyDescent="0.25">
      <c r="A1986" t="s">
        <v>10</v>
      </c>
      <c r="B1986" t="s">
        <v>1206</v>
      </c>
      <c r="C1986" t="s">
        <v>2537</v>
      </c>
      <c r="D1986" t="s">
        <v>1375</v>
      </c>
      <c r="E1986" t="s">
        <v>2537</v>
      </c>
      <c r="F1986" t="s">
        <v>14</v>
      </c>
      <c r="G1986" t="s">
        <v>1375</v>
      </c>
      <c r="H1986" t="s">
        <v>22</v>
      </c>
      <c r="I1986" t="s">
        <v>2847</v>
      </c>
      <c r="J1986" t="s">
        <v>1375</v>
      </c>
      <c r="K1986" t="str">
        <f t="shared" si="270"/>
        <v>5002.9</v>
      </c>
      <c r="N1986" t="str">
        <f t="shared" si="271"/>
        <v>HOLDING REGISTER</v>
      </c>
      <c r="O1986" t="str">
        <f t="shared" si="272"/>
        <v>BOOL</v>
      </c>
      <c r="P1986" t="str">
        <f t="shared" si="273"/>
        <v>disponibile SOS 3</v>
      </c>
      <c r="R1986" t="str">
        <f t="shared" si="274"/>
        <v>disponibile</v>
      </c>
      <c r="U1986" t="str">
        <f t="shared" si="275"/>
        <v>disponibile</v>
      </c>
      <c r="V1986" t="str">
        <f t="shared" si="276"/>
        <v>SOS 3</v>
      </c>
      <c r="W1986" t="str">
        <f t="shared" si="277"/>
        <v>GALLERIA CASOLA</v>
      </c>
      <c r="Z1986" t="str">
        <f t="shared" si="278"/>
        <v>10.220.80.16</v>
      </c>
    </row>
    <row r="1987" spans="1:26" x14ac:dyDescent="0.25">
      <c r="A1987" t="s">
        <v>10</v>
      </c>
      <c r="B1987" t="s">
        <v>1206</v>
      </c>
      <c r="C1987" t="s">
        <v>2537</v>
      </c>
      <c r="D1987" t="s">
        <v>1375</v>
      </c>
      <c r="E1987" t="s">
        <v>2537</v>
      </c>
      <c r="F1987" t="s">
        <v>14</v>
      </c>
      <c r="G1987" t="s">
        <v>1375</v>
      </c>
      <c r="H1987" t="s">
        <v>22</v>
      </c>
      <c r="I1987" t="s">
        <v>2848</v>
      </c>
      <c r="J1987" t="s">
        <v>1375</v>
      </c>
      <c r="K1987" t="str">
        <f t="shared" ref="K1987:K2050" si="279">IF(I1987="","",I1987)</f>
        <v>5002.10</v>
      </c>
      <c r="N1987" t="str">
        <f t="shared" ref="N1987:N2050" si="280">IF(F1987="","",F1987)</f>
        <v>HOLDING REGISTER</v>
      </c>
      <c r="O1987" t="str">
        <f t="shared" ref="O1987:O2050" si="281">IF(H1987="","",H1987)</f>
        <v>BOOL</v>
      </c>
      <c r="P1987" t="str">
        <f t="shared" ref="P1987:P2050" si="282">_xlfn.CONCAT(D1987," ",E1987)</f>
        <v>disponibile SOS 3</v>
      </c>
      <c r="R1987" t="str">
        <f t="shared" ref="R1987:R2050" si="283">IF(J1987="","",J1987)</f>
        <v>disponibile</v>
      </c>
      <c r="U1987" t="str">
        <f t="shared" ref="U1987:U2050" si="284">IF(G1987="","",G1987)</f>
        <v>disponibile</v>
      </c>
      <c r="V1987" t="str">
        <f t="shared" ref="V1987:V2050" si="285">IF(C1987="","",C1987)</f>
        <v>SOS 3</v>
      </c>
      <c r="W1987" t="str">
        <f t="shared" ref="W1987:W2050" si="286">IF(B1987="","",B1987)</f>
        <v>GALLERIA CASOLA</v>
      </c>
      <c r="Z1987" t="str">
        <f t="shared" ref="Z1987:Z2050" si="287">IF(A1987="","",A1987)</f>
        <v>10.220.80.16</v>
      </c>
    </row>
    <row r="1988" spans="1:26" x14ac:dyDescent="0.25">
      <c r="A1988" t="s">
        <v>10</v>
      </c>
      <c r="B1988" t="s">
        <v>1206</v>
      </c>
      <c r="C1988" t="s">
        <v>2537</v>
      </c>
      <c r="D1988" t="s">
        <v>1375</v>
      </c>
      <c r="E1988" t="s">
        <v>2537</v>
      </c>
      <c r="F1988" t="s">
        <v>14</v>
      </c>
      <c r="G1988" t="s">
        <v>1375</v>
      </c>
      <c r="H1988" t="s">
        <v>22</v>
      </c>
      <c r="I1988" t="s">
        <v>2849</v>
      </c>
      <c r="J1988" t="s">
        <v>1375</v>
      </c>
      <c r="K1988" t="str">
        <f t="shared" si="279"/>
        <v>5002.11</v>
      </c>
      <c r="N1988" t="str">
        <f t="shared" si="280"/>
        <v>HOLDING REGISTER</v>
      </c>
      <c r="O1988" t="str">
        <f t="shared" si="281"/>
        <v>BOOL</v>
      </c>
      <c r="P1988" t="str">
        <f t="shared" si="282"/>
        <v>disponibile SOS 3</v>
      </c>
      <c r="R1988" t="str">
        <f t="shared" si="283"/>
        <v>disponibile</v>
      </c>
      <c r="U1988" t="str">
        <f t="shared" si="284"/>
        <v>disponibile</v>
      </c>
      <c r="V1988" t="str">
        <f t="shared" si="285"/>
        <v>SOS 3</v>
      </c>
      <c r="W1988" t="str">
        <f t="shared" si="286"/>
        <v>GALLERIA CASOLA</v>
      </c>
      <c r="Z1988" t="str">
        <f t="shared" si="287"/>
        <v>10.220.80.16</v>
      </c>
    </row>
    <row r="1989" spans="1:26" x14ac:dyDescent="0.25">
      <c r="A1989" t="s">
        <v>10</v>
      </c>
      <c r="B1989" t="s">
        <v>1206</v>
      </c>
      <c r="C1989" t="s">
        <v>2537</v>
      </c>
      <c r="D1989" t="s">
        <v>1375</v>
      </c>
      <c r="E1989" t="s">
        <v>2537</v>
      </c>
      <c r="F1989" t="s">
        <v>14</v>
      </c>
      <c r="G1989" t="s">
        <v>1375</v>
      </c>
      <c r="H1989" t="s">
        <v>22</v>
      </c>
      <c r="I1989" t="s">
        <v>2850</v>
      </c>
      <c r="J1989" t="s">
        <v>1375</v>
      </c>
      <c r="K1989" t="str">
        <f t="shared" si="279"/>
        <v>5002.12</v>
      </c>
      <c r="N1989" t="str">
        <f t="shared" si="280"/>
        <v>HOLDING REGISTER</v>
      </c>
      <c r="O1989" t="str">
        <f t="shared" si="281"/>
        <v>BOOL</v>
      </c>
      <c r="P1989" t="str">
        <f t="shared" si="282"/>
        <v>disponibile SOS 3</v>
      </c>
      <c r="R1989" t="str">
        <f t="shared" si="283"/>
        <v>disponibile</v>
      </c>
      <c r="U1989" t="str">
        <f t="shared" si="284"/>
        <v>disponibile</v>
      </c>
      <c r="V1989" t="str">
        <f t="shared" si="285"/>
        <v>SOS 3</v>
      </c>
      <c r="W1989" t="str">
        <f t="shared" si="286"/>
        <v>GALLERIA CASOLA</v>
      </c>
      <c r="Z1989" t="str">
        <f t="shared" si="287"/>
        <v>10.220.80.16</v>
      </c>
    </row>
    <row r="1990" spans="1:26" x14ac:dyDescent="0.25">
      <c r="A1990" t="s">
        <v>10</v>
      </c>
      <c r="B1990" t="s">
        <v>1206</v>
      </c>
      <c r="C1990" t="s">
        <v>2537</v>
      </c>
      <c r="D1990" t="s">
        <v>12</v>
      </c>
      <c r="E1990" t="s">
        <v>2537</v>
      </c>
      <c r="F1990" t="s">
        <v>14</v>
      </c>
      <c r="G1990" t="s">
        <v>28</v>
      </c>
      <c r="H1990" t="s">
        <v>22</v>
      </c>
      <c r="I1990" t="s">
        <v>2851</v>
      </c>
      <c r="J1990" t="s">
        <v>1381</v>
      </c>
      <c r="K1990" t="str">
        <f t="shared" si="279"/>
        <v>5002.13</v>
      </c>
      <c r="N1990" t="str">
        <f t="shared" si="280"/>
        <v>HOLDING REGISTER</v>
      </c>
      <c r="O1990" t="str">
        <f t="shared" si="281"/>
        <v>BOOL</v>
      </c>
      <c r="P1990" t="str">
        <f t="shared" si="282"/>
        <v>PLC SOS 3</v>
      </c>
      <c r="R1990" t="str">
        <f t="shared" si="283"/>
        <v>PLC IN STOP</v>
      </c>
      <c r="U1990" t="str">
        <f t="shared" si="284"/>
        <v>Allarme</v>
      </c>
      <c r="V1990" t="str">
        <f t="shared" si="285"/>
        <v>SOS 3</v>
      </c>
      <c r="W1990" t="str">
        <f t="shared" si="286"/>
        <v>GALLERIA CASOLA</v>
      </c>
      <c r="Z1990" t="str">
        <f t="shared" si="287"/>
        <v>10.220.80.16</v>
      </c>
    </row>
    <row r="1991" spans="1:26" x14ac:dyDescent="0.25">
      <c r="A1991" t="s">
        <v>10</v>
      </c>
      <c r="B1991" t="s">
        <v>1206</v>
      </c>
      <c r="C1991" t="s">
        <v>2537</v>
      </c>
      <c r="D1991" t="s">
        <v>12</v>
      </c>
      <c r="E1991" t="s">
        <v>2537</v>
      </c>
      <c r="F1991" t="s">
        <v>14</v>
      </c>
      <c r="G1991" t="s">
        <v>28</v>
      </c>
      <c r="H1991" t="s">
        <v>22</v>
      </c>
      <c r="I1991" t="s">
        <v>2852</v>
      </c>
      <c r="J1991" t="s">
        <v>1383</v>
      </c>
      <c r="K1991" t="str">
        <f t="shared" si="279"/>
        <v>5002.14</v>
      </c>
      <c r="N1991" t="str">
        <f t="shared" si="280"/>
        <v>HOLDING REGISTER</v>
      </c>
      <c r="O1991" t="str">
        <f t="shared" si="281"/>
        <v>BOOL</v>
      </c>
      <c r="P1991" t="str">
        <f t="shared" si="282"/>
        <v>PLC SOS 3</v>
      </c>
      <c r="R1991" t="str">
        <f t="shared" si="283"/>
        <v>FAULT COMUNICAZIONE ETHERNET</v>
      </c>
      <c r="U1991" t="str">
        <f t="shared" si="284"/>
        <v>Allarme</v>
      </c>
      <c r="V1991" t="str">
        <f t="shared" si="285"/>
        <v>SOS 3</v>
      </c>
      <c r="W1991" t="str">
        <f t="shared" si="286"/>
        <v>GALLERIA CASOLA</v>
      </c>
      <c r="Z1991" t="str">
        <f t="shared" si="287"/>
        <v>10.220.80.16</v>
      </c>
    </row>
    <row r="1992" spans="1:26" x14ac:dyDescent="0.25">
      <c r="A1992" t="s">
        <v>10</v>
      </c>
      <c r="B1992" t="s">
        <v>1206</v>
      </c>
      <c r="C1992" t="s">
        <v>2537</v>
      </c>
      <c r="D1992" t="s">
        <v>1384</v>
      </c>
      <c r="E1992" t="s">
        <v>2537</v>
      </c>
      <c r="F1992" t="s">
        <v>14</v>
      </c>
      <c r="G1992" t="s">
        <v>21</v>
      </c>
      <c r="H1992" t="s">
        <v>22</v>
      </c>
      <c r="I1992" t="s">
        <v>2853</v>
      </c>
      <c r="J1992" t="s">
        <v>1386</v>
      </c>
      <c r="K1992" t="str">
        <f t="shared" si="279"/>
        <v>5002.15</v>
      </c>
      <c r="N1992" t="str">
        <f t="shared" si="280"/>
        <v>HOLDING REGISTER</v>
      </c>
      <c r="O1992" t="str">
        <f t="shared" si="281"/>
        <v>BOOL</v>
      </c>
      <c r="P1992" t="str">
        <f t="shared" si="282"/>
        <v xml:space="preserve">  SOS 3</v>
      </c>
      <c r="R1992" t="str">
        <f t="shared" si="283"/>
        <v>FEEDBACK RESET DA RMT</v>
      </c>
      <c r="U1992" t="str">
        <f t="shared" si="284"/>
        <v>Stato</v>
      </c>
      <c r="V1992" t="str">
        <f t="shared" si="285"/>
        <v>SOS 3</v>
      </c>
      <c r="W1992" t="str">
        <f t="shared" si="286"/>
        <v>GALLERIA CASOLA</v>
      </c>
      <c r="Z1992" t="str">
        <f t="shared" si="287"/>
        <v>10.220.80.16</v>
      </c>
    </row>
    <row r="1993" spans="1:26" x14ac:dyDescent="0.25">
      <c r="A1993" t="s">
        <v>10</v>
      </c>
      <c r="B1993" t="s">
        <v>1206</v>
      </c>
      <c r="C1993" t="s">
        <v>2540</v>
      </c>
      <c r="D1993" t="s">
        <v>1354</v>
      </c>
      <c r="E1993" t="s">
        <v>2540</v>
      </c>
      <c r="F1993" t="s">
        <v>14</v>
      </c>
      <c r="G1993" t="s">
        <v>28</v>
      </c>
      <c r="H1993" t="s">
        <v>22</v>
      </c>
      <c r="I1993" t="s">
        <v>2854</v>
      </c>
      <c r="J1993" t="s">
        <v>1356</v>
      </c>
      <c r="K1993" t="str">
        <f t="shared" si="279"/>
        <v>5003.0</v>
      </c>
      <c r="N1993" t="str">
        <f t="shared" si="280"/>
        <v>HOLDING REGISTER</v>
      </c>
      <c r="O1993" t="str">
        <f t="shared" si="281"/>
        <v>BOOL</v>
      </c>
      <c r="P1993" t="str">
        <f t="shared" si="282"/>
        <v>PULSANTE CHIAMATA SOS 4</v>
      </c>
      <c r="R1993" t="str">
        <f t="shared" si="283"/>
        <v>CHIAMATA 118 EFFETTUATA</v>
      </c>
      <c r="U1993" t="str">
        <f t="shared" si="284"/>
        <v>Allarme</v>
      </c>
      <c r="V1993" t="str">
        <f t="shared" si="285"/>
        <v>SOS 4</v>
      </c>
      <c r="W1993" t="str">
        <f t="shared" si="286"/>
        <v>GALLERIA CASOLA</v>
      </c>
      <c r="Z1993" t="str">
        <f t="shared" si="287"/>
        <v>10.220.80.16</v>
      </c>
    </row>
    <row r="1994" spans="1:26" x14ac:dyDescent="0.25">
      <c r="A1994" t="s">
        <v>10</v>
      </c>
      <c r="B1994" t="s">
        <v>1206</v>
      </c>
      <c r="C1994" t="s">
        <v>2540</v>
      </c>
      <c r="D1994" t="s">
        <v>1354</v>
      </c>
      <c r="E1994" t="s">
        <v>2540</v>
      </c>
      <c r="F1994" t="s">
        <v>14</v>
      </c>
      <c r="G1994" t="s">
        <v>28</v>
      </c>
      <c r="H1994" t="s">
        <v>22</v>
      </c>
      <c r="I1994" t="s">
        <v>2855</v>
      </c>
      <c r="J1994" t="s">
        <v>1358</v>
      </c>
      <c r="K1994" t="str">
        <f t="shared" si="279"/>
        <v>5003.1</v>
      </c>
      <c r="N1994" t="str">
        <f t="shared" si="280"/>
        <v>HOLDING REGISTER</v>
      </c>
      <c r="O1994" t="str">
        <f t="shared" si="281"/>
        <v>BOOL</v>
      </c>
      <c r="P1994" t="str">
        <f t="shared" si="282"/>
        <v>PULSANTE CHIAMATA SOS 4</v>
      </c>
      <c r="R1994" t="str">
        <f t="shared" si="283"/>
        <v>CHIAMATA 113 EFFETTUATA</v>
      </c>
      <c r="U1994" t="str">
        <f t="shared" si="284"/>
        <v>Allarme</v>
      </c>
      <c r="V1994" t="str">
        <f t="shared" si="285"/>
        <v>SOS 4</v>
      </c>
      <c r="W1994" t="str">
        <f t="shared" si="286"/>
        <v>GALLERIA CASOLA</v>
      </c>
      <c r="Z1994" t="str">
        <f t="shared" si="287"/>
        <v>10.220.80.16</v>
      </c>
    </row>
    <row r="1995" spans="1:26" x14ac:dyDescent="0.25">
      <c r="A1995" t="s">
        <v>10</v>
      </c>
      <c r="B1995" t="s">
        <v>1206</v>
      </c>
      <c r="C1995" t="s">
        <v>2540</v>
      </c>
      <c r="D1995" t="s">
        <v>1354</v>
      </c>
      <c r="E1995" t="s">
        <v>2540</v>
      </c>
      <c r="F1995" t="s">
        <v>14</v>
      </c>
      <c r="G1995" t="s">
        <v>28</v>
      </c>
      <c r="H1995" t="s">
        <v>22</v>
      </c>
      <c r="I1995" t="s">
        <v>2856</v>
      </c>
      <c r="J1995" t="s">
        <v>1360</v>
      </c>
      <c r="K1995" t="str">
        <f t="shared" si="279"/>
        <v>5003.2</v>
      </c>
      <c r="N1995" t="str">
        <f t="shared" si="280"/>
        <v>HOLDING REGISTER</v>
      </c>
      <c r="O1995" t="str">
        <f t="shared" si="281"/>
        <v>BOOL</v>
      </c>
      <c r="P1995" t="str">
        <f t="shared" si="282"/>
        <v>PULSANTE CHIAMATA SOS 4</v>
      </c>
      <c r="R1995" t="str">
        <f t="shared" si="283"/>
        <v>CHIAMATA 115 EFFETTUATA</v>
      </c>
      <c r="U1995" t="str">
        <f t="shared" si="284"/>
        <v>Allarme</v>
      </c>
      <c r="V1995" t="str">
        <f t="shared" si="285"/>
        <v>SOS 4</v>
      </c>
      <c r="W1995" t="str">
        <f t="shared" si="286"/>
        <v>GALLERIA CASOLA</v>
      </c>
      <c r="Z1995" t="str">
        <f t="shared" si="287"/>
        <v>10.220.80.16</v>
      </c>
    </row>
    <row r="1996" spans="1:26" x14ac:dyDescent="0.25">
      <c r="A1996" t="s">
        <v>10</v>
      </c>
      <c r="B1996" t="s">
        <v>1206</v>
      </c>
      <c r="C1996" t="s">
        <v>2540</v>
      </c>
      <c r="D1996" t="s">
        <v>1354</v>
      </c>
      <c r="E1996" t="s">
        <v>2540</v>
      </c>
      <c r="F1996" t="s">
        <v>14</v>
      </c>
      <c r="G1996" t="s">
        <v>28</v>
      </c>
      <c r="H1996" t="s">
        <v>22</v>
      </c>
      <c r="I1996" t="s">
        <v>2857</v>
      </c>
      <c r="J1996" t="s">
        <v>1362</v>
      </c>
      <c r="K1996" t="str">
        <f t="shared" si="279"/>
        <v>5003.3</v>
      </c>
      <c r="N1996" t="str">
        <f t="shared" si="280"/>
        <v>HOLDING REGISTER</v>
      </c>
      <c r="O1996" t="str">
        <f t="shared" si="281"/>
        <v>BOOL</v>
      </c>
      <c r="P1996" t="str">
        <f t="shared" si="282"/>
        <v>PULSANTE CHIAMATA SOS 4</v>
      </c>
      <c r="R1996" t="str">
        <f t="shared" si="283"/>
        <v>CHIAMATA SALA CONTROLLO ANAS EFFETTUATA</v>
      </c>
      <c r="U1996" t="str">
        <f t="shared" si="284"/>
        <v>Allarme</v>
      </c>
      <c r="V1996" t="str">
        <f t="shared" si="285"/>
        <v>SOS 4</v>
      </c>
      <c r="W1996" t="str">
        <f t="shared" si="286"/>
        <v>GALLERIA CASOLA</v>
      </c>
      <c r="Z1996" t="str">
        <f t="shared" si="287"/>
        <v>10.220.80.16</v>
      </c>
    </row>
    <row r="1997" spans="1:26" x14ac:dyDescent="0.25">
      <c r="A1997" t="s">
        <v>10</v>
      </c>
      <c r="B1997" t="s">
        <v>1206</v>
      </c>
      <c r="C1997" t="s">
        <v>2540</v>
      </c>
      <c r="D1997" t="s">
        <v>1363</v>
      </c>
      <c r="E1997" t="s">
        <v>2540</v>
      </c>
      <c r="F1997" t="s">
        <v>14</v>
      </c>
      <c r="G1997" t="s">
        <v>28</v>
      </c>
      <c r="H1997" t="s">
        <v>22</v>
      </c>
      <c r="I1997" t="s">
        <v>2858</v>
      </c>
      <c r="J1997" t="s">
        <v>1365</v>
      </c>
      <c r="K1997" t="str">
        <f t="shared" si="279"/>
        <v>5003.4</v>
      </c>
      <c r="N1997" t="str">
        <f t="shared" si="280"/>
        <v>HOLDING REGISTER</v>
      </c>
      <c r="O1997" t="str">
        <f t="shared" si="281"/>
        <v>BOOL</v>
      </c>
      <c r="P1997" t="str">
        <f t="shared" si="282"/>
        <v>ESTINTORE SOS 4</v>
      </c>
      <c r="R1997" t="str">
        <f t="shared" si="283"/>
        <v>ESTINTORE PRELEVATO 1</v>
      </c>
      <c r="U1997" t="str">
        <f t="shared" si="284"/>
        <v>Allarme</v>
      </c>
      <c r="V1997" t="str">
        <f t="shared" si="285"/>
        <v>SOS 4</v>
      </c>
      <c r="W1997" t="str">
        <f t="shared" si="286"/>
        <v>GALLERIA CASOLA</v>
      </c>
      <c r="Z1997" t="str">
        <f t="shared" si="287"/>
        <v>10.220.80.16</v>
      </c>
    </row>
    <row r="1998" spans="1:26" x14ac:dyDescent="0.25">
      <c r="A1998" t="s">
        <v>10</v>
      </c>
      <c r="B1998" t="s">
        <v>1206</v>
      </c>
      <c r="C1998" t="s">
        <v>2540</v>
      </c>
      <c r="D1998" t="s">
        <v>1363</v>
      </c>
      <c r="E1998" t="s">
        <v>2540</v>
      </c>
      <c r="F1998" t="s">
        <v>14</v>
      </c>
      <c r="G1998" t="s">
        <v>28</v>
      </c>
      <c r="H1998" t="s">
        <v>22</v>
      </c>
      <c r="I1998" t="s">
        <v>2859</v>
      </c>
      <c r="J1998" t="s">
        <v>1367</v>
      </c>
      <c r="K1998" t="str">
        <f t="shared" si="279"/>
        <v>5003.5</v>
      </c>
      <c r="N1998" t="str">
        <f t="shared" si="280"/>
        <v>HOLDING REGISTER</v>
      </c>
      <c r="O1998" t="str">
        <f t="shared" si="281"/>
        <v>BOOL</v>
      </c>
      <c r="P1998" t="str">
        <f t="shared" si="282"/>
        <v>ESTINTORE SOS 4</v>
      </c>
      <c r="R1998" t="str">
        <f t="shared" si="283"/>
        <v>ESTINTORE PRELEVATO 2</v>
      </c>
      <c r="U1998" t="str">
        <f t="shared" si="284"/>
        <v>Allarme</v>
      </c>
      <c r="V1998" t="str">
        <f t="shared" si="285"/>
        <v>SOS 4</v>
      </c>
      <c r="W1998" t="str">
        <f t="shared" si="286"/>
        <v>GALLERIA CASOLA</v>
      </c>
      <c r="Z1998" t="str">
        <f t="shared" si="287"/>
        <v>10.220.80.16</v>
      </c>
    </row>
    <row r="1999" spans="1:26" x14ac:dyDescent="0.25">
      <c r="A1999" t="s">
        <v>10</v>
      </c>
      <c r="B1999" t="s">
        <v>1206</v>
      </c>
      <c r="C1999" t="s">
        <v>2540</v>
      </c>
      <c r="D1999" t="s">
        <v>1368</v>
      </c>
      <c r="E1999" t="s">
        <v>2540</v>
      </c>
      <c r="F1999" t="s">
        <v>14</v>
      </c>
      <c r="G1999" t="s">
        <v>28</v>
      </c>
      <c r="H1999" t="s">
        <v>22</v>
      </c>
      <c r="I1999" t="s">
        <v>2860</v>
      </c>
      <c r="J1999" t="s">
        <v>1370</v>
      </c>
      <c r="K1999" t="str">
        <f t="shared" si="279"/>
        <v>5003.6</v>
      </c>
      <c r="N1999" t="str">
        <f t="shared" si="280"/>
        <v>HOLDING REGISTER</v>
      </c>
      <c r="O1999" t="str">
        <f t="shared" si="281"/>
        <v>BOOL</v>
      </c>
      <c r="P1999" t="str">
        <f t="shared" si="282"/>
        <v>PORTA SOS 4</v>
      </c>
      <c r="R1999" t="str">
        <f t="shared" si="283"/>
        <v>MANICHETTA PRELEVATA</v>
      </c>
      <c r="U1999" t="str">
        <f t="shared" si="284"/>
        <v>Allarme</v>
      </c>
      <c r="V1999" t="str">
        <f t="shared" si="285"/>
        <v>SOS 4</v>
      </c>
      <c r="W1999" t="str">
        <f t="shared" si="286"/>
        <v>GALLERIA CASOLA</v>
      </c>
      <c r="Z1999" t="str">
        <f t="shared" si="287"/>
        <v>10.220.80.16</v>
      </c>
    </row>
    <row r="2000" spans="1:26" x14ac:dyDescent="0.25">
      <c r="A2000" t="s">
        <v>10</v>
      </c>
      <c r="B2000" t="s">
        <v>1206</v>
      </c>
      <c r="C2000" t="s">
        <v>2540</v>
      </c>
      <c r="D2000" t="s">
        <v>1368</v>
      </c>
      <c r="E2000" t="s">
        <v>2540</v>
      </c>
      <c r="F2000" t="s">
        <v>14</v>
      </c>
      <c r="G2000" t="s">
        <v>28</v>
      </c>
      <c r="H2000" t="s">
        <v>22</v>
      </c>
      <c r="I2000" t="s">
        <v>2861</v>
      </c>
      <c r="J2000" t="s">
        <v>1372</v>
      </c>
      <c r="K2000" t="str">
        <f t="shared" si="279"/>
        <v>5003.7</v>
      </c>
      <c r="N2000" t="str">
        <f t="shared" si="280"/>
        <v>HOLDING REGISTER</v>
      </c>
      <c r="O2000" t="str">
        <f t="shared" si="281"/>
        <v>BOOL</v>
      </c>
      <c r="P2000" t="str">
        <f t="shared" si="282"/>
        <v>PORTA SOS 4</v>
      </c>
      <c r="R2000" t="str">
        <f t="shared" si="283"/>
        <v>PORTA TELEFONO VOIP APERTA</v>
      </c>
      <c r="U2000" t="str">
        <f t="shared" si="284"/>
        <v>Allarme</v>
      </c>
      <c r="V2000" t="str">
        <f t="shared" si="285"/>
        <v>SOS 4</v>
      </c>
      <c r="W2000" t="str">
        <f t="shared" si="286"/>
        <v>GALLERIA CASOLA</v>
      </c>
      <c r="Z2000" t="str">
        <f t="shared" si="287"/>
        <v>10.220.80.16</v>
      </c>
    </row>
    <row r="2001" spans="1:26" x14ac:dyDescent="0.25">
      <c r="A2001" t="s">
        <v>10</v>
      </c>
      <c r="B2001" t="s">
        <v>1206</v>
      </c>
      <c r="C2001" t="s">
        <v>2540</v>
      </c>
      <c r="D2001" t="s">
        <v>1368</v>
      </c>
      <c r="E2001" t="s">
        <v>2540</v>
      </c>
      <c r="F2001" t="s">
        <v>14</v>
      </c>
      <c r="G2001" t="s">
        <v>28</v>
      </c>
      <c r="H2001" t="s">
        <v>22</v>
      </c>
      <c r="I2001" t="s">
        <v>2862</v>
      </c>
      <c r="J2001" t="s">
        <v>1374</v>
      </c>
      <c r="K2001" t="str">
        <f t="shared" si="279"/>
        <v>5003.8</v>
      </c>
      <c r="N2001" t="str">
        <f t="shared" si="280"/>
        <v>HOLDING REGISTER</v>
      </c>
      <c r="O2001" t="str">
        <f t="shared" si="281"/>
        <v>BOOL</v>
      </c>
      <c r="P2001" t="str">
        <f t="shared" si="282"/>
        <v>PORTA SOS 4</v>
      </c>
      <c r="R2001" t="str">
        <f t="shared" si="283"/>
        <v>PORTA VANO TECNICO APERTA</v>
      </c>
      <c r="U2001" t="str">
        <f t="shared" si="284"/>
        <v>Allarme</v>
      </c>
      <c r="V2001" t="str">
        <f t="shared" si="285"/>
        <v>SOS 4</v>
      </c>
      <c r="W2001" t="str">
        <f t="shared" si="286"/>
        <v>GALLERIA CASOLA</v>
      </c>
      <c r="Z2001" t="str">
        <f t="shared" si="287"/>
        <v>10.220.80.16</v>
      </c>
    </row>
    <row r="2002" spans="1:26" x14ac:dyDescent="0.25">
      <c r="A2002" t="s">
        <v>10</v>
      </c>
      <c r="B2002" t="s">
        <v>1206</v>
      </c>
      <c r="C2002" t="s">
        <v>2540</v>
      </c>
      <c r="D2002" t="s">
        <v>1375</v>
      </c>
      <c r="E2002" t="s">
        <v>2540</v>
      </c>
      <c r="F2002" t="s">
        <v>14</v>
      </c>
      <c r="G2002" t="s">
        <v>1375</v>
      </c>
      <c r="H2002" t="s">
        <v>22</v>
      </c>
      <c r="I2002" t="s">
        <v>2863</v>
      </c>
      <c r="J2002" t="s">
        <v>1375</v>
      </c>
      <c r="K2002" t="str">
        <f t="shared" si="279"/>
        <v>5003.9</v>
      </c>
      <c r="N2002" t="str">
        <f t="shared" si="280"/>
        <v>HOLDING REGISTER</v>
      </c>
      <c r="O2002" t="str">
        <f t="shared" si="281"/>
        <v>BOOL</v>
      </c>
      <c r="P2002" t="str">
        <f t="shared" si="282"/>
        <v>disponibile SOS 4</v>
      </c>
      <c r="R2002" t="str">
        <f t="shared" si="283"/>
        <v>disponibile</v>
      </c>
      <c r="U2002" t="str">
        <f t="shared" si="284"/>
        <v>disponibile</v>
      </c>
      <c r="V2002" t="str">
        <f t="shared" si="285"/>
        <v>SOS 4</v>
      </c>
      <c r="W2002" t="str">
        <f t="shared" si="286"/>
        <v>GALLERIA CASOLA</v>
      </c>
      <c r="Z2002" t="str">
        <f t="shared" si="287"/>
        <v>10.220.80.16</v>
      </c>
    </row>
    <row r="2003" spans="1:26" x14ac:dyDescent="0.25">
      <c r="A2003" t="s">
        <v>10</v>
      </c>
      <c r="B2003" t="s">
        <v>1206</v>
      </c>
      <c r="C2003" t="s">
        <v>2540</v>
      </c>
      <c r="D2003" t="s">
        <v>1375</v>
      </c>
      <c r="E2003" t="s">
        <v>2540</v>
      </c>
      <c r="F2003" t="s">
        <v>14</v>
      </c>
      <c r="G2003" t="s">
        <v>1375</v>
      </c>
      <c r="H2003" t="s">
        <v>22</v>
      </c>
      <c r="I2003" t="s">
        <v>2864</v>
      </c>
      <c r="J2003" t="s">
        <v>1375</v>
      </c>
      <c r="K2003" t="str">
        <f t="shared" si="279"/>
        <v>5003.10</v>
      </c>
      <c r="N2003" t="str">
        <f t="shared" si="280"/>
        <v>HOLDING REGISTER</v>
      </c>
      <c r="O2003" t="str">
        <f t="shared" si="281"/>
        <v>BOOL</v>
      </c>
      <c r="P2003" t="str">
        <f t="shared" si="282"/>
        <v>disponibile SOS 4</v>
      </c>
      <c r="R2003" t="str">
        <f t="shared" si="283"/>
        <v>disponibile</v>
      </c>
      <c r="U2003" t="str">
        <f t="shared" si="284"/>
        <v>disponibile</v>
      </c>
      <c r="V2003" t="str">
        <f t="shared" si="285"/>
        <v>SOS 4</v>
      </c>
      <c r="W2003" t="str">
        <f t="shared" si="286"/>
        <v>GALLERIA CASOLA</v>
      </c>
      <c r="Z2003" t="str">
        <f t="shared" si="287"/>
        <v>10.220.80.16</v>
      </c>
    </row>
    <row r="2004" spans="1:26" x14ac:dyDescent="0.25">
      <c r="A2004" t="s">
        <v>10</v>
      </c>
      <c r="B2004" t="s">
        <v>1206</v>
      </c>
      <c r="C2004" t="s">
        <v>2540</v>
      </c>
      <c r="D2004" t="s">
        <v>1375</v>
      </c>
      <c r="E2004" t="s">
        <v>2540</v>
      </c>
      <c r="F2004" t="s">
        <v>14</v>
      </c>
      <c r="G2004" t="s">
        <v>1375</v>
      </c>
      <c r="H2004" t="s">
        <v>22</v>
      </c>
      <c r="I2004" t="s">
        <v>2865</v>
      </c>
      <c r="J2004" t="s">
        <v>1375</v>
      </c>
      <c r="K2004" t="str">
        <f t="shared" si="279"/>
        <v>5003.11</v>
      </c>
      <c r="N2004" t="str">
        <f t="shared" si="280"/>
        <v>HOLDING REGISTER</v>
      </c>
      <c r="O2004" t="str">
        <f t="shared" si="281"/>
        <v>BOOL</v>
      </c>
      <c r="P2004" t="str">
        <f t="shared" si="282"/>
        <v>disponibile SOS 4</v>
      </c>
      <c r="R2004" t="str">
        <f t="shared" si="283"/>
        <v>disponibile</v>
      </c>
      <c r="U2004" t="str">
        <f t="shared" si="284"/>
        <v>disponibile</v>
      </c>
      <c r="V2004" t="str">
        <f t="shared" si="285"/>
        <v>SOS 4</v>
      </c>
      <c r="W2004" t="str">
        <f t="shared" si="286"/>
        <v>GALLERIA CASOLA</v>
      </c>
      <c r="Z2004" t="str">
        <f t="shared" si="287"/>
        <v>10.220.80.16</v>
      </c>
    </row>
    <row r="2005" spans="1:26" x14ac:dyDescent="0.25">
      <c r="A2005" t="s">
        <v>10</v>
      </c>
      <c r="B2005" t="s">
        <v>1206</v>
      </c>
      <c r="C2005" t="s">
        <v>2540</v>
      </c>
      <c r="D2005" t="s">
        <v>1375</v>
      </c>
      <c r="E2005" t="s">
        <v>2540</v>
      </c>
      <c r="F2005" t="s">
        <v>14</v>
      </c>
      <c r="G2005" t="s">
        <v>1375</v>
      </c>
      <c r="H2005" t="s">
        <v>22</v>
      </c>
      <c r="I2005" t="s">
        <v>2866</v>
      </c>
      <c r="J2005" t="s">
        <v>1375</v>
      </c>
      <c r="K2005" t="str">
        <f t="shared" si="279"/>
        <v>5003.12</v>
      </c>
      <c r="N2005" t="str">
        <f t="shared" si="280"/>
        <v>HOLDING REGISTER</v>
      </c>
      <c r="O2005" t="str">
        <f t="shared" si="281"/>
        <v>BOOL</v>
      </c>
      <c r="P2005" t="str">
        <f t="shared" si="282"/>
        <v>disponibile SOS 4</v>
      </c>
      <c r="R2005" t="str">
        <f t="shared" si="283"/>
        <v>disponibile</v>
      </c>
      <c r="U2005" t="str">
        <f t="shared" si="284"/>
        <v>disponibile</v>
      </c>
      <c r="V2005" t="str">
        <f t="shared" si="285"/>
        <v>SOS 4</v>
      </c>
      <c r="W2005" t="str">
        <f t="shared" si="286"/>
        <v>GALLERIA CASOLA</v>
      </c>
      <c r="Z2005" t="str">
        <f t="shared" si="287"/>
        <v>10.220.80.16</v>
      </c>
    </row>
    <row r="2006" spans="1:26" x14ac:dyDescent="0.25">
      <c r="A2006" t="s">
        <v>10</v>
      </c>
      <c r="B2006" t="s">
        <v>1206</v>
      </c>
      <c r="C2006" t="s">
        <v>2540</v>
      </c>
      <c r="D2006" t="s">
        <v>12</v>
      </c>
      <c r="E2006" t="s">
        <v>2540</v>
      </c>
      <c r="F2006" t="s">
        <v>14</v>
      </c>
      <c r="G2006" t="s">
        <v>28</v>
      </c>
      <c r="H2006" t="s">
        <v>22</v>
      </c>
      <c r="I2006" t="s">
        <v>2867</v>
      </c>
      <c r="J2006" t="s">
        <v>1381</v>
      </c>
      <c r="K2006" t="str">
        <f t="shared" si="279"/>
        <v>5003.13</v>
      </c>
      <c r="N2006" t="str">
        <f t="shared" si="280"/>
        <v>HOLDING REGISTER</v>
      </c>
      <c r="O2006" t="str">
        <f t="shared" si="281"/>
        <v>BOOL</v>
      </c>
      <c r="P2006" t="str">
        <f t="shared" si="282"/>
        <v>PLC SOS 4</v>
      </c>
      <c r="R2006" t="str">
        <f t="shared" si="283"/>
        <v>PLC IN STOP</v>
      </c>
      <c r="U2006" t="str">
        <f t="shared" si="284"/>
        <v>Allarme</v>
      </c>
      <c r="V2006" t="str">
        <f t="shared" si="285"/>
        <v>SOS 4</v>
      </c>
      <c r="W2006" t="str">
        <f t="shared" si="286"/>
        <v>GALLERIA CASOLA</v>
      </c>
      <c r="Z2006" t="str">
        <f t="shared" si="287"/>
        <v>10.220.80.16</v>
      </c>
    </row>
    <row r="2007" spans="1:26" x14ac:dyDescent="0.25">
      <c r="A2007" t="s">
        <v>10</v>
      </c>
      <c r="B2007" t="s">
        <v>1206</v>
      </c>
      <c r="C2007" t="s">
        <v>2540</v>
      </c>
      <c r="D2007" t="s">
        <v>12</v>
      </c>
      <c r="E2007" t="s">
        <v>2540</v>
      </c>
      <c r="F2007" t="s">
        <v>14</v>
      </c>
      <c r="G2007" t="s">
        <v>28</v>
      </c>
      <c r="H2007" t="s">
        <v>22</v>
      </c>
      <c r="I2007" t="s">
        <v>2868</v>
      </c>
      <c r="J2007" t="s">
        <v>1383</v>
      </c>
      <c r="K2007" t="str">
        <f t="shared" si="279"/>
        <v>5003.14</v>
      </c>
      <c r="N2007" t="str">
        <f t="shared" si="280"/>
        <v>HOLDING REGISTER</v>
      </c>
      <c r="O2007" t="str">
        <f t="shared" si="281"/>
        <v>BOOL</v>
      </c>
      <c r="P2007" t="str">
        <f t="shared" si="282"/>
        <v>PLC SOS 4</v>
      </c>
      <c r="R2007" t="str">
        <f t="shared" si="283"/>
        <v>FAULT COMUNICAZIONE ETHERNET</v>
      </c>
      <c r="U2007" t="str">
        <f t="shared" si="284"/>
        <v>Allarme</v>
      </c>
      <c r="V2007" t="str">
        <f t="shared" si="285"/>
        <v>SOS 4</v>
      </c>
      <c r="W2007" t="str">
        <f t="shared" si="286"/>
        <v>GALLERIA CASOLA</v>
      </c>
      <c r="Z2007" t="str">
        <f t="shared" si="287"/>
        <v>10.220.80.16</v>
      </c>
    </row>
    <row r="2008" spans="1:26" x14ac:dyDescent="0.25">
      <c r="A2008" t="s">
        <v>10</v>
      </c>
      <c r="B2008" t="s">
        <v>1206</v>
      </c>
      <c r="C2008" t="s">
        <v>2540</v>
      </c>
      <c r="D2008" t="s">
        <v>1384</v>
      </c>
      <c r="E2008" t="s">
        <v>2540</v>
      </c>
      <c r="F2008" t="s">
        <v>14</v>
      </c>
      <c r="G2008" t="s">
        <v>21</v>
      </c>
      <c r="H2008" t="s">
        <v>22</v>
      </c>
      <c r="I2008" t="s">
        <v>2869</v>
      </c>
      <c r="J2008" t="s">
        <v>1386</v>
      </c>
      <c r="K2008" t="str">
        <f t="shared" si="279"/>
        <v>5003.15</v>
      </c>
      <c r="N2008" t="str">
        <f t="shared" si="280"/>
        <v>HOLDING REGISTER</v>
      </c>
      <c r="O2008" t="str">
        <f t="shared" si="281"/>
        <v>BOOL</v>
      </c>
      <c r="P2008" t="str">
        <f t="shared" si="282"/>
        <v xml:space="preserve">  SOS 4</v>
      </c>
      <c r="R2008" t="str">
        <f t="shared" si="283"/>
        <v>FEEDBACK RESET DA RMT</v>
      </c>
      <c r="U2008" t="str">
        <f t="shared" si="284"/>
        <v>Stato</v>
      </c>
      <c r="V2008" t="str">
        <f t="shared" si="285"/>
        <v>SOS 4</v>
      </c>
      <c r="W2008" t="str">
        <f t="shared" si="286"/>
        <v>GALLERIA CASOLA</v>
      </c>
      <c r="Z2008" t="str">
        <f t="shared" si="287"/>
        <v>10.220.80.16</v>
      </c>
    </row>
    <row r="2009" spans="1:26" x14ac:dyDescent="0.25">
      <c r="A2009" t="s">
        <v>10</v>
      </c>
      <c r="B2009" t="s">
        <v>1206</v>
      </c>
      <c r="C2009" t="s">
        <v>2543</v>
      </c>
      <c r="D2009" t="s">
        <v>1354</v>
      </c>
      <c r="E2009" t="s">
        <v>2543</v>
      </c>
      <c r="F2009" t="s">
        <v>14</v>
      </c>
      <c r="G2009" t="s">
        <v>28</v>
      </c>
      <c r="H2009" t="s">
        <v>22</v>
      </c>
      <c r="I2009" t="s">
        <v>2870</v>
      </c>
      <c r="J2009" t="s">
        <v>1356</v>
      </c>
      <c r="K2009" t="str">
        <f t="shared" si="279"/>
        <v>5004.0</v>
      </c>
      <c r="N2009" t="str">
        <f t="shared" si="280"/>
        <v>HOLDING REGISTER</v>
      </c>
      <c r="O2009" t="str">
        <f t="shared" si="281"/>
        <v>BOOL</v>
      </c>
      <c r="P2009" t="str">
        <f t="shared" si="282"/>
        <v>PULSANTE CHIAMATA SOS 5</v>
      </c>
      <c r="R2009" t="str">
        <f t="shared" si="283"/>
        <v>CHIAMATA 118 EFFETTUATA</v>
      </c>
      <c r="U2009" t="str">
        <f t="shared" si="284"/>
        <v>Allarme</v>
      </c>
      <c r="V2009" t="str">
        <f t="shared" si="285"/>
        <v>SOS 5</v>
      </c>
      <c r="W2009" t="str">
        <f t="shared" si="286"/>
        <v>GALLERIA CASOLA</v>
      </c>
      <c r="Z2009" t="str">
        <f t="shared" si="287"/>
        <v>10.220.80.16</v>
      </c>
    </row>
    <row r="2010" spans="1:26" x14ac:dyDescent="0.25">
      <c r="A2010" t="s">
        <v>10</v>
      </c>
      <c r="B2010" t="s">
        <v>1206</v>
      </c>
      <c r="C2010" t="s">
        <v>2543</v>
      </c>
      <c r="D2010" t="s">
        <v>1354</v>
      </c>
      <c r="E2010" t="s">
        <v>2543</v>
      </c>
      <c r="F2010" t="s">
        <v>14</v>
      </c>
      <c r="G2010" t="s">
        <v>28</v>
      </c>
      <c r="H2010" t="s">
        <v>22</v>
      </c>
      <c r="I2010" t="s">
        <v>2871</v>
      </c>
      <c r="J2010" t="s">
        <v>1358</v>
      </c>
      <c r="K2010" t="str">
        <f t="shared" si="279"/>
        <v>5004.1</v>
      </c>
      <c r="N2010" t="str">
        <f t="shared" si="280"/>
        <v>HOLDING REGISTER</v>
      </c>
      <c r="O2010" t="str">
        <f t="shared" si="281"/>
        <v>BOOL</v>
      </c>
      <c r="P2010" t="str">
        <f t="shared" si="282"/>
        <v>PULSANTE CHIAMATA SOS 5</v>
      </c>
      <c r="R2010" t="str">
        <f t="shared" si="283"/>
        <v>CHIAMATA 113 EFFETTUATA</v>
      </c>
      <c r="U2010" t="str">
        <f t="shared" si="284"/>
        <v>Allarme</v>
      </c>
      <c r="V2010" t="str">
        <f t="shared" si="285"/>
        <v>SOS 5</v>
      </c>
      <c r="W2010" t="str">
        <f t="shared" si="286"/>
        <v>GALLERIA CASOLA</v>
      </c>
      <c r="Z2010" t="str">
        <f t="shared" si="287"/>
        <v>10.220.80.16</v>
      </c>
    </row>
    <row r="2011" spans="1:26" x14ac:dyDescent="0.25">
      <c r="A2011" t="s">
        <v>10</v>
      </c>
      <c r="B2011" t="s">
        <v>1206</v>
      </c>
      <c r="C2011" t="s">
        <v>2543</v>
      </c>
      <c r="D2011" t="s">
        <v>1354</v>
      </c>
      <c r="E2011" t="s">
        <v>2543</v>
      </c>
      <c r="F2011" t="s">
        <v>14</v>
      </c>
      <c r="G2011" t="s">
        <v>28</v>
      </c>
      <c r="H2011" t="s">
        <v>22</v>
      </c>
      <c r="I2011" t="s">
        <v>2872</v>
      </c>
      <c r="J2011" t="s">
        <v>1360</v>
      </c>
      <c r="K2011" t="str">
        <f t="shared" si="279"/>
        <v>5004.2</v>
      </c>
      <c r="N2011" t="str">
        <f t="shared" si="280"/>
        <v>HOLDING REGISTER</v>
      </c>
      <c r="O2011" t="str">
        <f t="shared" si="281"/>
        <v>BOOL</v>
      </c>
      <c r="P2011" t="str">
        <f t="shared" si="282"/>
        <v>PULSANTE CHIAMATA SOS 5</v>
      </c>
      <c r="R2011" t="str">
        <f t="shared" si="283"/>
        <v>CHIAMATA 115 EFFETTUATA</v>
      </c>
      <c r="U2011" t="str">
        <f t="shared" si="284"/>
        <v>Allarme</v>
      </c>
      <c r="V2011" t="str">
        <f t="shared" si="285"/>
        <v>SOS 5</v>
      </c>
      <c r="W2011" t="str">
        <f t="shared" si="286"/>
        <v>GALLERIA CASOLA</v>
      </c>
      <c r="Z2011" t="str">
        <f t="shared" si="287"/>
        <v>10.220.80.16</v>
      </c>
    </row>
    <row r="2012" spans="1:26" x14ac:dyDescent="0.25">
      <c r="A2012" t="s">
        <v>10</v>
      </c>
      <c r="B2012" t="s">
        <v>1206</v>
      </c>
      <c r="C2012" t="s">
        <v>2543</v>
      </c>
      <c r="D2012" t="s">
        <v>1354</v>
      </c>
      <c r="E2012" t="s">
        <v>2543</v>
      </c>
      <c r="F2012" t="s">
        <v>14</v>
      </c>
      <c r="G2012" t="s">
        <v>28</v>
      </c>
      <c r="H2012" t="s">
        <v>22</v>
      </c>
      <c r="I2012" t="s">
        <v>2873</v>
      </c>
      <c r="J2012" t="s">
        <v>1362</v>
      </c>
      <c r="K2012" t="str">
        <f t="shared" si="279"/>
        <v>5004.3</v>
      </c>
      <c r="N2012" t="str">
        <f t="shared" si="280"/>
        <v>HOLDING REGISTER</v>
      </c>
      <c r="O2012" t="str">
        <f t="shared" si="281"/>
        <v>BOOL</v>
      </c>
      <c r="P2012" t="str">
        <f t="shared" si="282"/>
        <v>PULSANTE CHIAMATA SOS 5</v>
      </c>
      <c r="R2012" t="str">
        <f t="shared" si="283"/>
        <v>CHIAMATA SALA CONTROLLO ANAS EFFETTUATA</v>
      </c>
      <c r="U2012" t="str">
        <f t="shared" si="284"/>
        <v>Allarme</v>
      </c>
      <c r="V2012" t="str">
        <f t="shared" si="285"/>
        <v>SOS 5</v>
      </c>
      <c r="W2012" t="str">
        <f t="shared" si="286"/>
        <v>GALLERIA CASOLA</v>
      </c>
      <c r="Z2012" t="str">
        <f t="shared" si="287"/>
        <v>10.220.80.16</v>
      </c>
    </row>
    <row r="2013" spans="1:26" x14ac:dyDescent="0.25">
      <c r="A2013" t="s">
        <v>10</v>
      </c>
      <c r="B2013" t="s">
        <v>1206</v>
      </c>
      <c r="C2013" t="s">
        <v>2543</v>
      </c>
      <c r="D2013" t="s">
        <v>1363</v>
      </c>
      <c r="E2013" t="s">
        <v>2543</v>
      </c>
      <c r="F2013" t="s">
        <v>14</v>
      </c>
      <c r="G2013" t="s">
        <v>28</v>
      </c>
      <c r="H2013" t="s">
        <v>22</v>
      </c>
      <c r="I2013" t="s">
        <v>2874</v>
      </c>
      <c r="J2013" t="s">
        <v>1365</v>
      </c>
      <c r="K2013" t="str">
        <f t="shared" si="279"/>
        <v>5004.4</v>
      </c>
      <c r="N2013" t="str">
        <f t="shared" si="280"/>
        <v>HOLDING REGISTER</v>
      </c>
      <c r="O2013" t="str">
        <f t="shared" si="281"/>
        <v>BOOL</v>
      </c>
      <c r="P2013" t="str">
        <f t="shared" si="282"/>
        <v>ESTINTORE SOS 5</v>
      </c>
      <c r="R2013" t="str">
        <f t="shared" si="283"/>
        <v>ESTINTORE PRELEVATO 1</v>
      </c>
      <c r="U2013" t="str">
        <f t="shared" si="284"/>
        <v>Allarme</v>
      </c>
      <c r="V2013" t="str">
        <f t="shared" si="285"/>
        <v>SOS 5</v>
      </c>
      <c r="W2013" t="str">
        <f t="shared" si="286"/>
        <v>GALLERIA CASOLA</v>
      </c>
      <c r="Z2013" t="str">
        <f t="shared" si="287"/>
        <v>10.220.80.16</v>
      </c>
    </row>
    <row r="2014" spans="1:26" x14ac:dyDescent="0.25">
      <c r="A2014" t="s">
        <v>10</v>
      </c>
      <c r="B2014" t="s">
        <v>1206</v>
      </c>
      <c r="C2014" t="s">
        <v>2543</v>
      </c>
      <c r="D2014" t="s">
        <v>1363</v>
      </c>
      <c r="E2014" t="s">
        <v>2543</v>
      </c>
      <c r="F2014" t="s">
        <v>14</v>
      </c>
      <c r="G2014" t="s">
        <v>28</v>
      </c>
      <c r="H2014" t="s">
        <v>22</v>
      </c>
      <c r="I2014" t="s">
        <v>2875</v>
      </c>
      <c r="J2014" t="s">
        <v>1367</v>
      </c>
      <c r="K2014" t="str">
        <f t="shared" si="279"/>
        <v>5004.5</v>
      </c>
      <c r="N2014" t="str">
        <f t="shared" si="280"/>
        <v>HOLDING REGISTER</v>
      </c>
      <c r="O2014" t="str">
        <f t="shared" si="281"/>
        <v>BOOL</v>
      </c>
      <c r="P2014" t="str">
        <f t="shared" si="282"/>
        <v>ESTINTORE SOS 5</v>
      </c>
      <c r="R2014" t="str">
        <f t="shared" si="283"/>
        <v>ESTINTORE PRELEVATO 2</v>
      </c>
      <c r="U2014" t="str">
        <f t="shared" si="284"/>
        <v>Allarme</v>
      </c>
      <c r="V2014" t="str">
        <f t="shared" si="285"/>
        <v>SOS 5</v>
      </c>
      <c r="W2014" t="str">
        <f t="shared" si="286"/>
        <v>GALLERIA CASOLA</v>
      </c>
      <c r="Z2014" t="str">
        <f t="shared" si="287"/>
        <v>10.220.80.16</v>
      </c>
    </row>
    <row r="2015" spans="1:26" x14ac:dyDescent="0.25">
      <c r="A2015" t="s">
        <v>10</v>
      </c>
      <c r="B2015" t="s">
        <v>1206</v>
      </c>
      <c r="C2015" t="s">
        <v>2543</v>
      </c>
      <c r="D2015" t="s">
        <v>1368</v>
      </c>
      <c r="E2015" t="s">
        <v>2543</v>
      </c>
      <c r="F2015" t="s">
        <v>14</v>
      </c>
      <c r="G2015" t="s">
        <v>28</v>
      </c>
      <c r="H2015" t="s">
        <v>22</v>
      </c>
      <c r="I2015" t="s">
        <v>2876</v>
      </c>
      <c r="J2015" t="s">
        <v>1370</v>
      </c>
      <c r="K2015" t="str">
        <f t="shared" si="279"/>
        <v>5004.6</v>
      </c>
      <c r="N2015" t="str">
        <f t="shared" si="280"/>
        <v>HOLDING REGISTER</v>
      </c>
      <c r="O2015" t="str">
        <f t="shared" si="281"/>
        <v>BOOL</v>
      </c>
      <c r="P2015" t="str">
        <f t="shared" si="282"/>
        <v>PORTA SOS 5</v>
      </c>
      <c r="R2015" t="str">
        <f t="shared" si="283"/>
        <v>MANICHETTA PRELEVATA</v>
      </c>
      <c r="U2015" t="str">
        <f t="shared" si="284"/>
        <v>Allarme</v>
      </c>
      <c r="V2015" t="str">
        <f t="shared" si="285"/>
        <v>SOS 5</v>
      </c>
      <c r="W2015" t="str">
        <f t="shared" si="286"/>
        <v>GALLERIA CASOLA</v>
      </c>
      <c r="Z2015" t="str">
        <f t="shared" si="287"/>
        <v>10.220.80.16</v>
      </c>
    </row>
    <row r="2016" spans="1:26" x14ac:dyDescent="0.25">
      <c r="A2016" t="s">
        <v>10</v>
      </c>
      <c r="B2016" t="s">
        <v>1206</v>
      </c>
      <c r="C2016" t="s">
        <v>2543</v>
      </c>
      <c r="D2016" t="s">
        <v>1368</v>
      </c>
      <c r="E2016" t="s">
        <v>2543</v>
      </c>
      <c r="F2016" t="s">
        <v>14</v>
      </c>
      <c r="G2016" t="s">
        <v>28</v>
      </c>
      <c r="H2016" t="s">
        <v>22</v>
      </c>
      <c r="I2016" t="s">
        <v>2877</v>
      </c>
      <c r="J2016" t="s">
        <v>1372</v>
      </c>
      <c r="K2016" t="str">
        <f t="shared" si="279"/>
        <v>5004.7</v>
      </c>
      <c r="N2016" t="str">
        <f t="shared" si="280"/>
        <v>HOLDING REGISTER</v>
      </c>
      <c r="O2016" t="str">
        <f t="shared" si="281"/>
        <v>BOOL</v>
      </c>
      <c r="P2016" t="str">
        <f t="shared" si="282"/>
        <v>PORTA SOS 5</v>
      </c>
      <c r="R2016" t="str">
        <f t="shared" si="283"/>
        <v>PORTA TELEFONO VOIP APERTA</v>
      </c>
      <c r="U2016" t="str">
        <f t="shared" si="284"/>
        <v>Allarme</v>
      </c>
      <c r="V2016" t="str">
        <f t="shared" si="285"/>
        <v>SOS 5</v>
      </c>
      <c r="W2016" t="str">
        <f t="shared" si="286"/>
        <v>GALLERIA CASOLA</v>
      </c>
      <c r="Z2016" t="str">
        <f t="shared" si="287"/>
        <v>10.220.80.16</v>
      </c>
    </row>
    <row r="2017" spans="1:26" x14ac:dyDescent="0.25">
      <c r="A2017" t="s">
        <v>10</v>
      </c>
      <c r="B2017" t="s">
        <v>1206</v>
      </c>
      <c r="C2017" t="s">
        <v>2543</v>
      </c>
      <c r="D2017" t="s">
        <v>1368</v>
      </c>
      <c r="E2017" t="s">
        <v>2543</v>
      </c>
      <c r="F2017" t="s">
        <v>14</v>
      </c>
      <c r="G2017" t="s">
        <v>28</v>
      </c>
      <c r="H2017" t="s">
        <v>22</v>
      </c>
      <c r="I2017" t="s">
        <v>2878</v>
      </c>
      <c r="J2017" t="s">
        <v>1374</v>
      </c>
      <c r="K2017" t="str">
        <f t="shared" si="279"/>
        <v>5004.8</v>
      </c>
      <c r="N2017" t="str">
        <f t="shared" si="280"/>
        <v>HOLDING REGISTER</v>
      </c>
      <c r="O2017" t="str">
        <f t="shared" si="281"/>
        <v>BOOL</v>
      </c>
      <c r="P2017" t="str">
        <f t="shared" si="282"/>
        <v>PORTA SOS 5</v>
      </c>
      <c r="R2017" t="str">
        <f t="shared" si="283"/>
        <v>PORTA VANO TECNICO APERTA</v>
      </c>
      <c r="U2017" t="str">
        <f t="shared" si="284"/>
        <v>Allarme</v>
      </c>
      <c r="V2017" t="str">
        <f t="shared" si="285"/>
        <v>SOS 5</v>
      </c>
      <c r="W2017" t="str">
        <f t="shared" si="286"/>
        <v>GALLERIA CASOLA</v>
      </c>
      <c r="Z2017" t="str">
        <f t="shared" si="287"/>
        <v>10.220.80.16</v>
      </c>
    </row>
    <row r="2018" spans="1:26" x14ac:dyDescent="0.25">
      <c r="A2018" t="s">
        <v>10</v>
      </c>
      <c r="B2018" t="s">
        <v>1206</v>
      </c>
      <c r="C2018" t="s">
        <v>2543</v>
      </c>
      <c r="D2018" t="s">
        <v>1375</v>
      </c>
      <c r="E2018" t="s">
        <v>2543</v>
      </c>
      <c r="F2018" t="s">
        <v>14</v>
      </c>
      <c r="G2018" t="s">
        <v>1375</v>
      </c>
      <c r="H2018" t="s">
        <v>22</v>
      </c>
      <c r="I2018" t="s">
        <v>2879</v>
      </c>
      <c r="J2018" t="s">
        <v>1375</v>
      </c>
      <c r="K2018" t="str">
        <f t="shared" si="279"/>
        <v>5004.9</v>
      </c>
      <c r="N2018" t="str">
        <f t="shared" si="280"/>
        <v>HOLDING REGISTER</v>
      </c>
      <c r="O2018" t="str">
        <f t="shared" si="281"/>
        <v>BOOL</v>
      </c>
      <c r="P2018" t="str">
        <f t="shared" si="282"/>
        <v>disponibile SOS 5</v>
      </c>
      <c r="R2018" t="str">
        <f t="shared" si="283"/>
        <v>disponibile</v>
      </c>
      <c r="U2018" t="str">
        <f t="shared" si="284"/>
        <v>disponibile</v>
      </c>
      <c r="V2018" t="str">
        <f t="shared" si="285"/>
        <v>SOS 5</v>
      </c>
      <c r="W2018" t="str">
        <f t="shared" si="286"/>
        <v>GALLERIA CASOLA</v>
      </c>
      <c r="Z2018" t="str">
        <f t="shared" si="287"/>
        <v>10.220.80.16</v>
      </c>
    </row>
    <row r="2019" spans="1:26" x14ac:dyDescent="0.25">
      <c r="A2019" t="s">
        <v>10</v>
      </c>
      <c r="B2019" t="s">
        <v>1206</v>
      </c>
      <c r="C2019" t="s">
        <v>2543</v>
      </c>
      <c r="D2019" t="s">
        <v>1375</v>
      </c>
      <c r="E2019" t="s">
        <v>2543</v>
      </c>
      <c r="F2019" t="s">
        <v>14</v>
      </c>
      <c r="G2019" t="s">
        <v>1375</v>
      </c>
      <c r="H2019" t="s">
        <v>22</v>
      </c>
      <c r="I2019" t="s">
        <v>2880</v>
      </c>
      <c r="J2019" t="s">
        <v>1375</v>
      </c>
      <c r="K2019" t="str">
        <f t="shared" si="279"/>
        <v>5004.10</v>
      </c>
      <c r="N2019" t="str">
        <f t="shared" si="280"/>
        <v>HOLDING REGISTER</v>
      </c>
      <c r="O2019" t="str">
        <f t="shared" si="281"/>
        <v>BOOL</v>
      </c>
      <c r="P2019" t="str">
        <f t="shared" si="282"/>
        <v>disponibile SOS 5</v>
      </c>
      <c r="R2019" t="str">
        <f t="shared" si="283"/>
        <v>disponibile</v>
      </c>
      <c r="U2019" t="str">
        <f t="shared" si="284"/>
        <v>disponibile</v>
      </c>
      <c r="V2019" t="str">
        <f t="shared" si="285"/>
        <v>SOS 5</v>
      </c>
      <c r="W2019" t="str">
        <f t="shared" si="286"/>
        <v>GALLERIA CASOLA</v>
      </c>
      <c r="Z2019" t="str">
        <f t="shared" si="287"/>
        <v>10.220.80.16</v>
      </c>
    </row>
    <row r="2020" spans="1:26" x14ac:dyDescent="0.25">
      <c r="A2020" t="s">
        <v>10</v>
      </c>
      <c r="B2020" t="s">
        <v>1206</v>
      </c>
      <c r="C2020" t="s">
        <v>2543</v>
      </c>
      <c r="D2020" t="s">
        <v>1375</v>
      </c>
      <c r="E2020" t="s">
        <v>2543</v>
      </c>
      <c r="F2020" t="s">
        <v>14</v>
      </c>
      <c r="G2020" t="s">
        <v>1375</v>
      </c>
      <c r="H2020" t="s">
        <v>22</v>
      </c>
      <c r="I2020" t="s">
        <v>2881</v>
      </c>
      <c r="J2020" t="s">
        <v>1375</v>
      </c>
      <c r="K2020" t="str">
        <f t="shared" si="279"/>
        <v>5004.11</v>
      </c>
      <c r="N2020" t="str">
        <f t="shared" si="280"/>
        <v>HOLDING REGISTER</v>
      </c>
      <c r="O2020" t="str">
        <f t="shared" si="281"/>
        <v>BOOL</v>
      </c>
      <c r="P2020" t="str">
        <f t="shared" si="282"/>
        <v>disponibile SOS 5</v>
      </c>
      <c r="R2020" t="str">
        <f t="shared" si="283"/>
        <v>disponibile</v>
      </c>
      <c r="U2020" t="str">
        <f t="shared" si="284"/>
        <v>disponibile</v>
      </c>
      <c r="V2020" t="str">
        <f t="shared" si="285"/>
        <v>SOS 5</v>
      </c>
      <c r="W2020" t="str">
        <f t="shared" si="286"/>
        <v>GALLERIA CASOLA</v>
      </c>
      <c r="Z2020" t="str">
        <f t="shared" si="287"/>
        <v>10.220.80.16</v>
      </c>
    </row>
    <row r="2021" spans="1:26" x14ac:dyDescent="0.25">
      <c r="A2021" t="s">
        <v>10</v>
      </c>
      <c r="B2021" t="s">
        <v>1206</v>
      </c>
      <c r="C2021" t="s">
        <v>2543</v>
      </c>
      <c r="D2021" t="s">
        <v>1375</v>
      </c>
      <c r="E2021" t="s">
        <v>2543</v>
      </c>
      <c r="F2021" t="s">
        <v>14</v>
      </c>
      <c r="G2021" t="s">
        <v>1375</v>
      </c>
      <c r="H2021" t="s">
        <v>22</v>
      </c>
      <c r="I2021" t="s">
        <v>2882</v>
      </c>
      <c r="J2021" t="s">
        <v>1375</v>
      </c>
      <c r="K2021" t="str">
        <f t="shared" si="279"/>
        <v>5004.12</v>
      </c>
      <c r="N2021" t="str">
        <f t="shared" si="280"/>
        <v>HOLDING REGISTER</v>
      </c>
      <c r="O2021" t="str">
        <f t="shared" si="281"/>
        <v>BOOL</v>
      </c>
      <c r="P2021" t="str">
        <f t="shared" si="282"/>
        <v>disponibile SOS 5</v>
      </c>
      <c r="R2021" t="str">
        <f t="shared" si="283"/>
        <v>disponibile</v>
      </c>
      <c r="U2021" t="str">
        <f t="shared" si="284"/>
        <v>disponibile</v>
      </c>
      <c r="V2021" t="str">
        <f t="shared" si="285"/>
        <v>SOS 5</v>
      </c>
      <c r="W2021" t="str">
        <f t="shared" si="286"/>
        <v>GALLERIA CASOLA</v>
      </c>
      <c r="Z2021" t="str">
        <f t="shared" si="287"/>
        <v>10.220.80.16</v>
      </c>
    </row>
    <row r="2022" spans="1:26" x14ac:dyDescent="0.25">
      <c r="A2022" t="s">
        <v>10</v>
      </c>
      <c r="B2022" t="s">
        <v>1206</v>
      </c>
      <c r="C2022" t="s">
        <v>2543</v>
      </c>
      <c r="D2022" t="s">
        <v>12</v>
      </c>
      <c r="E2022" t="s">
        <v>2543</v>
      </c>
      <c r="F2022" t="s">
        <v>14</v>
      </c>
      <c r="G2022" t="s">
        <v>28</v>
      </c>
      <c r="H2022" t="s">
        <v>22</v>
      </c>
      <c r="I2022" t="s">
        <v>2883</v>
      </c>
      <c r="J2022" t="s">
        <v>1381</v>
      </c>
      <c r="K2022" t="str">
        <f t="shared" si="279"/>
        <v>5004.13</v>
      </c>
      <c r="N2022" t="str">
        <f t="shared" si="280"/>
        <v>HOLDING REGISTER</v>
      </c>
      <c r="O2022" t="str">
        <f t="shared" si="281"/>
        <v>BOOL</v>
      </c>
      <c r="P2022" t="str">
        <f t="shared" si="282"/>
        <v>PLC SOS 5</v>
      </c>
      <c r="R2022" t="str">
        <f t="shared" si="283"/>
        <v>PLC IN STOP</v>
      </c>
      <c r="U2022" t="str">
        <f t="shared" si="284"/>
        <v>Allarme</v>
      </c>
      <c r="V2022" t="str">
        <f t="shared" si="285"/>
        <v>SOS 5</v>
      </c>
      <c r="W2022" t="str">
        <f t="shared" si="286"/>
        <v>GALLERIA CASOLA</v>
      </c>
      <c r="Z2022" t="str">
        <f t="shared" si="287"/>
        <v>10.220.80.16</v>
      </c>
    </row>
    <row r="2023" spans="1:26" x14ac:dyDescent="0.25">
      <c r="A2023" t="s">
        <v>10</v>
      </c>
      <c r="B2023" t="s">
        <v>1206</v>
      </c>
      <c r="C2023" t="s">
        <v>2543</v>
      </c>
      <c r="D2023" t="s">
        <v>12</v>
      </c>
      <c r="E2023" t="s">
        <v>2543</v>
      </c>
      <c r="F2023" t="s">
        <v>14</v>
      </c>
      <c r="G2023" t="s">
        <v>28</v>
      </c>
      <c r="H2023" t="s">
        <v>22</v>
      </c>
      <c r="I2023" t="s">
        <v>2884</v>
      </c>
      <c r="J2023" t="s">
        <v>1383</v>
      </c>
      <c r="K2023" t="str">
        <f t="shared" si="279"/>
        <v>5004.14</v>
      </c>
      <c r="N2023" t="str">
        <f t="shared" si="280"/>
        <v>HOLDING REGISTER</v>
      </c>
      <c r="O2023" t="str">
        <f t="shared" si="281"/>
        <v>BOOL</v>
      </c>
      <c r="P2023" t="str">
        <f t="shared" si="282"/>
        <v>PLC SOS 5</v>
      </c>
      <c r="R2023" t="str">
        <f t="shared" si="283"/>
        <v>FAULT COMUNICAZIONE ETHERNET</v>
      </c>
      <c r="U2023" t="str">
        <f t="shared" si="284"/>
        <v>Allarme</v>
      </c>
      <c r="V2023" t="str">
        <f t="shared" si="285"/>
        <v>SOS 5</v>
      </c>
      <c r="W2023" t="str">
        <f t="shared" si="286"/>
        <v>GALLERIA CASOLA</v>
      </c>
      <c r="Z2023" t="str">
        <f t="shared" si="287"/>
        <v>10.220.80.16</v>
      </c>
    </row>
    <row r="2024" spans="1:26" x14ac:dyDescent="0.25">
      <c r="A2024" t="s">
        <v>10</v>
      </c>
      <c r="B2024" t="s">
        <v>1206</v>
      </c>
      <c r="C2024" t="s">
        <v>2543</v>
      </c>
      <c r="D2024" t="s">
        <v>1384</v>
      </c>
      <c r="E2024" t="s">
        <v>2543</v>
      </c>
      <c r="F2024" t="s">
        <v>14</v>
      </c>
      <c r="G2024" t="s">
        <v>21</v>
      </c>
      <c r="H2024" t="s">
        <v>22</v>
      </c>
      <c r="I2024" t="s">
        <v>2885</v>
      </c>
      <c r="J2024" t="s">
        <v>1386</v>
      </c>
      <c r="K2024" t="str">
        <f t="shared" si="279"/>
        <v>5004.15</v>
      </c>
      <c r="N2024" t="str">
        <f t="shared" si="280"/>
        <v>HOLDING REGISTER</v>
      </c>
      <c r="O2024" t="str">
        <f t="shared" si="281"/>
        <v>BOOL</v>
      </c>
      <c r="P2024" t="str">
        <f t="shared" si="282"/>
        <v xml:space="preserve">  SOS 5</v>
      </c>
      <c r="R2024" t="str">
        <f t="shared" si="283"/>
        <v>FEEDBACK RESET DA RMT</v>
      </c>
      <c r="U2024" t="str">
        <f t="shared" si="284"/>
        <v>Stato</v>
      </c>
      <c r="V2024" t="str">
        <f t="shared" si="285"/>
        <v>SOS 5</v>
      </c>
      <c r="W2024" t="str">
        <f t="shared" si="286"/>
        <v>GALLERIA CASOLA</v>
      </c>
      <c r="Z2024" t="str">
        <f t="shared" si="287"/>
        <v>10.220.80.16</v>
      </c>
    </row>
    <row r="2025" spans="1:26" x14ac:dyDescent="0.25">
      <c r="A2025" t="s">
        <v>10</v>
      </c>
      <c r="B2025" t="s">
        <v>1206</v>
      </c>
      <c r="C2025" t="s">
        <v>2546</v>
      </c>
      <c r="D2025" t="s">
        <v>1354</v>
      </c>
      <c r="E2025" t="s">
        <v>2546</v>
      </c>
      <c r="F2025" t="s">
        <v>14</v>
      </c>
      <c r="G2025" t="s">
        <v>28</v>
      </c>
      <c r="H2025" t="s">
        <v>22</v>
      </c>
      <c r="I2025" t="s">
        <v>2886</v>
      </c>
      <c r="J2025" t="s">
        <v>1356</v>
      </c>
      <c r="K2025" t="str">
        <f t="shared" si="279"/>
        <v>5005.0</v>
      </c>
      <c r="N2025" t="str">
        <f t="shared" si="280"/>
        <v>HOLDING REGISTER</v>
      </c>
      <c r="O2025" t="str">
        <f t="shared" si="281"/>
        <v>BOOL</v>
      </c>
      <c r="P2025" t="str">
        <f t="shared" si="282"/>
        <v>PULSANTE CHIAMATA SOS 6</v>
      </c>
      <c r="R2025" t="str">
        <f t="shared" si="283"/>
        <v>CHIAMATA 118 EFFETTUATA</v>
      </c>
      <c r="U2025" t="str">
        <f t="shared" si="284"/>
        <v>Allarme</v>
      </c>
      <c r="V2025" t="str">
        <f t="shared" si="285"/>
        <v>SOS 6</v>
      </c>
      <c r="W2025" t="str">
        <f t="shared" si="286"/>
        <v>GALLERIA CASOLA</v>
      </c>
      <c r="Z2025" t="str">
        <f t="shared" si="287"/>
        <v>10.220.80.16</v>
      </c>
    </row>
    <row r="2026" spans="1:26" x14ac:dyDescent="0.25">
      <c r="A2026" t="s">
        <v>10</v>
      </c>
      <c r="B2026" t="s">
        <v>1206</v>
      </c>
      <c r="C2026" t="s">
        <v>2546</v>
      </c>
      <c r="D2026" t="s">
        <v>1354</v>
      </c>
      <c r="E2026" t="s">
        <v>2546</v>
      </c>
      <c r="F2026" t="s">
        <v>14</v>
      </c>
      <c r="G2026" t="s">
        <v>28</v>
      </c>
      <c r="H2026" t="s">
        <v>22</v>
      </c>
      <c r="I2026" t="s">
        <v>2887</v>
      </c>
      <c r="J2026" t="s">
        <v>1358</v>
      </c>
      <c r="K2026" t="str">
        <f t="shared" si="279"/>
        <v>5005.1</v>
      </c>
      <c r="N2026" t="str">
        <f t="shared" si="280"/>
        <v>HOLDING REGISTER</v>
      </c>
      <c r="O2026" t="str">
        <f t="shared" si="281"/>
        <v>BOOL</v>
      </c>
      <c r="P2026" t="str">
        <f t="shared" si="282"/>
        <v>PULSANTE CHIAMATA SOS 6</v>
      </c>
      <c r="R2026" t="str">
        <f t="shared" si="283"/>
        <v>CHIAMATA 113 EFFETTUATA</v>
      </c>
      <c r="U2026" t="str">
        <f t="shared" si="284"/>
        <v>Allarme</v>
      </c>
      <c r="V2026" t="str">
        <f t="shared" si="285"/>
        <v>SOS 6</v>
      </c>
      <c r="W2026" t="str">
        <f t="shared" si="286"/>
        <v>GALLERIA CASOLA</v>
      </c>
      <c r="Z2026" t="str">
        <f t="shared" si="287"/>
        <v>10.220.80.16</v>
      </c>
    </row>
    <row r="2027" spans="1:26" x14ac:dyDescent="0.25">
      <c r="A2027" t="s">
        <v>10</v>
      </c>
      <c r="B2027" t="s">
        <v>1206</v>
      </c>
      <c r="C2027" t="s">
        <v>2546</v>
      </c>
      <c r="D2027" t="s">
        <v>1354</v>
      </c>
      <c r="E2027" t="s">
        <v>2546</v>
      </c>
      <c r="F2027" t="s">
        <v>14</v>
      </c>
      <c r="G2027" t="s">
        <v>28</v>
      </c>
      <c r="H2027" t="s">
        <v>22</v>
      </c>
      <c r="I2027" t="s">
        <v>2888</v>
      </c>
      <c r="J2027" t="s">
        <v>1360</v>
      </c>
      <c r="K2027" t="str">
        <f t="shared" si="279"/>
        <v>5005.2</v>
      </c>
      <c r="N2027" t="str">
        <f t="shared" si="280"/>
        <v>HOLDING REGISTER</v>
      </c>
      <c r="O2027" t="str">
        <f t="shared" si="281"/>
        <v>BOOL</v>
      </c>
      <c r="P2027" t="str">
        <f t="shared" si="282"/>
        <v>PULSANTE CHIAMATA SOS 6</v>
      </c>
      <c r="R2027" t="str">
        <f t="shared" si="283"/>
        <v>CHIAMATA 115 EFFETTUATA</v>
      </c>
      <c r="U2027" t="str">
        <f t="shared" si="284"/>
        <v>Allarme</v>
      </c>
      <c r="V2027" t="str">
        <f t="shared" si="285"/>
        <v>SOS 6</v>
      </c>
      <c r="W2027" t="str">
        <f t="shared" si="286"/>
        <v>GALLERIA CASOLA</v>
      </c>
      <c r="Z2027" t="str">
        <f t="shared" si="287"/>
        <v>10.220.80.16</v>
      </c>
    </row>
    <row r="2028" spans="1:26" x14ac:dyDescent="0.25">
      <c r="A2028" t="s">
        <v>10</v>
      </c>
      <c r="B2028" t="s">
        <v>1206</v>
      </c>
      <c r="C2028" t="s">
        <v>2546</v>
      </c>
      <c r="D2028" t="s">
        <v>1354</v>
      </c>
      <c r="E2028" t="s">
        <v>2546</v>
      </c>
      <c r="F2028" t="s">
        <v>14</v>
      </c>
      <c r="G2028" t="s">
        <v>28</v>
      </c>
      <c r="H2028" t="s">
        <v>22</v>
      </c>
      <c r="I2028" t="s">
        <v>2889</v>
      </c>
      <c r="J2028" t="s">
        <v>1362</v>
      </c>
      <c r="K2028" t="str">
        <f t="shared" si="279"/>
        <v>5005.3</v>
      </c>
      <c r="N2028" t="str">
        <f t="shared" si="280"/>
        <v>HOLDING REGISTER</v>
      </c>
      <c r="O2028" t="str">
        <f t="shared" si="281"/>
        <v>BOOL</v>
      </c>
      <c r="P2028" t="str">
        <f t="shared" si="282"/>
        <v>PULSANTE CHIAMATA SOS 6</v>
      </c>
      <c r="R2028" t="str">
        <f t="shared" si="283"/>
        <v>CHIAMATA SALA CONTROLLO ANAS EFFETTUATA</v>
      </c>
      <c r="U2028" t="str">
        <f t="shared" si="284"/>
        <v>Allarme</v>
      </c>
      <c r="V2028" t="str">
        <f t="shared" si="285"/>
        <v>SOS 6</v>
      </c>
      <c r="W2028" t="str">
        <f t="shared" si="286"/>
        <v>GALLERIA CASOLA</v>
      </c>
      <c r="Z2028" t="str">
        <f t="shared" si="287"/>
        <v>10.220.80.16</v>
      </c>
    </row>
    <row r="2029" spans="1:26" x14ac:dyDescent="0.25">
      <c r="A2029" t="s">
        <v>10</v>
      </c>
      <c r="B2029" t="s">
        <v>1206</v>
      </c>
      <c r="C2029" t="s">
        <v>2546</v>
      </c>
      <c r="D2029" t="s">
        <v>1363</v>
      </c>
      <c r="E2029" t="s">
        <v>2546</v>
      </c>
      <c r="F2029" t="s">
        <v>14</v>
      </c>
      <c r="G2029" t="s">
        <v>28</v>
      </c>
      <c r="H2029" t="s">
        <v>22</v>
      </c>
      <c r="I2029" t="s">
        <v>2890</v>
      </c>
      <c r="J2029" t="s">
        <v>1365</v>
      </c>
      <c r="K2029" t="str">
        <f t="shared" si="279"/>
        <v>5005.4</v>
      </c>
      <c r="N2029" t="str">
        <f t="shared" si="280"/>
        <v>HOLDING REGISTER</v>
      </c>
      <c r="O2029" t="str">
        <f t="shared" si="281"/>
        <v>BOOL</v>
      </c>
      <c r="P2029" t="str">
        <f t="shared" si="282"/>
        <v>ESTINTORE SOS 6</v>
      </c>
      <c r="R2029" t="str">
        <f t="shared" si="283"/>
        <v>ESTINTORE PRELEVATO 1</v>
      </c>
      <c r="U2029" t="str">
        <f t="shared" si="284"/>
        <v>Allarme</v>
      </c>
      <c r="V2029" t="str">
        <f t="shared" si="285"/>
        <v>SOS 6</v>
      </c>
      <c r="W2029" t="str">
        <f t="shared" si="286"/>
        <v>GALLERIA CASOLA</v>
      </c>
      <c r="Z2029" t="str">
        <f t="shared" si="287"/>
        <v>10.220.80.16</v>
      </c>
    </row>
    <row r="2030" spans="1:26" x14ac:dyDescent="0.25">
      <c r="A2030" t="s">
        <v>10</v>
      </c>
      <c r="B2030" t="s">
        <v>1206</v>
      </c>
      <c r="C2030" t="s">
        <v>2546</v>
      </c>
      <c r="D2030" t="s">
        <v>1363</v>
      </c>
      <c r="E2030" t="s">
        <v>2546</v>
      </c>
      <c r="F2030" t="s">
        <v>14</v>
      </c>
      <c r="G2030" t="s">
        <v>28</v>
      </c>
      <c r="H2030" t="s">
        <v>22</v>
      </c>
      <c r="I2030" t="s">
        <v>2891</v>
      </c>
      <c r="J2030" t="s">
        <v>1367</v>
      </c>
      <c r="K2030" t="str">
        <f t="shared" si="279"/>
        <v>5005.5</v>
      </c>
      <c r="N2030" t="str">
        <f t="shared" si="280"/>
        <v>HOLDING REGISTER</v>
      </c>
      <c r="O2030" t="str">
        <f t="shared" si="281"/>
        <v>BOOL</v>
      </c>
      <c r="P2030" t="str">
        <f t="shared" si="282"/>
        <v>ESTINTORE SOS 6</v>
      </c>
      <c r="R2030" t="str">
        <f t="shared" si="283"/>
        <v>ESTINTORE PRELEVATO 2</v>
      </c>
      <c r="U2030" t="str">
        <f t="shared" si="284"/>
        <v>Allarme</v>
      </c>
      <c r="V2030" t="str">
        <f t="shared" si="285"/>
        <v>SOS 6</v>
      </c>
      <c r="W2030" t="str">
        <f t="shared" si="286"/>
        <v>GALLERIA CASOLA</v>
      </c>
      <c r="Z2030" t="str">
        <f t="shared" si="287"/>
        <v>10.220.80.16</v>
      </c>
    </row>
    <row r="2031" spans="1:26" x14ac:dyDescent="0.25">
      <c r="A2031" t="s">
        <v>10</v>
      </c>
      <c r="B2031" t="s">
        <v>1206</v>
      </c>
      <c r="C2031" t="s">
        <v>2546</v>
      </c>
      <c r="D2031" t="s">
        <v>1368</v>
      </c>
      <c r="E2031" t="s">
        <v>2546</v>
      </c>
      <c r="F2031" t="s">
        <v>14</v>
      </c>
      <c r="G2031" t="s">
        <v>28</v>
      </c>
      <c r="H2031" t="s">
        <v>22</v>
      </c>
      <c r="I2031" t="s">
        <v>2892</v>
      </c>
      <c r="J2031" t="s">
        <v>1370</v>
      </c>
      <c r="K2031" t="str">
        <f t="shared" si="279"/>
        <v>5005.6</v>
      </c>
      <c r="N2031" t="str">
        <f t="shared" si="280"/>
        <v>HOLDING REGISTER</v>
      </c>
      <c r="O2031" t="str">
        <f t="shared" si="281"/>
        <v>BOOL</v>
      </c>
      <c r="P2031" t="str">
        <f t="shared" si="282"/>
        <v>PORTA SOS 6</v>
      </c>
      <c r="R2031" t="str">
        <f t="shared" si="283"/>
        <v>MANICHETTA PRELEVATA</v>
      </c>
      <c r="U2031" t="str">
        <f t="shared" si="284"/>
        <v>Allarme</v>
      </c>
      <c r="V2031" t="str">
        <f t="shared" si="285"/>
        <v>SOS 6</v>
      </c>
      <c r="W2031" t="str">
        <f t="shared" si="286"/>
        <v>GALLERIA CASOLA</v>
      </c>
      <c r="Z2031" t="str">
        <f t="shared" si="287"/>
        <v>10.220.80.16</v>
      </c>
    </row>
    <row r="2032" spans="1:26" x14ac:dyDescent="0.25">
      <c r="A2032" t="s">
        <v>10</v>
      </c>
      <c r="B2032" t="s">
        <v>1206</v>
      </c>
      <c r="C2032" t="s">
        <v>2546</v>
      </c>
      <c r="D2032" t="s">
        <v>1368</v>
      </c>
      <c r="E2032" t="s">
        <v>2546</v>
      </c>
      <c r="F2032" t="s">
        <v>14</v>
      </c>
      <c r="G2032" t="s">
        <v>28</v>
      </c>
      <c r="H2032" t="s">
        <v>22</v>
      </c>
      <c r="I2032" t="s">
        <v>2893</v>
      </c>
      <c r="J2032" t="s">
        <v>1372</v>
      </c>
      <c r="K2032" t="str">
        <f t="shared" si="279"/>
        <v>5005.7</v>
      </c>
      <c r="N2032" t="str">
        <f t="shared" si="280"/>
        <v>HOLDING REGISTER</v>
      </c>
      <c r="O2032" t="str">
        <f t="shared" si="281"/>
        <v>BOOL</v>
      </c>
      <c r="P2032" t="str">
        <f t="shared" si="282"/>
        <v>PORTA SOS 6</v>
      </c>
      <c r="R2032" t="str">
        <f t="shared" si="283"/>
        <v>PORTA TELEFONO VOIP APERTA</v>
      </c>
      <c r="U2032" t="str">
        <f t="shared" si="284"/>
        <v>Allarme</v>
      </c>
      <c r="V2032" t="str">
        <f t="shared" si="285"/>
        <v>SOS 6</v>
      </c>
      <c r="W2032" t="str">
        <f t="shared" si="286"/>
        <v>GALLERIA CASOLA</v>
      </c>
      <c r="Z2032" t="str">
        <f t="shared" si="287"/>
        <v>10.220.80.16</v>
      </c>
    </row>
    <row r="2033" spans="1:26" x14ac:dyDescent="0.25">
      <c r="A2033" t="s">
        <v>10</v>
      </c>
      <c r="B2033" t="s">
        <v>1206</v>
      </c>
      <c r="C2033" t="s">
        <v>2546</v>
      </c>
      <c r="D2033" t="s">
        <v>1368</v>
      </c>
      <c r="E2033" t="s">
        <v>2546</v>
      </c>
      <c r="F2033" t="s">
        <v>14</v>
      </c>
      <c r="G2033" t="s">
        <v>28</v>
      </c>
      <c r="H2033" t="s">
        <v>22</v>
      </c>
      <c r="I2033" t="s">
        <v>2894</v>
      </c>
      <c r="J2033" t="s">
        <v>1374</v>
      </c>
      <c r="K2033" t="str">
        <f t="shared" si="279"/>
        <v>5005.8</v>
      </c>
      <c r="N2033" t="str">
        <f t="shared" si="280"/>
        <v>HOLDING REGISTER</v>
      </c>
      <c r="O2033" t="str">
        <f t="shared" si="281"/>
        <v>BOOL</v>
      </c>
      <c r="P2033" t="str">
        <f t="shared" si="282"/>
        <v>PORTA SOS 6</v>
      </c>
      <c r="R2033" t="str">
        <f t="shared" si="283"/>
        <v>PORTA VANO TECNICO APERTA</v>
      </c>
      <c r="U2033" t="str">
        <f t="shared" si="284"/>
        <v>Allarme</v>
      </c>
      <c r="V2033" t="str">
        <f t="shared" si="285"/>
        <v>SOS 6</v>
      </c>
      <c r="W2033" t="str">
        <f t="shared" si="286"/>
        <v>GALLERIA CASOLA</v>
      </c>
      <c r="Z2033" t="str">
        <f t="shared" si="287"/>
        <v>10.220.80.16</v>
      </c>
    </row>
    <row r="2034" spans="1:26" x14ac:dyDescent="0.25">
      <c r="A2034" t="s">
        <v>10</v>
      </c>
      <c r="B2034" t="s">
        <v>1206</v>
      </c>
      <c r="C2034" t="s">
        <v>2546</v>
      </c>
      <c r="D2034" t="s">
        <v>1375</v>
      </c>
      <c r="E2034" t="s">
        <v>2546</v>
      </c>
      <c r="F2034" t="s">
        <v>14</v>
      </c>
      <c r="G2034" t="s">
        <v>1375</v>
      </c>
      <c r="H2034" t="s">
        <v>22</v>
      </c>
      <c r="I2034" t="s">
        <v>2895</v>
      </c>
      <c r="J2034" t="s">
        <v>1375</v>
      </c>
      <c r="K2034" t="str">
        <f t="shared" si="279"/>
        <v>5005.9</v>
      </c>
      <c r="N2034" t="str">
        <f t="shared" si="280"/>
        <v>HOLDING REGISTER</v>
      </c>
      <c r="O2034" t="str">
        <f t="shared" si="281"/>
        <v>BOOL</v>
      </c>
      <c r="P2034" t="str">
        <f t="shared" si="282"/>
        <v>disponibile SOS 6</v>
      </c>
      <c r="R2034" t="str">
        <f t="shared" si="283"/>
        <v>disponibile</v>
      </c>
      <c r="U2034" t="str">
        <f t="shared" si="284"/>
        <v>disponibile</v>
      </c>
      <c r="V2034" t="str">
        <f t="shared" si="285"/>
        <v>SOS 6</v>
      </c>
      <c r="W2034" t="str">
        <f t="shared" si="286"/>
        <v>GALLERIA CASOLA</v>
      </c>
      <c r="Z2034" t="str">
        <f t="shared" si="287"/>
        <v>10.220.80.16</v>
      </c>
    </row>
    <row r="2035" spans="1:26" x14ac:dyDescent="0.25">
      <c r="A2035" t="s">
        <v>10</v>
      </c>
      <c r="B2035" t="s">
        <v>1206</v>
      </c>
      <c r="C2035" t="s">
        <v>2546</v>
      </c>
      <c r="D2035" t="s">
        <v>1375</v>
      </c>
      <c r="E2035" t="s">
        <v>2546</v>
      </c>
      <c r="F2035" t="s">
        <v>14</v>
      </c>
      <c r="G2035" t="s">
        <v>1375</v>
      </c>
      <c r="H2035" t="s">
        <v>22</v>
      </c>
      <c r="I2035" t="s">
        <v>2896</v>
      </c>
      <c r="J2035" t="s">
        <v>1375</v>
      </c>
      <c r="K2035" t="str">
        <f t="shared" si="279"/>
        <v>5005.10</v>
      </c>
      <c r="N2035" t="str">
        <f t="shared" si="280"/>
        <v>HOLDING REGISTER</v>
      </c>
      <c r="O2035" t="str">
        <f t="shared" si="281"/>
        <v>BOOL</v>
      </c>
      <c r="P2035" t="str">
        <f t="shared" si="282"/>
        <v>disponibile SOS 6</v>
      </c>
      <c r="R2035" t="str">
        <f t="shared" si="283"/>
        <v>disponibile</v>
      </c>
      <c r="U2035" t="str">
        <f t="shared" si="284"/>
        <v>disponibile</v>
      </c>
      <c r="V2035" t="str">
        <f t="shared" si="285"/>
        <v>SOS 6</v>
      </c>
      <c r="W2035" t="str">
        <f t="shared" si="286"/>
        <v>GALLERIA CASOLA</v>
      </c>
      <c r="Z2035" t="str">
        <f t="shared" si="287"/>
        <v>10.220.80.16</v>
      </c>
    </row>
    <row r="2036" spans="1:26" x14ac:dyDescent="0.25">
      <c r="A2036" t="s">
        <v>10</v>
      </c>
      <c r="B2036" t="s">
        <v>1206</v>
      </c>
      <c r="C2036" t="s">
        <v>2546</v>
      </c>
      <c r="D2036" t="s">
        <v>1375</v>
      </c>
      <c r="E2036" t="s">
        <v>2546</v>
      </c>
      <c r="F2036" t="s">
        <v>14</v>
      </c>
      <c r="G2036" t="s">
        <v>1375</v>
      </c>
      <c r="H2036" t="s">
        <v>22</v>
      </c>
      <c r="I2036" t="s">
        <v>2897</v>
      </c>
      <c r="J2036" t="s">
        <v>1375</v>
      </c>
      <c r="K2036" t="str">
        <f t="shared" si="279"/>
        <v>5005.11</v>
      </c>
      <c r="N2036" t="str">
        <f t="shared" si="280"/>
        <v>HOLDING REGISTER</v>
      </c>
      <c r="O2036" t="str">
        <f t="shared" si="281"/>
        <v>BOOL</v>
      </c>
      <c r="P2036" t="str">
        <f t="shared" si="282"/>
        <v>disponibile SOS 6</v>
      </c>
      <c r="R2036" t="str">
        <f t="shared" si="283"/>
        <v>disponibile</v>
      </c>
      <c r="U2036" t="str">
        <f t="shared" si="284"/>
        <v>disponibile</v>
      </c>
      <c r="V2036" t="str">
        <f t="shared" si="285"/>
        <v>SOS 6</v>
      </c>
      <c r="W2036" t="str">
        <f t="shared" si="286"/>
        <v>GALLERIA CASOLA</v>
      </c>
      <c r="Z2036" t="str">
        <f t="shared" si="287"/>
        <v>10.220.80.16</v>
      </c>
    </row>
    <row r="2037" spans="1:26" x14ac:dyDescent="0.25">
      <c r="A2037" t="s">
        <v>10</v>
      </c>
      <c r="B2037" t="s">
        <v>1206</v>
      </c>
      <c r="C2037" t="s">
        <v>2546</v>
      </c>
      <c r="D2037" t="s">
        <v>1375</v>
      </c>
      <c r="E2037" t="s">
        <v>2546</v>
      </c>
      <c r="F2037" t="s">
        <v>14</v>
      </c>
      <c r="G2037" t="s">
        <v>1375</v>
      </c>
      <c r="H2037" t="s">
        <v>22</v>
      </c>
      <c r="I2037" t="s">
        <v>2898</v>
      </c>
      <c r="J2037" t="s">
        <v>1375</v>
      </c>
      <c r="K2037" t="str">
        <f t="shared" si="279"/>
        <v>5005.12</v>
      </c>
      <c r="N2037" t="str">
        <f t="shared" si="280"/>
        <v>HOLDING REGISTER</v>
      </c>
      <c r="O2037" t="str">
        <f t="shared" si="281"/>
        <v>BOOL</v>
      </c>
      <c r="P2037" t="str">
        <f t="shared" si="282"/>
        <v>disponibile SOS 6</v>
      </c>
      <c r="R2037" t="str">
        <f t="shared" si="283"/>
        <v>disponibile</v>
      </c>
      <c r="U2037" t="str">
        <f t="shared" si="284"/>
        <v>disponibile</v>
      </c>
      <c r="V2037" t="str">
        <f t="shared" si="285"/>
        <v>SOS 6</v>
      </c>
      <c r="W2037" t="str">
        <f t="shared" si="286"/>
        <v>GALLERIA CASOLA</v>
      </c>
      <c r="Z2037" t="str">
        <f t="shared" si="287"/>
        <v>10.220.80.16</v>
      </c>
    </row>
    <row r="2038" spans="1:26" x14ac:dyDescent="0.25">
      <c r="A2038" t="s">
        <v>10</v>
      </c>
      <c r="B2038" t="s">
        <v>1206</v>
      </c>
      <c r="C2038" t="s">
        <v>2546</v>
      </c>
      <c r="D2038" t="s">
        <v>12</v>
      </c>
      <c r="E2038" t="s">
        <v>2546</v>
      </c>
      <c r="F2038" t="s">
        <v>14</v>
      </c>
      <c r="G2038" t="s">
        <v>28</v>
      </c>
      <c r="H2038" t="s">
        <v>22</v>
      </c>
      <c r="I2038" t="s">
        <v>2899</v>
      </c>
      <c r="J2038" t="s">
        <v>1381</v>
      </c>
      <c r="K2038" t="str">
        <f t="shared" si="279"/>
        <v>5005.13</v>
      </c>
      <c r="N2038" t="str">
        <f t="shared" si="280"/>
        <v>HOLDING REGISTER</v>
      </c>
      <c r="O2038" t="str">
        <f t="shared" si="281"/>
        <v>BOOL</v>
      </c>
      <c r="P2038" t="str">
        <f t="shared" si="282"/>
        <v>PLC SOS 6</v>
      </c>
      <c r="R2038" t="str">
        <f t="shared" si="283"/>
        <v>PLC IN STOP</v>
      </c>
      <c r="U2038" t="str">
        <f t="shared" si="284"/>
        <v>Allarme</v>
      </c>
      <c r="V2038" t="str">
        <f t="shared" si="285"/>
        <v>SOS 6</v>
      </c>
      <c r="W2038" t="str">
        <f t="shared" si="286"/>
        <v>GALLERIA CASOLA</v>
      </c>
      <c r="Z2038" t="str">
        <f t="shared" si="287"/>
        <v>10.220.80.16</v>
      </c>
    </row>
    <row r="2039" spans="1:26" x14ac:dyDescent="0.25">
      <c r="A2039" t="s">
        <v>10</v>
      </c>
      <c r="B2039" t="s">
        <v>1206</v>
      </c>
      <c r="C2039" t="s">
        <v>2546</v>
      </c>
      <c r="D2039" t="s">
        <v>12</v>
      </c>
      <c r="E2039" t="s">
        <v>2546</v>
      </c>
      <c r="F2039" t="s">
        <v>14</v>
      </c>
      <c r="G2039" t="s">
        <v>28</v>
      </c>
      <c r="H2039" t="s">
        <v>22</v>
      </c>
      <c r="I2039" t="s">
        <v>2900</v>
      </c>
      <c r="J2039" t="s">
        <v>1383</v>
      </c>
      <c r="K2039" t="str">
        <f t="shared" si="279"/>
        <v>5005.14</v>
      </c>
      <c r="N2039" t="str">
        <f t="shared" si="280"/>
        <v>HOLDING REGISTER</v>
      </c>
      <c r="O2039" t="str">
        <f t="shared" si="281"/>
        <v>BOOL</v>
      </c>
      <c r="P2039" t="str">
        <f t="shared" si="282"/>
        <v>PLC SOS 6</v>
      </c>
      <c r="R2039" t="str">
        <f t="shared" si="283"/>
        <v>FAULT COMUNICAZIONE ETHERNET</v>
      </c>
      <c r="U2039" t="str">
        <f t="shared" si="284"/>
        <v>Allarme</v>
      </c>
      <c r="V2039" t="str">
        <f t="shared" si="285"/>
        <v>SOS 6</v>
      </c>
      <c r="W2039" t="str">
        <f t="shared" si="286"/>
        <v>GALLERIA CASOLA</v>
      </c>
      <c r="Z2039" t="str">
        <f t="shared" si="287"/>
        <v>10.220.80.16</v>
      </c>
    </row>
    <row r="2040" spans="1:26" x14ac:dyDescent="0.25">
      <c r="A2040" t="s">
        <v>10</v>
      </c>
      <c r="B2040" t="s">
        <v>1206</v>
      </c>
      <c r="C2040" t="s">
        <v>2546</v>
      </c>
      <c r="D2040" t="s">
        <v>1384</v>
      </c>
      <c r="E2040" t="s">
        <v>2546</v>
      </c>
      <c r="F2040" t="s">
        <v>14</v>
      </c>
      <c r="G2040" t="s">
        <v>21</v>
      </c>
      <c r="H2040" t="s">
        <v>22</v>
      </c>
      <c r="I2040" t="s">
        <v>2901</v>
      </c>
      <c r="J2040" t="s">
        <v>1386</v>
      </c>
      <c r="K2040" t="str">
        <f t="shared" si="279"/>
        <v>5005.15</v>
      </c>
      <c r="N2040" t="str">
        <f t="shared" si="280"/>
        <v>HOLDING REGISTER</v>
      </c>
      <c r="O2040" t="str">
        <f t="shared" si="281"/>
        <v>BOOL</v>
      </c>
      <c r="P2040" t="str">
        <f t="shared" si="282"/>
        <v xml:space="preserve">  SOS 6</v>
      </c>
      <c r="R2040" t="str">
        <f t="shared" si="283"/>
        <v>FEEDBACK RESET DA RMT</v>
      </c>
      <c r="U2040" t="str">
        <f t="shared" si="284"/>
        <v>Stato</v>
      </c>
      <c r="V2040" t="str">
        <f t="shared" si="285"/>
        <v>SOS 6</v>
      </c>
      <c r="W2040" t="str">
        <f t="shared" si="286"/>
        <v>GALLERIA CASOLA</v>
      </c>
      <c r="Z2040" t="str">
        <f t="shared" si="287"/>
        <v>10.220.80.16</v>
      </c>
    </row>
    <row r="2041" spans="1:26" x14ac:dyDescent="0.25">
      <c r="A2041" t="s">
        <v>10</v>
      </c>
      <c r="B2041" t="s">
        <v>1206</v>
      </c>
      <c r="C2041" t="s">
        <v>2549</v>
      </c>
      <c r="D2041" t="s">
        <v>1354</v>
      </c>
      <c r="E2041" t="s">
        <v>2549</v>
      </c>
      <c r="F2041" t="s">
        <v>14</v>
      </c>
      <c r="G2041" t="s">
        <v>28</v>
      </c>
      <c r="H2041" t="s">
        <v>22</v>
      </c>
      <c r="I2041" t="s">
        <v>2902</v>
      </c>
      <c r="J2041" t="s">
        <v>1356</v>
      </c>
      <c r="K2041" t="str">
        <f t="shared" si="279"/>
        <v>5006.0</v>
      </c>
      <c r="N2041" t="str">
        <f t="shared" si="280"/>
        <v>HOLDING REGISTER</v>
      </c>
      <c r="O2041" t="str">
        <f t="shared" si="281"/>
        <v>BOOL</v>
      </c>
      <c r="P2041" t="str">
        <f t="shared" si="282"/>
        <v>PULSANTE CHIAMATA SOS 7</v>
      </c>
      <c r="R2041" t="str">
        <f t="shared" si="283"/>
        <v>CHIAMATA 118 EFFETTUATA</v>
      </c>
      <c r="U2041" t="str">
        <f t="shared" si="284"/>
        <v>Allarme</v>
      </c>
      <c r="V2041" t="str">
        <f t="shared" si="285"/>
        <v>SOS 7</v>
      </c>
      <c r="W2041" t="str">
        <f t="shared" si="286"/>
        <v>GALLERIA CASOLA</v>
      </c>
      <c r="Z2041" t="str">
        <f t="shared" si="287"/>
        <v>10.220.80.16</v>
      </c>
    </row>
    <row r="2042" spans="1:26" x14ac:dyDescent="0.25">
      <c r="A2042" t="s">
        <v>10</v>
      </c>
      <c r="B2042" t="s">
        <v>1206</v>
      </c>
      <c r="C2042" t="s">
        <v>2549</v>
      </c>
      <c r="D2042" t="s">
        <v>1354</v>
      </c>
      <c r="E2042" t="s">
        <v>2549</v>
      </c>
      <c r="F2042" t="s">
        <v>14</v>
      </c>
      <c r="G2042" t="s">
        <v>28</v>
      </c>
      <c r="H2042" t="s">
        <v>22</v>
      </c>
      <c r="I2042" t="s">
        <v>2903</v>
      </c>
      <c r="J2042" t="s">
        <v>1358</v>
      </c>
      <c r="K2042" t="str">
        <f t="shared" si="279"/>
        <v>5006.1</v>
      </c>
      <c r="N2042" t="str">
        <f t="shared" si="280"/>
        <v>HOLDING REGISTER</v>
      </c>
      <c r="O2042" t="str">
        <f t="shared" si="281"/>
        <v>BOOL</v>
      </c>
      <c r="P2042" t="str">
        <f t="shared" si="282"/>
        <v>PULSANTE CHIAMATA SOS 7</v>
      </c>
      <c r="R2042" t="str">
        <f t="shared" si="283"/>
        <v>CHIAMATA 113 EFFETTUATA</v>
      </c>
      <c r="U2042" t="str">
        <f t="shared" si="284"/>
        <v>Allarme</v>
      </c>
      <c r="V2042" t="str">
        <f t="shared" si="285"/>
        <v>SOS 7</v>
      </c>
      <c r="W2042" t="str">
        <f t="shared" si="286"/>
        <v>GALLERIA CASOLA</v>
      </c>
      <c r="Z2042" t="str">
        <f t="shared" si="287"/>
        <v>10.220.80.16</v>
      </c>
    </row>
    <row r="2043" spans="1:26" x14ac:dyDescent="0.25">
      <c r="A2043" t="s">
        <v>10</v>
      </c>
      <c r="B2043" t="s">
        <v>1206</v>
      </c>
      <c r="C2043" t="s">
        <v>2549</v>
      </c>
      <c r="D2043" t="s">
        <v>1354</v>
      </c>
      <c r="E2043" t="s">
        <v>2549</v>
      </c>
      <c r="F2043" t="s">
        <v>14</v>
      </c>
      <c r="G2043" t="s">
        <v>28</v>
      </c>
      <c r="H2043" t="s">
        <v>22</v>
      </c>
      <c r="I2043" t="s">
        <v>2904</v>
      </c>
      <c r="J2043" t="s">
        <v>1360</v>
      </c>
      <c r="K2043" t="str">
        <f t="shared" si="279"/>
        <v>5006.2</v>
      </c>
      <c r="N2043" t="str">
        <f t="shared" si="280"/>
        <v>HOLDING REGISTER</v>
      </c>
      <c r="O2043" t="str">
        <f t="shared" si="281"/>
        <v>BOOL</v>
      </c>
      <c r="P2043" t="str">
        <f t="shared" si="282"/>
        <v>PULSANTE CHIAMATA SOS 7</v>
      </c>
      <c r="R2043" t="str">
        <f t="shared" si="283"/>
        <v>CHIAMATA 115 EFFETTUATA</v>
      </c>
      <c r="U2043" t="str">
        <f t="shared" si="284"/>
        <v>Allarme</v>
      </c>
      <c r="V2043" t="str">
        <f t="shared" si="285"/>
        <v>SOS 7</v>
      </c>
      <c r="W2043" t="str">
        <f t="shared" si="286"/>
        <v>GALLERIA CASOLA</v>
      </c>
      <c r="Z2043" t="str">
        <f t="shared" si="287"/>
        <v>10.220.80.16</v>
      </c>
    </row>
    <row r="2044" spans="1:26" x14ac:dyDescent="0.25">
      <c r="A2044" t="s">
        <v>10</v>
      </c>
      <c r="B2044" t="s">
        <v>1206</v>
      </c>
      <c r="C2044" t="s">
        <v>2549</v>
      </c>
      <c r="D2044" t="s">
        <v>1354</v>
      </c>
      <c r="E2044" t="s">
        <v>2549</v>
      </c>
      <c r="F2044" t="s">
        <v>14</v>
      </c>
      <c r="G2044" t="s">
        <v>28</v>
      </c>
      <c r="H2044" t="s">
        <v>22</v>
      </c>
      <c r="I2044" t="s">
        <v>2905</v>
      </c>
      <c r="J2044" t="s">
        <v>1362</v>
      </c>
      <c r="K2044" t="str">
        <f t="shared" si="279"/>
        <v>5006.3</v>
      </c>
      <c r="N2044" t="str">
        <f t="shared" si="280"/>
        <v>HOLDING REGISTER</v>
      </c>
      <c r="O2044" t="str">
        <f t="shared" si="281"/>
        <v>BOOL</v>
      </c>
      <c r="P2044" t="str">
        <f t="shared" si="282"/>
        <v>PULSANTE CHIAMATA SOS 7</v>
      </c>
      <c r="R2044" t="str">
        <f t="shared" si="283"/>
        <v>CHIAMATA SALA CONTROLLO ANAS EFFETTUATA</v>
      </c>
      <c r="U2044" t="str">
        <f t="shared" si="284"/>
        <v>Allarme</v>
      </c>
      <c r="V2044" t="str">
        <f t="shared" si="285"/>
        <v>SOS 7</v>
      </c>
      <c r="W2044" t="str">
        <f t="shared" si="286"/>
        <v>GALLERIA CASOLA</v>
      </c>
      <c r="Z2044" t="str">
        <f t="shared" si="287"/>
        <v>10.220.80.16</v>
      </c>
    </row>
    <row r="2045" spans="1:26" x14ac:dyDescent="0.25">
      <c r="A2045" t="s">
        <v>10</v>
      </c>
      <c r="B2045" t="s">
        <v>1206</v>
      </c>
      <c r="C2045" t="s">
        <v>2549</v>
      </c>
      <c r="D2045" t="s">
        <v>1363</v>
      </c>
      <c r="E2045" t="s">
        <v>2549</v>
      </c>
      <c r="F2045" t="s">
        <v>14</v>
      </c>
      <c r="G2045" t="s">
        <v>28</v>
      </c>
      <c r="H2045" t="s">
        <v>22</v>
      </c>
      <c r="I2045" t="s">
        <v>2906</v>
      </c>
      <c r="J2045" t="s">
        <v>1365</v>
      </c>
      <c r="K2045" t="str">
        <f t="shared" si="279"/>
        <v>5006.4</v>
      </c>
      <c r="N2045" t="str">
        <f t="shared" si="280"/>
        <v>HOLDING REGISTER</v>
      </c>
      <c r="O2045" t="str">
        <f t="shared" si="281"/>
        <v>BOOL</v>
      </c>
      <c r="P2045" t="str">
        <f t="shared" si="282"/>
        <v>ESTINTORE SOS 7</v>
      </c>
      <c r="R2045" t="str">
        <f t="shared" si="283"/>
        <v>ESTINTORE PRELEVATO 1</v>
      </c>
      <c r="U2045" t="str">
        <f t="shared" si="284"/>
        <v>Allarme</v>
      </c>
      <c r="V2045" t="str">
        <f t="shared" si="285"/>
        <v>SOS 7</v>
      </c>
      <c r="W2045" t="str">
        <f t="shared" si="286"/>
        <v>GALLERIA CASOLA</v>
      </c>
      <c r="Z2045" t="str">
        <f t="shared" si="287"/>
        <v>10.220.80.16</v>
      </c>
    </row>
    <row r="2046" spans="1:26" x14ac:dyDescent="0.25">
      <c r="A2046" t="s">
        <v>10</v>
      </c>
      <c r="B2046" t="s">
        <v>1206</v>
      </c>
      <c r="C2046" t="s">
        <v>2549</v>
      </c>
      <c r="D2046" t="s">
        <v>1363</v>
      </c>
      <c r="E2046" t="s">
        <v>2549</v>
      </c>
      <c r="F2046" t="s">
        <v>14</v>
      </c>
      <c r="G2046" t="s">
        <v>28</v>
      </c>
      <c r="H2046" t="s">
        <v>22</v>
      </c>
      <c r="I2046" t="s">
        <v>2907</v>
      </c>
      <c r="J2046" t="s">
        <v>1367</v>
      </c>
      <c r="K2046" t="str">
        <f t="shared" si="279"/>
        <v>5006.5</v>
      </c>
      <c r="N2046" t="str">
        <f t="shared" si="280"/>
        <v>HOLDING REGISTER</v>
      </c>
      <c r="O2046" t="str">
        <f t="shared" si="281"/>
        <v>BOOL</v>
      </c>
      <c r="P2046" t="str">
        <f t="shared" si="282"/>
        <v>ESTINTORE SOS 7</v>
      </c>
      <c r="R2046" t="str">
        <f t="shared" si="283"/>
        <v>ESTINTORE PRELEVATO 2</v>
      </c>
      <c r="U2046" t="str">
        <f t="shared" si="284"/>
        <v>Allarme</v>
      </c>
      <c r="V2046" t="str">
        <f t="shared" si="285"/>
        <v>SOS 7</v>
      </c>
      <c r="W2046" t="str">
        <f t="shared" si="286"/>
        <v>GALLERIA CASOLA</v>
      </c>
      <c r="Z2046" t="str">
        <f t="shared" si="287"/>
        <v>10.220.80.16</v>
      </c>
    </row>
    <row r="2047" spans="1:26" x14ac:dyDescent="0.25">
      <c r="A2047" t="s">
        <v>10</v>
      </c>
      <c r="B2047" t="s">
        <v>1206</v>
      </c>
      <c r="C2047" t="s">
        <v>2549</v>
      </c>
      <c r="D2047" t="s">
        <v>1368</v>
      </c>
      <c r="E2047" t="s">
        <v>2549</v>
      </c>
      <c r="F2047" t="s">
        <v>14</v>
      </c>
      <c r="G2047" t="s">
        <v>28</v>
      </c>
      <c r="H2047" t="s">
        <v>22</v>
      </c>
      <c r="I2047" t="s">
        <v>2908</v>
      </c>
      <c r="J2047" t="s">
        <v>1370</v>
      </c>
      <c r="K2047" t="str">
        <f t="shared" si="279"/>
        <v>5006.6</v>
      </c>
      <c r="N2047" t="str">
        <f t="shared" si="280"/>
        <v>HOLDING REGISTER</v>
      </c>
      <c r="O2047" t="str">
        <f t="shared" si="281"/>
        <v>BOOL</v>
      </c>
      <c r="P2047" t="str">
        <f t="shared" si="282"/>
        <v>PORTA SOS 7</v>
      </c>
      <c r="R2047" t="str">
        <f t="shared" si="283"/>
        <v>MANICHETTA PRELEVATA</v>
      </c>
      <c r="U2047" t="str">
        <f t="shared" si="284"/>
        <v>Allarme</v>
      </c>
      <c r="V2047" t="str">
        <f t="shared" si="285"/>
        <v>SOS 7</v>
      </c>
      <c r="W2047" t="str">
        <f t="shared" si="286"/>
        <v>GALLERIA CASOLA</v>
      </c>
      <c r="Z2047" t="str">
        <f t="shared" si="287"/>
        <v>10.220.80.16</v>
      </c>
    </row>
    <row r="2048" spans="1:26" x14ac:dyDescent="0.25">
      <c r="A2048" t="s">
        <v>10</v>
      </c>
      <c r="B2048" t="s">
        <v>1206</v>
      </c>
      <c r="C2048" t="s">
        <v>2549</v>
      </c>
      <c r="D2048" t="s">
        <v>1368</v>
      </c>
      <c r="E2048" t="s">
        <v>2549</v>
      </c>
      <c r="F2048" t="s">
        <v>14</v>
      </c>
      <c r="G2048" t="s">
        <v>28</v>
      </c>
      <c r="H2048" t="s">
        <v>22</v>
      </c>
      <c r="I2048" t="s">
        <v>2909</v>
      </c>
      <c r="J2048" t="s">
        <v>1372</v>
      </c>
      <c r="K2048" t="str">
        <f t="shared" si="279"/>
        <v>5006.7</v>
      </c>
      <c r="N2048" t="str">
        <f t="shared" si="280"/>
        <v>HOLDING REGISTER</v>
      </c>
      <c r="O2048" t="str">
        <f t="shared" si="281"/>
        <v>BOOL</v>
      </c>
      <c r="P2048" t="str">
        <f t="shared" si="282"/>
        <v>PORTA SOS 7</v>
      </c>
      <c r="R2048" t="str">
        <f t="shared" si="283"/>
        <v>PORTA TELEFONO VOIP APERTA</v>
      </c>
      <c r="U2048" t="str">
        <f t="shared" si="284"/>
        <v>Allarme</v>
      </c>
      <c r="V2048" t="str">
        <f t="shared" si="285"/>
        <v>SOS 7</v>
      </c>
      <c r="W2048" t="str">
        <f t="shared" si="286"/>
        <v>GALLERIA CASOLA</v>
      </c>
      <c r="Z2048" t="str">
        <f t="shared" si="287"/>
        <v>10.220.80.16</v>
      </c>
    </row>
    <row r="2049" spans="1:26" x14ac:dyDescent="0.25">
      <c r="A2049" t="s">
        <v>10</v>
      </c>
      <c r="B2049" t="s">
        <v>1206</v>
      </c>
      <c r="C2049" t="s">
        <v>2549</v>
      </c>
      <c r="D2049" t="s">
        <v>1368</v>
      </c>
      <c r="E2049" t="s">
        <v>2549</v>
      </c>
      <c r="F2049" t="s">
        <v>14</v>
      </c>
      <c r="G2049" t="s">
        <v>28</v>
      </c>
      <c r="H2049" t="s">
        <v>22</v>
      </c>
      <c r="I2049" t="s">
        <v>2910</v>
      </c>
      <c r="J2049" t="s">
        <v>1374</v>
      </c>
      <c r="K2049" t="str">
        <f t="shared" si="279"/>
        <v>5006.8</v>
      </c>
      <c r="N2049" t="str">
        <f t="shared" si="280"/>
        <v>HOLDING REGISTER</v>
      </c>
      <c r="O2049" t="str">
        <f t="shared" si="281"/>
        <v>BOOL</v>
      </c>
      <c r="P2049" t="str">
        <f t="shared" si="282"/>
        <v>PORTA SOS 7</v>
      </c>
      <c r="R2049" t="str">
        <f t="shared" si="283"/>
        <v>PORTA VANO TECNICO APERTA</v>
      </c>
      <c r="U2049" t="str">
        <f t="shared" si="284"/>
        <v>Allarme</v>
      </c>
      <c r="V2049" t="str">
        <f t="shared" si="285"/>
        <v>SOS 7</v>
      </c>
      <c r="W2049" t="str">
        <f t="shared" si="286"/>
        <v>GALLERIA CASOLA</v>
      </c>
      <c r="Z2049" t="str">
        <f t="shared" si="287"/>
        <v>10.220.80.16</v>
      </c>
    </row>
    <row r="2050" spans="1:26" x14ac:dyDescent="0.25">
      <c r="A2050" t="s">
        <v>10</v>
      </c>
      <c r="B2050" t="s">
        <v>1206</v>
      </c>
      <c r="C2050" t="s">
        <v>2549</v>
      </c>
      <c r="D2050" t="s">
        <v>1375</v>
      </c>
      <c r="E2050" t="s">
        <v>2549</v>
      </c>
      <c r="F2050" t="s">
        <v>14</v>
      </c>
      <c r="G2050" t="s">
        <v>1375</v>
      </c>
      <c r="H2050" t="s">
        <v>22</v>
      </c>
      <c r="I2050" t="s">
        <v>2911</v>
      </c>
      <c r="J2050" t="s">
        <v>1375</v>
      </c>
      <c r="K2050" t="str">
        <f t="shared" si="279"/>
        <v>5006.9</v>
      </c>
      <c r="N2050" t="str">
        <f t="shared" si="280"/>
        <v>HOLDING REGISTER</v>
      </c>
      <c r="O2050" t="str">
        <f t="shared" si="281"/>
        <v>BOOL</v>
      </c>
      <c r="P2050" t="str">
        <f t="shared" si="282"/>
        <v>disponibile SOS 7</v>
      </c>
      <c r="R2050" t="str">
        <f t="shared" si="283"/>
        <v>disponibile</v>
      </c>
      <c r="U2050" t="str">
        <f t="shared" si="284"/>
        <v>disponibile</v>
      </c>
      <c r="V2050" t="str">
        <f t="shared" si="285"/>
        <v>SOS 7</v>
      </c>
      <c r="W2050" t="str">
        <f t="shared" si="286"/>
        <v>GALLERIA CASOLA</v>
      </c>
      <c r="Z2050" t="str">
        <f t="shared" si="287"/>
        <v>10.220.80.16</v>
      </c>
    </row>
    <row r="2051" spans="1:26" x14ac:dyDescent="0.25">
      <c r="A2051" t="s">
        <v>10</v>
      </c>
      <c r="B2051" t="s">
        <v>1206</v>
      </c>
      <c r="C2051" t="s">
        <v>2549</v>
      </c>
      <c r="D2051" t="s">
        <v>1375</v>
      </c>
      <c r="E2051" t="s">
        <v>2549</v>
      </c>
      <c r="F2051" t="s">
        <v>14</v>
      </c>
      <c r="G2051" t="s">
        <v>1375</v>
      </c>
      <c r="H2051" t="s">
        <v>22</v>
      </c>
      <c r="I2051" t="s">
        <v>2912</v>
      </c>
      <c r="J2051" t="s">
        <v>1375</v>
      </c>
      <c r="K2051" t="str">
        <f t="shared" ref="K2051:K2114" si="288">IF(I2051="","",I2051)</f>
        <v>5006.10</v>
      </c>
      <c r="N2051" t="str">
        <f t="shared" ref="N2051:N2114" si="289">IF(F2051="","",F2051)</f>
        <v>HOLDING REGISTER</v>
      </c>
      <c r="O2051" t="str">
        <f t="shared" ref="O2051:O2114" si="290">IF(H2051="","",H2051)</f>
        <v>BOOL</v>
      </c>
      <c r="P2051" t="str">
        <f t="shared" ref="P2051:P2114" si="291">_xlfn.CONCAT(D2051," ",E2051)</f>
        <v>disponibile SOS 7</v>
      </c>
      <c r="R2051" t="str">
        <f t="shared" ref="R2051:R2114" si="292">IF(J2051="","",J2051)</f>
        <v>disponibile</v>
      </c>
      <c r="U2051" t="str">
        <f t="shared" ref="U2051:U2114" si="293">IF(G2051="","",G2051)</f>
        <v>disponibile</v>
      </c>
      <c r="V2051" t="str">
        <f t="shared" ref="V2051:V2114" si="294">IF(C2051="","",C2051)</f>
        <v>SOS 7</v>
      </c>
      <c r="W2051" t="str">
        <f t="shared" ref="W2051:W2114" si="295">IF(B2051="","",B2051)</f>
        <v>GALLERIA CASOLA</v>
      </c>
      <c r="Z2051" t="str">
        <f t="shared" ref="Z2051:Z2114" si="296">IF(A2051="","",A2051)</f>
        <v>10.220.80.16</v>
      </c>
    </row>
    <row r="2052" spans="1:26" x14ac:dyDescent="0.25">
      <c r="A2052" t="s">
        <v>10</v>
      </c>
      <c r="B2052" t="s">
        <v>1206</v>
      </c>
      <c r="C2052" t="s">
        <v>2549</v>
      </c>
      <c r="D2052" t="s">
        <v>1375</v>
      </c>
      <c r="E2052" t="s">
        <v>2549</v>
      </c>
      <c r="F2052" t="s">
        <v>14</v>
      </c>
      <c r="G2052" t="s">
        <v>1375</v>
      </c>
      <c r="H2052" t="s">
        <v>22</v>
      </c>
      <c r="I2052" t="s">
        <v>2913</v>
      </c>
      <c r="J2052" t="s">
        <v>1375</v>
      </c>
      <c r="K2052" t="str">
        <f t="shared" si="288"/>
        <v>5006.11</v>
      </c>
      <c r="N2052" t="str">
        <f t="shared" si="289"/>
        <v>HOLDING REGISTER</v>
      </c>
      <c r="O2052" t="str">
        <f t="shared" si="290"/>
        <v>BOOL</v>
      </c>
      <c r="P2052" t="str">
        <f t="shared" si="291"/>
        <v>disponibile SOS 7</v>
      </c>
      <c r="R2052" t="str">
        <f t="shared" si="292"/>
        <v>disponibile</v>
      </c>
      <c r="U2052" t="str">
        <f t="shared" si="293"/>
        <v>disponibile</v>
      </c>
      <c r="V2052" t="str">
        <f t="shared" si="294"/>
        <v>SOS 7</v>
      </c>
      <c r="W2052" t="str">
        <f t="shared" si="295"/>
        <v>GALLERIA CASOLA</v>
      </c>
      <c r="Z2052" t="str">
        <f t="shared" si="296"/>
        <v>10.220.80.16</v>
      </c>
    </row>
    <row r="2053" spans="1:26" x14ac:dyDescent="0.25">
      <c r="A2053" t="s">
        <v>10</v>
      </c>
      <c r="B2053" t="s">
        <v>1206</v>
      </c>
      <c r="C2053" t="s">
        <v>2549</v>
      </c>
      <c r="D2053" t="s">
        <v>1375</v>
      </c>
      <c r="E2053" t="s">
        <v>2549</v>
      </c>
      <c r="F2053" t="s">
        <v>14</v>
      </c>
      <c r="G2053" t="s">
        <v>1375</v>
      </c>
      <c r="H2053" t="s">
        <v>22</v>
      </c>
      <c r="I2053" t="s">
        <v>2914</v>
      </c>
      <c r="J2053" t="s">
        <v>1375</v>
      </c>
      <c r="K2053" t="str">
        <f t="shared" si="288"/>
        <v>5006.12</v>
      </c>
      <c r="N2053" t="str">
        <f t="shared" si="289"/>
        <v>HOLDING REGISTER</v>
      </c>
      <c r="O2053" t="str">
        <f t="shared" si="290"/>
        <v>BOOL</v>
      </c>
      <c r="P2053" t="str">
        <f t="shared" si="291"/>
        <v>disponibile SOS 7</v>
      </c>
      <c r="R2053" t="str">
        <f t="shared" si="292"/>
        <v>disponibile</v>
      </c>
      <c r="U2053" t="str">
        <f t="shared" si="293"/>
        <v>disponibile</v>
      </c>
      <c r="V2053" t="str">
        <f t="shared" si="294"/>
        <v>SOS 7</v>
      </c>
      <c r="W2053" t="str">
        <f t="shared" si="295"/>
        <v>GALLERIA CASOLA</v>
      </c>
      <c r="Z2053" t="str">
        <f t="shared" si="296"/>
        <v>10.220.80.16</v>
      </c>
    </row>
    <row r="2054" spans="1:26" x14ac:dyDescent="0.25">
      <c r="A2054" t="s">
        <v>10</v>
      </c>
      <c r="B2054" t="s">
        <v>1206</v>
      </c>
      <c r="C2054" t="s">
        <v>2549</v>
      </c>
      <c r="D2054" t="s">
        <v>12</v>
      </c>
      <c r="E2054" t="s">
        <v>2549</v>
      </c>
      <c r="F2054" t="s">
        <v>14</v>
      </c>
      <c r="G2054" t="s">
        <v>28</v>
      </c>
      <c r="H2054" t="s">
        <v>22</v>
      </c>
      <c r="I2054" t="s">
        <v>2915</v>
      </c>
      <c r="J2054" t="s">
        <v>1381</v>
      </c>
      <c r="K2054" t="str">
        <f t="shared" si="288"/>
        <v>5006.13</v>
      </c>
      <c r="N2054" t="str">
        <f t="shared" si="289"/>
        <v>HOLDING REGISTER</v>
      </c>
      <c r="O2054" t="str">
        <f t="shared" si="290"/>
        <v>BOOL</v>
      </c>
      <c r="P2054" t="str">
        <f t="shared" si="291"/>
        <v>PLC SOS 7</v>
      </c>
      <c r="R2054" t="str">
        <f t="shared" si="292"/>
        <v>PLC IN STOP</v>
      </c>
      <c r="U2054" t="str">
        <f t="shared" si="293"/>
        <v>Allarme</v>
      </c>
      <c r="V2054" t="str">
        <f t="shared" si="294"/>
        <v>SOS 7</v>
      </c>
      <c r="W2054" t="str">
        <f t="shared" si="295"/>
        <v>GALLERIA CASOLA</v>
      </c>
      <c r="Z2054" t="str">
        <f t="shared" si="296"/>
        <v>10.220.80.16</v>
      </c>
    </row>
    <row r="2055" spans="1:26" x14ac:dyDescent="0.25">
      <c r="A2055" t="s">
        <v>10</v>
      </c>
      <c r="B2055" t="s">
        <v>1206</v>
      </c>
      <c r="C2055" t="s">
        <v>2549</v>
      </c>
      <c r="D2055" t="s">
        <v>12</v>
      </c>
      <c r="E2055" t="s">
        <v>2549</v>
      </c>
      <c r="F2055" t="s">
        <v>14</v>
      </c>
      <c r="G2055" t="s">
        <v>28</v>
      </c>
      <c r="H2055" t="s">
        <v>22</v>
      </c>
      <c r="I2055" t="s">
        <v>2916</v>
      </c>
      <c r="J2055" t="s">
        <v>1383</v>
      </c>
      <c r="K2055" t="str">
        <f t="shared" si="288"/>
        <v>5006.14</v>
      </c>
      <c r="N2055" t="str">
        <f t="shared" si="289"/>
        <v>HOLDING REGISTER</v>
      </c>
      <c r="O2055" t="str">
        <f t="shared" si="290"/>
        <v>BOOL</v>
      </c>
      <c r="P2055" t="str">
        <f t="shared" si="291"/>
        <v>PLC SOS 7</v>
      </c>
      <c r="R2055" t="str">
        <f t="shared" si="292"/>
        <v>FAULT COMUNICAZIONE ETHERNET</v>
      </c>
      <c r="U2055" t="str">
        <f t="shared" si="293"/>
        <v>Allarme</v>
      </c>
      <c r="V2055" t="str">
        <f t="shared" si="294"/>
        <v>SOS 7</v>
      </c>
      <c r="W2055" t="str">
        <f t="shared" si="295"/>
        <v>GALLERIA CASOLA</v>
      </c>
      <c r="Z2055" t="str">
        <f t="shared" si="296"/>
        <v>10.220.80.16</v>
      </c>
    </row>
    <row r="2056" spans="1:26" x14ac:dyDescent="0.25">
      <c r="A2056" t="s">
        <v>10</v>
      </c>
      <c r="B2056" t="s">
        <v>1206</v>
      </c>
      <c r="C2056" t="s">
        <v>2549</v>
      </c>
      <c r="D2056" t="s">
        <v>1384</v>
      </c>
      <c r="E2056" t="s">
        <v>2549</v>
      </c>
      <c r="F2056" t="s">
        <v>14</v>
      </c>
      <c r="G2056" t="s">
        <v>21</v>
      </c>
      <c r="H2056" t="s">
        <v>22</v>
      </c>
      <c r="I2056" t="s">
        <v>2917</v>
      </c>
      <c r="J2056" t="s">
        <v>1386</v>
      </c>
      <c r="K2056" t="str">
        <f t="shared" si="288"/>
        <v>5006.15</v>
      </c>
      <c r="N2056" t="str">
        <f t="shared" si="289"/>
        <v>HOLDING REGISTER</v>
      </c>
      <c r="O2056" t="str">
        <f t="shared" si="290"/>
        <v>BOOL</v>
      </c>
      <c r="P2056" t="str">
        <f t="shared" si="291"/>
        <v xml:space="preserve">  SOS 7</v>
      </c>
      <c r="R2056" t="str">
        <f t="shared" si="292"/>
        <v>FEEDBACK RESET DA RMT</v>
      </c>
      <c r="U2056" t="str">
        <f t="shared" si="293"/>
        <v>Stato</v>
      </c>
      <c r="V2056" t="str">
        <f t="shared" si="294"/>
        <v>SOS 7</v>
      </c>
      <c r="W2056" t="str">
        <f t="shared" si="295"/>
        <v>GALLERIA CASOLA</v>
      </c>
      <c r="Z2056" t="str">
        <f t="shared" si="296"/>
        <v>10.220.80.16</v>
      </c>
    </row>
    <row r="2057" spans="1:26" x14ac:dyDescent="0.25">
      <c r="A2057" t="s">
        <v>10</v>
      </c>
      <c r="B2057" t="s">
        <v>1206</v>
      </c>
      <c r="C2057" t="s">
        <v>2552</v>
      </c>
      <c r="D2057" t="s">
        <v>1354</v>
      </c>
      <c r="E2057" t="s">
        <v>2552</v>
      </c>
      <c r="F2057" t="s">
        <v>14</v>
      </c>
      <c r="G2057" t="s">
        <v>28</v>
      </c>
      <c r="H2057" t="s">
        <v>22</v>
      </c>
      <c r="I2057" t="s">
        <v>2918</v>
      </c>
      <c r="J2057" t="s">
        <v>1356</v>
      </c>
      <c r="K2057" t="str">
        <f t="shared" si="288"/>
        <v>5007.0</v>
      </c>
      <c r="N2057" t="str">
        <f t="shared" si="289"/>
        <v>HOLDING REGISTER</v>
      </c>
      <c r="O2057" t="str">
        <f t="shared" si="290"/>
        <v>BOOL</v>
      </c>
      <c r="P2057" t="str">
        <f t="shared" si="291"/>
        <v>PULSANTE CHIAMATA SOS 8</v>
      </c>
      <c r="R2057" t="str">
        <f t="shared" si="292"/>
        <v>CHIAMATA 118 EFFETTUATA</v>
      </c>
      <c r="U2057" t="str">
        <f t="shared" si="293"/>
        <v>Allarme</v>
      </c>
      <c r="V2057" t="str">
        <f t="shared" si="294"/>
        <v>SOS 8</v>
      </c>
      <c r="W2057" t="str">
        <f t="shared" si="295"/>
        <v>GALLERIA CASOLA</v>
      </c>
      <c r="Z2057" t="str">
        <f t="shared" si="296"/>
        <v>10.220.80.16</v>
      </c>
    </row>
    <row r="2058" spans="1:26" x14ac:dyDescent="0.25">
      <c r="A2058" t="s">
        <v>10</v>
      </c>
      <c r="B2058" t="s">
        <v>1206</v>
      </c>
      <c r="C2058" t="s">
        <v>2552</v>
      </c>
      <c r="D2058" t="s">
        <v>1354</v>
      </c>
      <c r="E2058" t="s">
        <v>2552</v>
      </c>
      <c r="F2058" t="s">
        <v>14</v>
      </c>
      <c r="G2058" t="s">
        <v>28</v>
      </c>
      <c r="H2058" t="s">
        <v>22</v>
      </c>
      <c r="I2058" t="s">
        <v>2919</v>
      </c>
      <c r="J2058" t="s">
        <v>1358</v>
      </c>
      <c r="K2058" t="str">
        <f t="shared" si="288"/>
        <v>5007.1</v>
      </c>
      <c r="N2058" t="str">
        <f t="shared" si="289"/>
        <v>HOLDING REGISTER</v>
      </c>
      <c r="O2058" t="str">
        <f t="shared" si="290"/>
        <v>BOOL</v>
      </c>
      <c r="P2058" t="str">
        <f t="shared" si="291"/>
        <v>PULSANTE CHIAMATA SOS 8</v>
      </c>
      <c r="R2058" t="str">
        <f t="shared" si="292"/>
        <v>CHIAMATA 113 EFFETTUATA</v>
      </c>
      <c r="U2058" t="str">
        <f t="shared" si="293"/>
        <v>Allarme</v>
      </c>
      <c r="V2058" t="str">
        <f t="shared" si="294"/>
        <v>SOS 8</v>
      </c>
      <c r="W2058" t="str">
        <f t="shared" si="295"/>
        <v>GALLERIA CASOLA</v>
      </c>
      <c r="Z2058" t="str">
        <f t="shared" si="296"/>
        <v>10.220.80.16</v>
      </c>
    </row>
    <row r="2059" spans="1:26" x14ac:dyDescent="0.25">
      <c r="A2059" t="s">
        <v>10</v>
      </c>
      <c r="B2059" t="s">
        <v>1206</v>
      </c>
      <c r="C2059" t="s">
        <v>2552</v>
      </c>
      <c r="D2059" t="s">
        <v>1354</v>
      </c>
      <c r="E2059" t="s">
        <v>2552</v>
      </c>
      <c r="F2059" t="s">
        <v>14</v>
      </c>
      <c r="G2059" t="s">
        <v>28</v>
      </c>
      <c r="H2059" t="s">
        <v>22</v>
      </c>
      <c r="I2059" t="s">
        <v>2920</v>
      </c>
      <c r="J2059" t="s">
        <v>1360</v>
      </c>
      <c r="K2059" t="str">
        <f t="shared" si="288"/>
        <v>5007.2</v>
      </c>
      <c r="N2059" t="str">
        <f t="shared" si="289"/>
        <v>HOLDING REGISTER</v>
      </c>
      <c r="O2059" t="str">
        <f t="shared" si="290"/>
        <v>BOOL</v>
      </c>
      <c r="P2059" t="str">
        <f t="shared" si="291"/>
        <v>PULSANTE CHIAMATA SOS 8</v>
      </c>
      <c r="R2059" t="str">
        <f t="shared" si="292"/>
        <v>CHIAMATA 115 EFFETTUATA</v>
      </c>
      <c r="U2059" t="str">
        <f t="shared" si="293"/>
        <v>Allarme</v>
      </c>
      <c r="V2059" t="str">
        <f t="shared" si="294"/>
        <v>SOS 8</v>
      </c>
      <c r="W2059" t="str">
        <f t="shared" si="295"/>
        <v>GALLERIA CASOLA</v>
      </c>
      <c r="Z2059" t="str">
        <f t="shared" si="296"/>
        <v>10.220.80.16</v>
      </c>
    </row>
    <row r="2060" spans="1:26" x14ac:dyDescent="0.25">
      <c r="A2060" t="s">
        <v>10</v>
      </c>
      <c r="B2060" t="s">
        <v>1206</v>
      </c>
      <c r="C2060" t="s">
        <v>2552</v>
      </c>
      <c r="D2060" t="s">
        <v>1354</v>
      </c>
      <c r="E2060" t="s">
        <v>2552</v>
      </c>
      <c r="F2060" t="s">
        <v>14</v>
      </c>
      <c r="G2060" t="s">
        <v>28</v>
      </c>
      <c r="H2060" t="s">
        <v>22</v>
      </c>
      <c r="I2060" t="s">
        <v>2921</v>
      </c>
      <c r="J2060" t="s">
        <v>1362</v>
      </c>
      <c r="K2060" t="str">
        <f t="shared" si="288"/>
        <v>5007.3</v>
      </c>
      <c r="N2060" t="str">
        <f t="shared" si="289"/>
        <v>HOLDING REGISTER</v>
      </c>
      <c r="O2060" t="str">
        <f t="shared" si="290"/>
        <v>BOOL</v>
      </c>
      <c r="P2060" t="str">
        <f t="shared" si="291"/>
        <v>PULSANTE CHIAMATA SOS 8</v>
      </c>
      <c r="R2060" t="str">
        <f t="shared" si="292"/>
        <v>CHIAMATA SALA CONTROLLO ANAS EFFETTUATA</v>
      </c>
      <c r="U2060" t="str">
        <f t="shared" si="293"/>
        <v>Allarme</v>
      </c>
      <c r="V2060" t="str">
        <f t="shared" si="294"/>
        <v>SOS 8</v>
      </c>
      <c r="W2060" t="str">
        <f t="shared" si="295"/>
        <v>GALLERIA CASOLA</v>
      </c>
      <c r="Z2060" t="str">
        <f t="shared" si="296"/>
        <v>10.220.80.16</v>
      </c>
    </row>
    <row r="2061" spans="1:26" x14ac:dyDescent="0.25">
      <c r="A2061" t="s">
        <v>10</v>
      </c>
      <c r="B2061" t="s">
        <v>1206</v>
      </c>
      <c r="C2061" t="s">
        <v>2552</v>
      </c>
      <c r="D2061" t="s">
        <v>1363</v>
      </c>
      <c r="E2061" t="s">
        <v>2552</v>
      </c>
      <c r="F2061" t="s">
        <v>14</v>
      </c>
      <c r="G2061" t="s">
        <v>28</v>
      </c>
      <c r="H2061" t="s">
        <v>22</v>
      </c>
      <c r="I2061" t="s">
        <v>2922</v>
      </c>
      <c r="J2061" t="s">
        <v>1365</v>
      </c>
      <c r="K2061" t="str">
        <f t="shared" si="288"/>
        <v>5007.4</v>
      </c>
      <c r="N2061" t="str">
        <f t="shared" si="289"/>
        <v>HOLDING REGISTER</v>
      </c>
      <c r="O2061" t="str">
        <f t="shared" si="290"/>
        <v>BOOL</v>
      </c>
      <c r="P2061" t="str">
        <f t="shared" si="291"/>
        <v>ESTINTORE SOS 8</v>
      </c>
      <c r="R2061" t="str">
        <f t="shared" si="292"/>
        <v>ESTINTORE PRELEVATO 1</v>
      </c>
      <c r="U2061" t="str">
        <f t="shared" si="293"/>
        <v>Allarme</v>
      </c>
      <c r="V2061" t="str">
        <f t="shared" si="294"/>
        <v>SOS 8</v>
      </c>
      <c r="W2061" t="str">
        <f t="shared" si="295"/>
        <v>GALLERIA CASOLA</v>
      </c>
      <c r="Z2061" t="str">
        <f t="shared" si="296"/>
        <v>10.220.80.16</v>
      </c>
    </row>
    <row r="2062" spans="1:26" x14ac:dyDescent="0.25">
      <c r="A2062" t="s">
        <v>10</v>
      </c>
      <c r="B2062" t="s">
        <v>1206</v>
      </c>
      <c r="C2062" t="s">
        <v>2552</v>
      </c>
      <c r="D2062" t="s">
        <v>1363</v>
      </c>
      <c r="E2062" t="s">
        <v>2552</v>
      </c>
      <c r="F2062" t="s">
        <v>14</v>
      </c>
      <c r="G2062" t="s">
        <v>28</v>
      </c>
      <c r="H2062" t="s">
        <v>22</v>
      </c>
      <c r="I2062" t="s">
        <v>2923</v>
      </c>
      <c r="J2062" t="s">
        <v>1367</v>
      </c>
      <c r="K2062" t="str">
        <f t="shared" si="288"/>
        <v>5007.5</v>
      </c>
      <c r="N2062" t="str">
        <f t="shared" si="289"/>
        <v>HOLDING REGISTER</v>
      </c>
      <c r="O2062" t="str">
        <f t="shared" si="290"/>
        <v>BOOL</v>
      </c>
      <c r="P2062" t="str">
        <f t="shared" si="291"/>
        <v>ESTINTORE SOS 8</v>
      </c>
      <c r="R2062" t="str">
        <f t="shared" si="292"/>
        <v>ESTINTORE PRELEVATO 2</v>
      </c>
      <c r="U2062" t="str">
        <f t="shared" si="293"/>
        <v>Allarme</v>
      </c>
      <c r="V2062" t="str">
        <f t="shared" si="294"/>
        <v>SOS 8</v>
      </c>
      <c r="W2062" t="str">
        <f t="shared" si="295"/>
        <v>GALLERIA CASOLA</v>
      </c>
      <c r="Z2062" t="str">
        <f t="shared" si="296"/>
        <v>10.220.80.16</v>
      </c>
    </row>
    <row r="2063" spans="1:26" x14ac:dyDescent="0.25">
      <c r="A2063" t="s">
        <v>10</v>
      </c>
      <c r="B2063" t="s">
        <v>1206</v>
      </c>
      <c r="C2063" t="s">
        <v>2552</v>
      </c>
      <c r="D2063" t="s">
        <v>1368</v>
      </c>
      <c r="E2063" t="s">
        <v>2552</v>
      </c>
      <c r="F2063" t="s">
        <v>14</v>
      </c>
      <c r="G2063" t="s">
        <v>28</v>
      </c>
      <c r="H2063" t="s">
        <v>22</v>
      </c>
      <c r="I2063" t="s">
        <v>2924</v>
      </c>
      <c r="J2063" t="s">
        <v>1370</v>
      </c>
      <c r="K2063" t="str">
        <f t="shared" si="288"/>
        <v>5007.6</v>
      </c>
      <c r="N2063" t="str">
        <f t="shared" si="289"/>
        <v>HOLDING REGISTER</v>
      </c>
      <c r="O2063" t="str">
        <f t="shared" si="290"/>
        <v>BOOL</v>
      </c>
      <c r="P2063" t="str">
        <f t="shared" si="291"/>
        <v>PORTA SOS 8</v>
      </c>
      <c r="R2063" t="str">
        <f t="shared" si="292"/>
        <v>MANICHETTA PRELEVATA</v>
      </c>
      <c r="U2063" t="str">
        <f t="shared" si="293"/>
        <v>Allarme</v>
      </c>
      <c r="V2063" t="str">
        <f t="shared" si="294"/>
        <v>SOS 8</v>
      </c>
      <c r="W2063" t="str">
        <f t="shared" si="295"/>
        <v>GALLERIA CASOLA</v>
      </c>
      <c r="Z2063" t="str">
        <f t="shared" si="296"/>
        <v>10.220.80.16</v>
      </c>
    </row>
    <row r="2064" spans="1:26" x14ac:dyDescent="0.25">
      <c r="A2064" t="s">
        <v>10</v>
      </c>
      <c r="B2064" t="s">
        <v>1206</v>
      </c>
      <c r="C2064" t="s">
        <v>2552</v>
      </c>
      <c r="D2064" t="s">
        <v>1368</v>
      </c>
      <c r="E2064" t="s">
        <v>2552</v>
      </c>
      <c r="F2064" t="s">
        <v>14</v>
      </c>
      <c r="G2064" t="s">
        <v>28</v>
      </c>
      <c r="H2064" t="s">
        <v>22</v>
      </c>
      <c r="I2064" t="s">
        <v>2925</v>
      </c>
      <c r="J2064" t="s">
        <v>1372</v>
      </c>
      <c r="K2064" t="str">
        <f t="shared" si="288"/>
        <v>5007.7</v>
      </c>
      <c r="N2064" t="str">
        <f t="shared" si="289"/>
        <v>HOLDING REGISTER</v>
      </c>
      <c r="O2064" t="str">
        <f t="shared" si="290"/>
        <v>BOOL</v>
      </c>
      <c r="P2064" t="str">
        <f t="shared" si="291"/>
        <v>PORTA SOS 8</v>
      </c>
      <c r="R2064" t="str">
        <f t="shared" si="292"/>
        <v>PORTA TELEFONO VOIP APERTA</v>
      </c>
      <c r="U2064" t="str">
        <f t="shared" si="293"/>
        <v>Allarme</v>
      </c>
      <c r="V2064" t="str">
        <f t="shared" si="294"/>
        <v>SOS 8</v>
      </c>
      <c r="W2064" t="str">
        <f t="shared" si="295"/>
        <v>GALLERIA CASOLA</v>
      </c>
      <c r="Z2064" t="str">
        <f t="shared" si="296"/>
        <v>10.220.80.16</v>
      </c>
    </row>
    <row r="2065" spans="1:26" x14ac:dyDescent="0.25">
      <c r="A2065" t="s">
        <v>10</v>
      </c>
      <c r="B2065" t="s">
        <v>1206</v>
      </c>
      <c r="C2065" t="s">
        <v>2552</v>
      </c>
      <c r="D2065" t="s">
        <v>1368</v>
      </c>
      <c r="E2065" t="s">
        <v>2552</v>
      </c>
      <c r="F2065" t="s">
        <v>14</v>
      </c>
      <c r="G2065" t="s">
        <v>28</v>
      </c>
      <c r="H2065" t="s">
        <v>22</v>
      </c>
      <c r="I2065" t="s">
        <v>2926</v>
      </c>
      <c r="J2065" t="s">
        <v>1374</v>
      </c>
      <c r="K2065" t="str">
        <f t="shared" si="288"/>
        <v>5007.8</v>
      </c>
      <c r="N2065" t="str">
        <f t="shared" si="289"/>
        <v>HOLDING REGISTER</v>
      </c>
      <c r="O2065" t="str">
        <f t="shared" si="290"/>
        <v>BOOL</v>
      </c>
      <c r="P2065" t="str">
        <f t="shared" si="291"/>
        <v>PORTA SOS 8</v>
      </c>
      <c r="R2065" t="str">
        <f t="shared" si="292"/>
        <v>PORTA VANO TECNICO APERTA</v>
      </c>
      <c r="U2065" t="str">
        <f t="shared" si="293"/>
        <v>Allarme</v>
      </c>
      <c r="V2065" t="str">
        <f t="shared" si="294"/>
        <v>SOS 8</v>
      </c>
      <c r="W2065" t="str">
        <f t="shared" si="295"/>
        <v>GALLERIA CASOLA</v>
      </c>
      <c r="Z2065" t="str">
        <f t="shared" si="296"/>
        <v>10.220.80.16</v>
      </c>
    </row>
    <row r="2066" spans="1:26" x14ac:dyDescent="0.25">
      <c r="A2066" t="s">
        <v>10</v>
      </c>
      <c r="B2066" t="s">
        <v>1206</v>
      </c>
      <c r="C2066" t="s">
        <v>2552</v>
      </c>
      <c r="D2066" t="s">
        <v>1375</v>
      </c>
      <c r="E2066" t="s">
        <v>2552</v>
      </c>
      <c r="F2066" t="s">
        <v>14</v>
      </c>
      <c r="G2066" t="s">
        <v>1375</v>
      </c>
      <c r="H2066" t="s">
        <v>22</v>
      </c>
      <c r="I2066" t="s">
        <v>2927</v>
      </c>
      <c r="J2066" t="s">
        <v>1375</v>
      </c>
      <c r="K2066" t="str">
        <f t="shared" si="288"/>
        <v>5007.9</v>
      </c>
      <c r="N2066" t="str">
        <f t="shared" si="289"/>
        <v>HOLDING REGISTER</v>
      </c>
      <c r="O2066" t="str">
        <f t="shared" si="290"/>
        <v>BOOL</v>
      </c>
      <c r="P2066" t="str">
        <f t="shared" si="291"/>
        <v>disponibile SOS 8</v>
      </c>
      <c r="R2066" t="str">
        <f t="shared" si="292"/>
        <v>disponibile</v>
      </c>
      <c r="U2066" t="str">
        <f t="shared" si="293"/>
        <v>disponibile</v>
      </c>
      <c r="V2066" t="str">
        <f t="shared" si="294"/>
        <v>SOS 8</v>
      </c>
      <c r="W2066" t="str">
        <f t="shared" si="295"/>
        <v>GALLERIA CASOLA</v>
      </c>
      <c r="Z2066" t="str">
        <f t="shared" si="296"/>
        <v>10.220.80.16</v>
      </c>
    </row>
    <row r="2067" spans="1:26" x14ac:dyDescent="0.25">
      <c r="A2067" t="s">
        <v>10</v>
      </c>
      <c r="B2067" t="s">
        <v>1206</v>
      </c>
      <c r="C2067" t="s">
        <v>2552</v>
      </c>
      <c r="D2067" t="s">
        <v>1375</v>
      </c>
      <c r="E2067" t="s">
        <v>2552</v>
      </c>
      <c r="F2067" t="s">
        <v>14</v>
      </c>
      <c r="G2067" t="s">
        <v>1375</v>
      </c>
      <c r="H2067" t="s">
        <v>22</v>
      </c>
      <c r="I2067" t="s">
        <v>2928</v>
      </c>
      <c r="J2067" t="s">
        <v>1375</v>
      </c>
      <c r="K2067" t="str">
        <f t="shared" si="288"/>
        <v>5007.10</v>
      </c>
      <c r="N2067" t="str">
        <f t="shared" si="289"/>
        <v>HOLDING REGISTER</v>
      </c>
      <c r="O2067" t="str">
        <f t="shared" si="290"/>
        <v>BOOL</v>
      </c>
      <c r="P2067" t="str">
        <f t="shared" si="291"/>
        <v>disponibile SOS 8</v>
      </c>
      <c r="R2067" t="str">
        <f t="shared" si="292"/>
        <v>disponibile</v>
      </c>
      <c r="U2067" t="str">
        <f t="shared" si="293"/>
        <v>disponibile</v>
      </c>
      <c r="V2067" t="str">
        <f t="shared" si="294"/>
        <v>SOS 8</v>
      </c>
      <c r="W2067" t="str">
        <f t="shared" si="295"/>
        <v>GALLERIA CASOLA</v>
      </c>
      <c r="Z2067" t="str">
        <f t="shared" si="296"/>
        <v>10.220.80.16</v>
      </c>
    </row>
    <row r="2068" spans="1:26" x14ac:dyDescent="0.25">
      <c r="A2068" t="s">
        <v>10</v>
      </c>
      <c r="B2068" t="s">
        <v>1206</v>
      </c>
      <c r="C2068" t="s">
        <v>2552</v>
      </c>
      <c r="D2068" t="s">
        <v>1375</v>
      </c>
      <c r="E2068" t="s">
        <v>2552</v>
      </c>
      <c r="F2068" t="s">
        <v>14</v>
      </c>
      <c r="G2068" t="s">
        <v>1375</v>
      </c>
      <c r="H2068" t="s">
        <v>22</v>
      </c>
      <c r="I2068" t="s">
        <v>2929</v>
      </c>
      <c r="J2068" t="s">
        <v>1375</v>
      </c>
      <c r="K2068" t="str">
        <f t="shared" si="288"/>
        <v>5007.11</v>
      </c>
      <c r="N2068" t="str">
        <f t="shared" si="289"/>
        <v>HOLDING REGISTER</v>
      </c>
      <c r="O2068" t="str">
        <f t="shared" si="290"/>
        <v>BOOL</v>
      </c>
      <c r="P2068" t="str">
        <f t="shared" si="291"/>
        <v>disponibile SOS 8</v>
      </c>
      <c r="R2068" t="str">
        <f t="shared" si="292"/>
        <v>disponibile</v>
      </c>
      <c r="U2068" t="str">
        <f t="shared" si="293"/>
        <v>disponibile</v>
      </c>
      <c r="V2068" t="str">
        <f t="shared" si="294"/>
        <v>SOS 8</v>
      </c>
      <c r="W2068" t="str">
        <f t="shared" si="295"/>
        <v>GALLERIA CASOLA</v>
      </c>
      <c r="Z2068" t="str">
        <f t="shared" si="296"/>
        <v>10.220.80.16</v>
      </c>
    </row>
    <row r="2069" spans="1:26" x14ac:dyDescent="0.25">
      <c r="A2069" t="s">
        <v>10</v>
      </c>
      <c r="B2069" t="s">
        <v>1206</v>
      </c>
      <c r="C2069" t="s">
        <v>2552</v>
      </c>
      <c r="D2069" t="s">
        <v>1375</v>
      </c>
      <c r="E2069" t="s">
        <v>2552</v>
      </c>
      <c r="F2069" t="s">
        <v>14</v>
      </c>
      <c r="G2069" t="s">
        <v>1375</v>
      </c>
      <c r="H2069" t="s">
        <v>22</v>
      </c>
      <c r="I2069" t="s">
        <v>2930</v>
      </c>
      <c r="J2069" t="s">
        <v>1375</v>
      </c>
      <c r="K2069" t="str">
        <f t="shared" si="288"/>
        <v>5007.12</v>
      </c>
      <c r="N2069" t="str">
        <f t="shared" si="289"/>
        <v>HOLDING REGISTER</v>
      </c>
      <c r="O2069" t="str">
        <f t="shared" si="290"/>
        <v>BOOL</v>
      </c>
      <c r="P2069" t="str">
        <f t="shared" si="291"/>
        <v>disponibile SOS 8</v>
      </c>
      <c r="R2069" t="str">
        <f t="shared" si="292"/>
        <v>disponibile</v>
      </c>
      <c r="U2069" t="str">
        <f t="shared" si="293"/>
        <v>disponibile</v>
      </c>
      <c r="V2069" t="str">
        <f t="shared" si="294"/>
        <v>SOS 8</v>
      </c>
      <c r="W2069" t="str">
        <f t="shared" si="295"/>
        <v>GALLERIA CASOLA</v>
      </c>
      <c r="Z2069" t="str">
        <f t="shared" si="296"/>
        <v>10.220.80.16</v>
      </c>
    </row>
    <row r="2070" spans="1:26" x14ac:dyDescent="0.25">
      <c r="A2070" t="s">
        <v>10</v>
      </c>
      <c r="B2070" t="s">
        <v>1206</v>
      </c>
      <c r="C2070" t="s">
        <v>2552</v>
      </c>
      <c r="D2070" t="s">
        <v>12</v>
      </c>
      <c r="E2070" t="s">
        <v>2552</v>
      </c>
      <c r="F2070" t="s">
        <v>14</v>
      </c>
      <c r="G2070" t="s">
        <v>28</v>
      </c>
      <c r="H2070" t="s">
        <v>22</v>
      </c>
      <c r="I2070" t="s">
        <v>2931</v>
      </c>
      <c r="J2070" t="s">
        <v>1381</v>
      </c>
      <c r="K2070" t="str">
        <f t="shared" si="288"/>
        <v>5007.13</v>
      </c>
      <c r="N2070" t="str">
        <f t="shared" si="289"/>
        <v>HOLDING REGISTER</v>
      </c>
      <c r="O2070" t="str">
        <f t="shared" si="290"/>
        <v>BOOL</v>
      </c>
      <c r="P2070" t="str">
        <f t="shared" si="291"/>
        <v>PLC SOS 8</v>
      </c>
      <c r="R2070" t="str">
        <f t="shared" si="292"/>
        <v>PLC IN STOP</v>
      </c>
      <c r="U2070" t="str">
        <f t="shared" si="293"/>
        <v>Allarme</v>
      </c>
      <c r="V2070" t="str">
        <f t="shared" si="294"/>
        <v>SOS 8</v>
      </c>
      <c r="W2070" t="str">
        <f t="shared" si="295"/>
        <v>GALLERIA CASOLA</v>
      </c>
      <c r="Z2070" t="str">
        <f t="shared" si="296"/>
        <v>10.220.80.16</v>
      </c>
    </row>
    <row r="2071" spans="1:26" x14ac:dyDescent="0.25">
      <c r="A2071" t="s">
        <v>10</v>
      </c>
      <c r="B2071" t="s">
        <v>1206</v>
      </c>
      <c r="C2071" t="s">
        <v>2552</v>
      </c>
      <c r="D2071" t="s">
        <v>12</v>
      </c>
      <c r="E2071" t="s">
        <v>2552</v>
      </c>
      <c r="F2071" t="s">
        <v>14</v>
      </c>
      <c r="G2071" t="s">
        <v>28</v>
      </c>
      <c r="H2071" t="s">
        <v>22</v>
      </c>
      <c r="I2071" t="s">
        <v>2932</v>
      </c>
      <c r="J2071" t="s">
        <v>1383</v>
      </c>
      <c r="K2071" t="str">
        <f t="shared" si="288"/>
        <v>5007.14</v>
      </c>
      <c r="N2071" t="str">
        <f t="shared" si="289"/>
        <v>HOLDING REGISTER</v>
      </c>
      <c r="O2071" t="str">
        <f t="shared" si="290"/>
        <v>BOOL</v>
      </c>
      <c r="P2071" t="str">
        <f t="shared" si="291"/>
        <v>PLC SOS 8</v>
      </c>
      <c r="R2071" t="str">
        <f t="shared" si="292"/>
        <v>FAULT COMUNICAZIONE ETHERNET</v>
      </c>
      <c r="U2071" t="str">
        <f t="shared" si="293"/>
        <v>Allarme</v>
      </c>
      <c r="V2071" t="str">
        <f t="shared" si="294"/>
        <v>SOS 8</v>
      </c>
      <c r="W2071" t="str">
        <f t="shared" si="295"/>
        <v>GALLERIA CASOLA</v>
      </c>
      <c r="Z2071" t="str">
        <f t="shared" si="296"/>
        <v>10.220.80.16</v>
      </c>
    </row>
    <row r="2072" spans="1:26" x14ac:dyDescent="0.25">
      <c r="A2072" t="s">
        <v>10</v>
      </c>
      <c r="B2072" t="s">
        <v>1206</v>
      </c>
      <c r="C2072" t="s">
        <v>2552</v>
      </c>
      <c r="D2072" t="s">
        <v>1384</v>
      </c>
      <c r="E2072" t="s">
        <v>2552</v>
      </c>
      <c r="F2072" t="s">
        <v>14</v>
      </c>
      <c r="G2072" t="s">
        <v>21</v>
      </c>
      <c r="H2072" t="s">
        <v>22</v>
      </c>
      <c r="I2072" t="s">
        <v>2933</v>
      </c>
      <c r="J2072" t="s">
        <v>1386</v>
      </c>
      <c r="K2072" t="str">
        <f t="shared" si="288"/>
        <v>5007.15</v>
      </c>
      <c r="N2072" t="str">
        <f t="shared" si="289"/>
        <v>HOLDING REGISTER</v>
      </c>
      <c r="O2072" t="str">
        <f t="shared" si="290"/>
        <v>BOOL</v>
      </c>
      <c r="P2072" t="str">
        <f t="shared" si="291"/>
        <v xml:space="preserve">  SOS 8</v>
      </c>
      <c r="R2072" t="str">
        <f t="shared" si="292"/>
        <v>FEEDBACK RESET DA RMT</v>
      </c>
      <c r="U2072" t="str">
        <f t="shared" si="293"/>
        <v>Stato</v>
      </c>
      <c r="V2072" t="str">
        <f t="shared" si="294"/>
        <v>SOS 8</v>
      </c>
      <c r="W2072" t="str">
        <f t="shared" si="295"/>
        <v>GALLERIA CASOLA</v>
      </c>
      <c r="Z2072" t="str">
        <f t="shared" si="296"/>
        <v>10.220.80.16</v>
      </c>
    </row>
    <row r="2073" spans="1:26" x14ac:dyDescent="0.25">
      <c r="A2073" t="s">
        <v>10</v>
      </c>
      <c r="B2073" t="s">
        <v>1206</v>
      </c>
      <c r="C2073" t="s">
        <v>2555</v>
      </c>
      <c r="D2073" t="s">
        <v>1354</v>
      </c>
      <c r="E2073" t="s">
        <v>2555</v>
      </c>
      <c r="F2073" t="s">
        <v>14</v>
      </c>
      <c r="G2073" t="s">
        <v>28</v>
      </c>
      <c r="H2073" t="s">
        <v>22</v>
      </c>
      <c r="I2073" t="s">
        <v>2934</v>
      </c>
      <c r="J2073" t="s">
        <v>1356</v>
      </c>
      <c r="K2073" t="str">
        <f t="shared" si="288"/>
        <v>5008.0</v>
      </c>
      <c r="N2073" t="str">
        <f t="shared" si="289"/>
        <v>HOLDING REGISTER</v>
      </c>
      <c r="O2073" t="str">
        <f t="shared" si="290"/>
        <v>BOOL</v>
      </c>
      <c r="P2073" t="str">
        <f t="shared" si="291"/>
        <v>PULSANTE CHIAMATA SOS 9</v>
      </c>
      <c r="R2073" t="str">
        <f t="shared" si="292"/>
        <v>CHIAMATA 118 EFFETTUATA</v>
      </c>
      <c r="U2073" t="str">
        <f t="shared" si="293"/>
        <v>Allarme</v>
      </c>
      <c r="V2073" t="str">
        <f t="shared" si="294"/>
        <v>SOS 9</v>
      </c>
      <c r="W2073" t="str">
        <f t="shared" si="295"/>
        <v>GALLERIA CASOLA</v>
      </c>
      <c r="Z2073" t="str">
        <f t="shared" si="296"/>
        <v>10.220.80.16</v>
      </c>
    </row>
    <row r="2074" spans="1:26" x14ac:dyDescent="0.25">
      <c r="A2074" t="s">
        <v>10</v>
      </c>
      <c r="B2074" t="s">
        <v>1206</v>
      </c>
      <c r="C2074" t="s">
        <v>2555</v>
      </c>
      <c r="D2074" t="s">
        <v>1354</v>
      </c>
      <c r="E2074" t="s">
        <v>2555</v>
      </c>
      <c r="F2074" t="s">
        <v>14</v>
      </c>
      <c r="G2074" t="s">
        <v>28</v>
      </c>
      <c r="H2074" t="s">
        <v>22</v>
      </c>
      <c r="I2074" t="s">
        <v>2935</v>
      </c>
      <c r="J2074" t="s">
        <v>1358</v>
      </c>
      <c r="K2074" t="str">
        <f t="shared" si="288"/>
        <v>5008.1</v>
      </c>
      <c r="N2074" t="str">
        <f t="shared" si="289"/>
        <v>HOLDING REGISTER</v>
      </c>
      <c r="O2074" t="str">
        <f t="shared" si="290"/>
        <v>BOOL</v>
      </c>
      <c r="P2074" t="str">
        <f t="shared" si="291"/>
        <v>PULSANTE CHIAMATA SOS 9</v>
      </c>
      <c r="R2074" t="str">
        <f t="shared" si="292"/>
        <v>CHIAMATA 113 EFFETTUATA</v>
      </c>
      <c r="U2074" t="str">
        <f t="shared" si="293"/>
        <v>Allarme</v>
      </c>
      <c r="V2074" t="str">
        <f t="shared" si="294"/>
        <v>SOS 9</v>
      </c>
      <c r="W2074" t="str">
        <f t="shared" si="295"/>
        <v>GALLERIA CASOLA</v>
      </c>
      <c r="Z2074" t="str">
        <f t="shared" si="296"/>
        <v>10.220.80.16</v>
      </c>
    </row>
    <row r="2075" spans="1:26" x14ac:dyDescent="0.25">
      <c r="A2075" t="s">
        <v>10</v>
      </c>
      <c r="B2075" t="s">
        <v>1206</v>
      </c>
      <c r="C2075" t="s">
        <v>2555</v>
      </c>
      <c r="D2075" t="s">
        <v>1354</v>
      </c>
      <c r="E2075" t="s">
        <v>2555</v>
      </c>
      <c r="F2075" t="s">
        <v>14</v>
      </c>
      <c r="G2075" t="s">
        <v>28</v>
      </c>
      <c r="H2075" t="s">
        <v>22</v>
      </c>
      <c r="I2075" t="s">
        <v>2936</v>
      </c>
      <c r="J2075" t="s">
        <v>1360</v>
      </c>
      <c r="K2075" t="str">
        <f t="shared" si="288"/>
        <v>5008.2</v>
      </c>
      <c r="N2075" t="str">
        <f t="shared" si="289"/>
        <v>HOLDING REGISTER</v>
      </c>
      <c r="O2075" t="str">
        <f t="shared" si="290"/>
        <v>BOOL</v>
      </c>
      <c r="P2075" t="str">
        <f t="shared" si="291"/>
        <v>PULSANTE CHIAMATA SOS 9</v>
      </c>
      <c r="R2075" t="str">
        <f t="shared" si="292"/>
        <v>CHIAMATA 115 EFFETTUATA</v>
      </c>
      <c r="U2075" t="str">
        <f t="shared" si="293"/>
        <v>Allarme</v>
      </c>
      <c r="V2075" t="str">
        <f t="shared" si="294"/>
        <v>SOS 9</v>
      </c>
      <c r="W2075" t="str">
        <f t="shared" si="295"/>
        <v>GALLERIA CASOLA</v>
      </c>
      <c r="Z2075" t="str">
        <f t="shared" si="296"/>
        <v>10.220.80.16</v>
      </c>
    </row>
    <row r="2076" spans="1:26" x14ac:dyDescent="0.25">
      <c r="A2076" t="s">
        <v>10</v>
      </c>
      <c r="B2076" t="s">
        <v>1206</v>
      </c>
      <c r="C2076" t="s">
        <v>2555</v>
      </c>
      <c r="D2076" t="s">
        <v>1354</v>
      </c>
      <c r="E2076" t="s">
        <v>2555</v>
      </c>
      <c r="F2076" t="s">
        <v>14</v>
      </c>
      <c r="G2076" t="s">
        <v>28</v>
      </c>
      <c r="H2076" t="s">
        <v>22</v>
      </c>
      <c r="I2076" t="s">
        <v>2937</v>
      </c>
      <c r="J2076" t="s">
        <v>1362</v>
      </c>
      <c r="K2076" t="str">
        <f t="shared" si="288"/>
        <v>5008.3</v>
      </c>
      <c r="N2076" t="str">
        <f t="shared" si="289"/>
        <v>HOLDING REGISTER</v>
      </c>
      <c r="O2076" t="str">
        <f t="shared" si="290"/>
        <v>BOOL</v>
      </c>
      <c r="P2076" t="str">
        <f t="shared" si="291"/>
        <v>PULSANTE CHIAMATA SOS 9</v>
      </c>
      <c r="R2076" t="str">
        <f t="shared" si="292"/>
        <v>CHIAMATA SALA CONTROLLO ANAS EFFETTUATA</v>
      </c>
      <c r="U2076" t="str">
        <f t="shared" si="293"/>
        <v>Allarme</v>
      </c>
      <c r="V2076" t="str">
        <f t="shared" si="294"/>
        <v>SOS 9</v>
      </c>
      <c r="W2076" t="str">
        <f t="shared" si="295"/>
        <v>GALLERIA CASOLA</v>
      </c>
      <c r="Z2076" t="str">
        <f t="shared" si="296"/>
        <v>10.220.80.16</v>
      </c>
    </row>
    <row r="2077" spans="1:26" x14ac:dyDescent="0.25">
      <c r="A2077" t="s">
        <v>10</v>
      </c>
      <c r="B2077" t="s">
        <v>1206</v>
      </c>
      <c r="C2077" t="s">
        <v>2555</v>
      </c>
      <c r="D2077" t="s">
        <v>1363</v>
      </c>
      <c r="E2077" t="s">
        <v>2555</v>
      </c>
      <c r="F2077" t="s">
        <v>14</v>
      </c>
      <c r="G2077" t="s">
        <v>28</v>
      </c>
      <c r="H2077" t="s">
        <v>22</v>
      </c>
      <c r="I2077" t="s">
        <v>2938</v>
      </c>
      <c r="J2077" t="s">
        <v>1365</v>
      </c>
      <c r="K2077" t="str">
        <f t="shared" si="288"/>
        <v>5008.4</v>
      </c>
      <c r="N2077" t="str">
        <f t="shared" si="289"/>
        <v>HOLDING REGISTER</v>
      </c>
      <c r="O2077" t="str">
        <f t="shared" si="290"/>
        <v>BOOL</v>
      </c>
      <c r="P2077" t="str">
        <f t="shared" si="291"/>
        <v>ESTINTORE SOS 9</v>
      </c>
      <c r="R2077" t="str">
        <f t="shared" si="292"/>
        <v>ESTINTORE PRELEVATO 1</v>
      </c>
      <c r="U2077" t="str">
        <f t="shared" si="293"/>
        <v>Allarme</v>
      </c>
      <c r="V2077" t="str">
        <f t="shared" si="294"/>
        <v>SOS 9</v>
      </c>
      <c r="W2077" t="str">
        <f t="shared" si="295"/>
        <v>GALLERIA CASOLA</v>
      </c>
      <c r="Z2077" t="str">
        <f t="shared" si="296"/>
        <v>10.220.80.16</v>
      </c>
    </row>
    <row r="2078" spans="1:26" x14ac:dyDescent="0.25">
      <c r="A2078" t="s">
        <v>10</v>
      </c>
      <c r="B2078" t="s">
        <v>1206</v>
      </c>
      <c r="C2078" t="s">
        <v>2555</v>
      </c>
      <c r="D2078" t="s">
        <v>1363</v>
      </c>
      <c r="E2078" t="s">
        <v>2555</v>
      </c>
      <c r="F2078" t="s">
        <v>14</v>
      </c>
      <c r="G2078" t="s">
        <v>28</v>
      </c>
      <c r="H2078" t="s">
        <v>22</v>
      </c>
      <c r="I2078" t="s">
        <v>2939</v>
      </c>
      <c r="J2078" t="s">
        <v>1367</v>
      </c>
      <c r="K2078" t="str">
        <f t="shared" si="288"/>
        <v>5008.5</v>
      </c>
      <c r="N2078" t="str">
        <f t="shared" si="289"/>
        <v>HOLDING REGISTER</v>
      </c>
      <c r="O2078" t="str">
        <f t="shared" si="290"/>
        <v>BOOL</v>
      </c>
      <c r="P2078" t="str">
        <f t="shared" si="291"/>
        <v>ESTINTORE SOS 9</v>
      </c>
      <c r="R2078" t="str">
        <f t="shared" si="292"/>
        <v>ESTINTORE PRELEVATO 2</v>
      </c>
      <c r="U2078" t="str">
        <f t="shared" si="293"/>
        <v>Allarme</v>
      </c>
      <c r="V2078" t="str">
        <f t="shared" si="294"/>
        <v>SOS 9</v>
      </c>
      <c r="W2078" t="str">
        <f t="shared" si="295"/>
        <v>GALLERIA CASOLA</v>
      </c>
      <c r="Z2078" t="str">
        <f t="shared" si="296"/>
        <v>10.220.80.16</v>
      </c>
    </row>
    <row r="2079" spans="1:26" x14ac:dyDescent="0.25">
      <c r="A2079" t="s">
        <v>10</v>
      </c>
      <c r="B2079" t="s">
        <v>1206</v>
      </c>
      <c r="C2079" t="s">
        <v>2555</v>
      </c>
      <c r="D2079" t="s">
        <v>1368</v>
      </c>
      <c r="E2079" t="s">
        <v>2555</v>
      </c>
      <c r="F2079" t="s">
        <v>14</v>
      </c>
      <c r="G2079" t="s">
        <v>28</v>
      </c>
      <c r="H2079" t="s">
        <v>22</v>
      </c>
      <c r="I2079" t="s">
        <v>2940</v>
      </c>
      <c r="J2079" t="s">
        <v>1370</v>
      </c>
      <c r="K2079" t="str">
        <f t="shared" si="288"/>
        <v>5008.6</v>
      </c>
      <c r="N2079" t="str">
        <f t="shared" si="289"/>
        <v>HOLDING REGISTER</v>
      </c>
      <c r="O2079" t="str">
        <f t="shared" si="290"/>
        <v>BOOL</v>
      </c>
      <c r="P2079" t="str">
        <f t="shared" si="291"/>
        <v>PORTA SOS 9</v>
      </c>
      <c r="R2079" t="str">
        <f t="shared" si="292"/>
        <v>MANICHETTA PRELEVATA</v>
      </c>
      <c r="U2079" t="str">
        <f t="shared" si="293"/>
        <v>Allarme</v>
      </c>
      <c r="V2079" t="str">
        <f t="shared" si="294"/>
        <v>SOS 9</v>
      </c>
      <c r="W2079" t="str">
        <f t="shared" si="295"/>
        <v>GALLERIA CASOLA</v>
      </c>
      <c r="Z2079" t="str">
        <f t="shared" si="296"/>
        <v>10.220.80.16</v>
      </c>
    </row>
    <row r="2080" spans="1:26" x14ac:dyDescent="0.25">
      <c r="A2080" t="s">
        <v>10</v>
      </c>
      <c r="B2080" t="s">
        <v>1206</v>
      </c>
      <c r="C2080" t="s">
        <v>2555</v>
      </c>
      <c r="D2080" t="s">
        <v>1368</v>
      </c>
      <c r="E2080" t="s">
        <v>2555</v>
      </c>
      <c r="F2080" t="s">
        <v>14</v>
      </c>
      <c r="G2080" t="s">
        <v>28</v>
      </c>
      <c r="H2080" t="s">
        <v>22</v>
      </c>
      <c r="I2080" t="s">
        <v>2941</v>
      </c>
      <c r="J2080" t="s">
        <v>1372</v>
      </c>
      <c r="K2080" t="str">
        <f t="shared" si="288"/>
        <v>5008.7</v>
      </c>
      <c r="N2080" t="str">
        <f t="shared" si="289"/>
        <v>HOLDING REGISTER</v>
      </c>
      <c r="O2080" t="str">
        <f t="shared" si="290"/>
        <v>BOOL</v>
      </c>
      <c r="P2080" t="str">
        <f t="shared" si="291"/>
        <v>PORTA SOS 9</v>
      </c>
      <c r="R2080" t="str">
        <f t="shared" si="292"/>
        <v>PORTA TELEFONO VOIP APERTA</v>
      </c>
      <c r="U2080" t="str">
        <f t="shared" si="293"/>
        <v>Allarme</v>
      </c>
      <c r="V2080" t="str">
        <f t="shared" si="294"/>
        <v>SOS 9</v>
      </c>
      <c r="W2080" t="str">
        <f t="shared" si="295"/>
        <v>GALLERIA CASOLA</v>
      </c>
      <c r="Z2080" t="str">
        <f t="shared" si="296"/>
        <v>10.220.80.16</v>
      </c>
    </row>
    <row r="2081" spans="1:26" x14ac:dyDescent="0.25">
      <c r="A2081" t="s">
        <v>10</v>
      </c>
      <c r="B2081" t="s">
        <v>1206</v>
      </c>
      <c r="C2081" t="s">
        <v>2555</v>
      </c>
      <c r="D2081" t="s">
        <v>1368</v>
      </c>
      <c r="E2081" t="s">
        <v>2555</v>
      </c>
      <c r="F2081" t="s">
        <v>14</v>
      </c>
      <c r="G2081" t="s">
        <v>28</v>
      </c>
      <c r="H2081" t="s">
        <v>22</v>
      </c>
      <c r="I2081" t="s">
        <v>2942</v>
      </c>
      <c r="J2081" t="s">
        <v>1374</v>
      </c>
      <c r="K2081" t="str">
        <f t="shared" si="288"/>
        <v>5008.8</v>
      </c>
      <c r="N2081" t="str">
        <f t="shared" si="289"/>
        <v>HOLDING REGISTER</v>
      </c>
      <c r="O2081" t="str">
        <f t="shared" si="290"/>
        <v>BOOL</v>
      </c>
      <c r="P2081" t="str">
        <f t="shared" si="291"/>
        <v>PORTA SOS 9</v>
      </c>
      <c r="R2081" t="str">
        <f t="shared" si="292"/>
        <v>PORTA VANO TECNICO APERTA</v>
      </c>
      <c r="U2081" t="str">
        <f t="shared" si="293"/>
        <v>Allarme</v>
      </c>
      <c r="V2081" t="str">
        <f t="shared" si="294"/>
        <v>SOS 9</v>
      </c>
      <c r="W2081" t="str">
        <f t="shared" si="295"/>
        <v>GALLERIA CASOLA</v>
      </c>
      <c r="Z2081" t="str">
        <f t="shared" si="296"/>
        <v>10.220.80.16</v>
      </c>
    </row>
    <row r="2082" spans="1:26" x14ac:dyDescent="0.25">
      <c r="A2082" t="s">
        <v>10</v>
      </c>
      <c r="B2082" t="s">
        <v>1206</v>
      </c>
      <c r="C2082" t="s">
        <v>2555</v>
      </c>
      <c r="D2082" t="s">
        <v>1375</v>
      </c>
      <c r="E2082" t="s">
        <v>2555</v>
      </c>
      <c r="F2082" t="s">
        <v>14</v>
      </c>
      <c r="G2082" t="s">
        <v>1375</v>
      </c>
      <c r="H2082" t="s">
        <v>22</v>
      </c>
      <c r="I2082" t="s">
        <v>2943</v>
      </c>
      <c r="J2082" t="s">
        <v>1375</v>
      </c>
      <c r="K2082" t="str">
        <f t="shared" si="288"/>
        <v>5008.9</v>
      </c>
      <c r="N2082" t="str">
        <f t="shared" si="289"/>
        <v>HOLDING REGISTER</v>
      </c>
      <c r="O2082" t="str">
        <f t="shared" si="290"/>
        <v>BOOL</v>
      </c>
      <c r="P2082" t="str">
        <f t="shared" si="291"/>
        <v>disponibile SOS 9</v>
      </c>
      <c r="R2082" t="str">
        <f t="shared" si="292"/>
        <v>disponibile</v>
      </c>
      <c r="U2082" t="str">
        <f t="shared" si="293"/>
        <v>disponibile</v>
      </c>
      <c r="V2082" t="str">
        <f t="shared" si="294"/>
        <v>SOS 9</v>
      </c>
      <c r="W2082" t="str">
        <f t="shared" si="295"/>
        <v>GALLERIA CASOLA</v>
      </c>
      <c r="Z2082" t="str">
        <f t="shared" si="296"/>
        <v>10.220.80.16</v>
      </c>
    </row>
    <row r="2083" spans="1:26" x14ac:dyDescent="0.25">
      <c r="A2083" t="s">
        <v>10</v>
      </c>
      <c r="B2083" t="s">
        <v>1206</v>
      </c>
      <c r="C2083" t="s">
        <v>2555</v>
      </c>
      <c r="D2083" t="s">
        <v>1375</v>
      </c>
      <c r="E2083" t="s">
        <v>2555</v>
      </c>
      <c r="F2083" t="s">
        <v>14</v>
      </c>
      <c r="G2083" t="s">
        <v>1375</v>
      </c>
      <c r="H2083" t="s">
        <v>22</v>
      </c>
      <c r="I2083" t="s">
        <v>2944</v>
      </c>
      <c r="J2083" t="s">
        <v>1375</v>
      </c>
      <c r="K2083" t="str">
        <f t="shared" si="288"/>
        <v>5008.10</v>
      </c>
      <c r="N2083" t="str">
        <f t="shared" si="289"/>
        <v>HOLDING REGISTER</v>
      </c>
      <c r="O2083" t="str">
        <f t="shared" si="290"/>
        <v>BOOL</v>
      </c>
      <c r="P2083" t="str">
        <f t="shared" si="291"/>
        <v>disponibile SOS 9</v>
      </c>
      <c r="R2083" t="str">
        <f t="shared" si="292"/>
        <v>disponibile</v>
      </c>
      <c r="U2083" t="str">
        <f t="shared" si="293"/>
        <v>disponibile</v>
      </c>
      <c r="V2083" t="str">
        <f t="shared" si="294"/>
        <v>SOS 9</v>
      </c>
      <c r="W2083" t="str">
        <f t="shared" si="295"/>
        <v>GALLERIA CASOLA</v>
      </c>
      <c r="Z2083" t="str">
        <f t="shared" si="296"/>
        <v>10.220.80.16</v>
      </c>
    </row>
    <row r="2084" spans="1:26" x14ac:dyDescent="0.25">
      <c r="A2084" t="s">
        <v>10</v>
      </c>
      <c r="B2084" t="s">
        <v>1206</v>
      </c>
      <c r="C2084" t="s">
        <v>2555</v>
      </c>
      <c r="D2084" t="s">
        <v>1375</v>
      </c>
      <c r="E2084" t="s">
        <v>2555</v>
      </c>
      <c r="F2084" t="s">
        <v>14</v>
      </c>
      <c r="G2084" t="s">
        <v>1375</v>
      </c>
      <c r="H2084" t="s">
        <v>22</v>
      </c>
      <c r="I2084" t="s">
        <v>2945</v>
      </c>
      <c r="J2084" t="s">
        <v>1375</v>
      </c>
      <c r="K2084" t="str">
        <f t="shared" si="288"/>
        <v>5008.11</v>
      </c>
      <c r="N2084" t="str">
        <f t="shared" si="289"/>
        <v>HOLDING REGISTER</v>
      </c>
      <c r="O2084" t="str">
        <f t="shared" si="290"/>
        <v>BOOL</v>
      </c>
      <c r="P2084" t="str">
        <f t="shared" si="291"/>
        <v>disponibile SOS 9</v>
      </c>
      <c r="R2084" t="str">
        <f t="shared" si="292"/>
        <v>disponibile</v>
      </c>
      <c r="U2084" t="str">
        <f t="shared" si="293"/>
        <v>disponibile</v>
      </c>
      <c r="V2084" t="str">
        <f t="shared" si="294"/>
        <v>SOS 9</v>
      </c>
      <c r="W2084" t="str">
        <f t="shared" si="295"/>
        <v>GALLERIA CASOLA</v>
      </c>
      <c r="Z2084" t="str">
        <f t="shared" si="296"/>
        <v>10.220.80.16</v>
      </c>
    </row>
    <row r="2085" spans="1:26" x14ac:dyDescent="0.25">
      <c r="A2085" t="s">
        <v>10</v>
      </c>
      <c r="B2085" t="s">
        <v>1206</v>
      </c>
      <c r="C2085" t="s">
        <v>2555</v>
      </c>
      <c r="D2085" t="s">
        <v>1375</v>
      </c>
      <c r="E2085" t="s">
        <v>2555</v>
      </c>
      <c r="F2085" t="s">
        <v>14</v>
      </c>
      <c r="G2085" t="s">
        <v>1375</v>
      </c>
      <c r="H2085" t="s">
        <v>22</v>
      </c>
      <c r="I2085" t="s">
        <v>2946</v>
      </c>
      <c r="J2085" t="s">
        <v>1375</v>
      </c>
      <c r="K2085" t="str">
        <f t="shared" si="288"/>
        <v>5008.12</v>
      </c>
      <c r="N2085" t="str">
        <f t="shared" si="289"/>
        <v>HOLDING REGISTER</v>
      </c>
      <c r="O2085" t="str">
        <f t="shared" si="290"/>
        <v>BOOL</v>
      </c>
      <c r="P2085" t="str">
        <f t="shared" si="291"/>
        <v>disponibile SOS 9</v>
      </c>
      <c r="R2085" t="str">
        <f t="shared" si="292"/>
        <v>disponibile</v>
      </c>
      <c r="U2085" t="str">
        <f t="shared" si="293"/>
        <v>disponibile</v>
      </c>
      <c r="V2085" t="str">
        <f t="shared" si="294"/>
        <v>SOS 9</v>
      </c>
      <c r="W2085" t="str">
        <f t="shared" si="295"/>
        <v>GALLERIA CASOLA</v>
      </c>
      <c r="Z2085" t="str">
        <f t="shared" si="296"/>
        <v>10.220.80.16</v>
      </c>
    </row>
    <row r="2086" spans="1:26" x14ac:dyDescent="0.25">
      <c r="A2086" t="s">
        <v>10</v>
      </c>
      <c r="B2086" t="s">
        <v>1206</v>
      </c>
      <c r="C2086" t="s">
        <v>2555</v>
      </c>
      <c r="D2086" t="s">
        <v>12</v>
      </c>
      <c r="E2086" t="s">
        <v>2555</v>
      </c>
      <c r="F2086" t="s">
        <v>14</v>
      </c>
      <c r="G2086" t="s">
        <v>28</v>
      </c>
      <c r="H2086" t="s">
        <v>22</v>
      </c>
      <c r="I2086" t="s">
        <v>2947</v>
      </c>
      <c r="J2086" t="s">
        <v>1381</v>
      </c>
      <c r="K2086" t="str">
        <f t="shared" si="288"/>
        <v>5008.13</v>
      </c>
      <c r="N2086" t="str">
        <f t="shared" si="289"/>
        <v>HOLDING REGISTER</v>
      </c>
      <c r="O2086" t="str">
        <f t="shared" si="290"/>
        <v>BOOL</v>
      </c>
      <c r="P2086" t="str">
        <f t="shared" si="291"/>
        <v>PLC SOS 9</v>
      </c>
      <c r="R2086" t="str">
        <f t="shared" si="292"/>
        <v>PLC IN STOP</v>
      </c>
      <c r="U2086" t="str">
        <f t="shared" si="293"/>
        <v>Allarme</v>
      </c>
      <c r="V2086" t="str">
        <f t="shared" si="294"/>
        <v>SOS 9</v>
      </c>
      <c r="W2086" t="str">
        <f t="shared" si="295"/>
        <v>GALLERIA CASOLA</v>
      </c>
      <c r="Z2086" t="str">
        <f t="shared" si="296"/>
        <v>10.220.80.16</v>
      </c>
    </row>
    <row r="2087" spans="1:26" x14ac:dyDescent="0.25">
      <c r="A2087" t="s">
        <v>10</v>
      </c>
      <c r="B2087" t="s">
        <v>1206</v>
      </c>
      <c r="C2087" t="s">
        <v>2555</v>
      </c>
      <c r="D2087" t="s">
        <v>12</v>
      </c>
      <c r="E2087" t="s">
        <v>2555</v>
      </c>
      <c r="F2087" t="s">
        <v>14</v>
      </c>
      <c r="G2087" t="s">
        <v>28</v>
      </c>
      <c r="H2087" t="s">
        <v>22</v>
      </c>
      <c r="I2087" t="s">
        <v>2948</v>
      </c>
      <c r="J2087" t="s">
        <v>1383</v>
      </c>
      <c r="K2087" t="str">
        <f t="shared" si="288"/>
        <v>5008.14</v>
      </c>
      <c r="N2087" t="str">
        <f t="shared" si="289"/>
        <v>HOLDING REGISTER</v>
      </c>
      <c r="O2087" t="str">
        <f t="shared" si="290"/>
        <v>BOOL</v>
      </c>
      <c r="P2087" t="str">
        <f t="shared" si="291"/>
        <v>PLC SOS 9</v>
      </c>
      <c r="R2087" t="str">
        <f t="shared" si="292"/>
        <v>FAULT COMUNICAZIONE ETHERNET</v>
      </c>
      <c r="U2087" t="str">
        <f t="shared" si="293"/>
        <v>Allarme</v>
      </c>
      <c r="V2087" t="str">
        <f t="shared" si="294"/>
        <v>SOS 9</v>
      </c>
      <c r="W2087" t="str">
        <f t="shared" si="295"/>
        <v>GALLERIA CASOLA</v>
      </c>
      <c r="Z2087" t="str">
        <f t="shared" si="296"/>
        <v>10.220.80.16</v>
      </c>
    </row>
    <row r="2088" spans="1:26" x14ac:dyDescent="0.25">
      <c r="A2088" t="s">
        <v>10</v>
      </c>
      <c r="B2088" t="s">
        <v>1206</v>
      </c>
      <c r="C2088" t="s">
        <v>2555</v>
      </c>
      <c r="D2088" t="s">
        <v>1384</v>
      </c>
      <c r="E2088" t="s">
        <v>2555</v>
      </c>
      <c r="F2088" t="s">
        <v>14</v>
      </c>
      <c r="G2088" t="s">
        <v>21</v>
      </c>
      <c r="H2088" t="s">
        <v>22</v>
      </c>
      <c r="I2088" t="s">
        <v>2949</v>
      </c>
      <c r="J2088" t="s">
        <v>1386</v>
      </c>
      <c r="K2088" t="str">
        <f t="shared" si="288"/>
        <v>5008.15</v>
      </c>
      <c r="N2088" t="str">
        <f t="shared" si="289"/>
        <v>HOLDING REGISTER</v>
      </c>
      <c r="O2088" t="str">
        <f t="shared" si="290"/>
        <v>BOOL</v>
      </c>
      <c r="P2088" t="str">
        <f t="shared" si="291"/>
        <v xml:space="preserve">  SOS 9</v>
      </c>
      <c r="R2088" t="str">
        <f t="shared" si="292"/>
        <v>FEEDBACK RESET DA RMT</v>
      </c>
      <c r="U2088" t="str">
        <f t="shared" si="293"/>
        <v>Stato</v>
      </c>
      <c r="V2088" t="str">
        <f t="shared" si="294"/>
        <v>SOS 9</v>
      </c>
      <c r="W2088" t="str">
        <f t="shared" si="295"/>
        <v>GALLERIA CASOLA</v>
      </c>
      <c r="Z2088" t="str">
        <f t="shared" si="296"/>
        <v>10.220.80.16</v>
      </c>
    </row>
    <row r="2089" spans="1:26" x14ac:dyDescent="0.25">
      <c r="A2089" t="s">
        <v>10</v>
      </c>
      <c r="B2089" t="s">
        <v>1206</v>
      </c>
      <c r="C2089" t="s">
        <v>2558</v>
      </c>
      <c r="D2089" t="s">
        <v>1354</v>
      </c>
      <c r="E2089" t="s">
        <v>2558</v>
      </c>
      <c r="F2089" t="s">
        <v>14</v>
      </c>
      <c r="G2089" t="s">
        <v>28</v>
      </c>
      <c r="H2089" t="s">
        <v>22</v>
      </c>
      <c r="I2089" t="s">
        <v>2950</v>
      </c>
      <c r="J2089" t="s">
        <v>1356</v>
      </c>
      <c r="K2089" t="str">
        <f t="shared" si="288"/>
        <v>5009.0</v>
      </c>
      <c r="N2089" t="str">
        <f t="shared" si="289"/>
        <v>HOLDING REGISTER</v>
      </c>
      <c r="O2089" t="str">
        <f t="shared" si="290"/>
        <v>BOOL</v>
      </c>
      <c r="P2089" t="str">
        <f t="shared" si="291"/>
        <v>PULSANTE CHIAMATA SOS 10</v>
      </c>
      <c r="R2089" t="str">
        <f t="shared" si="292"/>
        <v>CHIAMATA 118 EFFETTUATA</v>
      </c>
      <c r="U2089" t="str">
        <f t="shared" si="293"/>
        <v>Allarme</v>
      </c>
      <c r="V2089" t="str">
        <f t="shared" si="294"/>
        <v>SOS 10</v>
      </c>
      <c r="W2089" t="str">
        <f t="shared" si="295"/>
        <v>GALLERIA CASOLA</v>
      </c>
      <c r="Z2089" t="str">
        <f t="shared" si="296"/>
        <v>10.220.80.16</v>
      </c>
    </row>
    <row r="2090" spans="1:26" x14ac:dyDescent="0.25">
      <c r="A2090" t="s">
        <v>10</v>
      </c>
      <c r="B2090" t="s">
        <v>1206</v>
      </c>
      <c r="C2090" t="s">
        <v>2558</v>
      </c>
      <c r="D2090" t="s">
        <v>1354</v>
      </c>
      <c r="E2090" t="s">
        <v>2558</v>
      </c>
      <c r="F2090" t="s">
        <v>14</v>
      </c>
      <c r="G2090" t="s">
        <v>28</v>
      </c>
      <c r="H2090" t="s">
        <v>22</v>
      </c>
      <c r="I2090" t="s">
        <v>2951</v>
      </c>
      <c r="J2090" t="s">
        <v>1358</v>
      </c>
      <c r="K2090" t="str">
        <f t="shared" si="288"/>
        <v>5009.1</v>
      </c>
      <c r="N2090" t="str">
        <f t="shared" si="289"/>
        <v>HOLDING REGISTER</v>
      </c>
      <c r="O2090" t="str">
        <f t="shared" si="290"/>
        <v>BOOL</v>
      </c>
      <c r="P2090" t="str">
        <f t="shared" si="291"/>
        <v>PULSANTE CHIAMATA SOS 10</v>
      </c>
      <c r="R2090" t="str">
        <f t="shared" si="292"/>
        <v>CHIAMATA 113 EFFETTUATA</v>
      </c>
      <c r="U2090" t="str">
        <f t="shared" si="293"/>
        <v>Allarme</v>
      </c>
      <c r="V2090" t="str">
        <f t="shared" si="294"/>
        <v>SOS 10</v>
      </c>
      <c r="W2090" t="str">
        <f t="shared" si="295"/>
        <v>GALLERIA CASOLA</v>
      </c>
      <c r="Z2090" t="str">
        <f t="shared" si="296"/>
        <v>10.220.80.16</v>
      </c>
    </row>
    <row r="2091" spans="1:26" x14ac:dyDescent="0.25">
      <c r="A2091" t="s">
        <v>10</v>
      </c>
      <c r="B2091" t="s">
        <v>1206</v>
      </c>
      <c r="C2091" t="s">
        <v>2558</v>
      </c>
      <c r="D2091" t="s">
        <v>1354</v>
      </c>
      <c r="E2091" t="s">
        <v>2558</v>
      </c>
      <c r="F2091" t="s">
        <v>14</v>
      </c>
      <c r="G2091" t="s">
        <v>28</v>
      </c>
      <c r="H2091" t="s">
        <v>22</v>
      </c>
      <c r="I2091" t="s">
        <v>2952</v>
      </c>
      <c r="J2091" t="s">
        <v>1360</v>
      </c>
      <c r="K2091" t="str">
        <f t="shared" si="288"/>
        <v>5009.2</v>
      </c>
      <c r="N2091" t="str">
        <f t="shared" si="289"/>
        <v>HOLDING REGISTER</v>
      </c>
      <c r="O2091" t="str">
        <f t="shared" si="290"/>
        <v>BOOL</v>
      </c>
      <c r="P2091" t="str">
        <f t="shared" si="291"/>
        <v>PULSANTE CHIAMATA SOS 10</v>
      </c>
      <c r="R2091" t="str">
        <f t="shared" si="292"/>
        <v>CHIAMATA 115 EFFETTUATA</v>
      </c>
      <c r="U2091" t="str">
        <f t="shared" si="293"/>
        <v>Allarme</v>
      </c>
      <c r="V2091" t="str">
        <f t="shared" si="294"/>
        <v>SOS 10</v>
      </c>
      <c r="W2091" t="str">
        <f t="shared" si="295"/>
        <v>GALLERIA CASOLA</v>
      </c>
      <c r="Z2091" t="str">
        <f t="shared" si="296"/>
        <v>10.220.80.16</v>
      </c>
    </row>
    <row r="2092" spans="1:26" x14ac:dyDescent="0.25">
      <c r="A2092" t="s">
        <v>10</v>
      </c>
      <c r="B2092" t="s">
        <v>1206</v>
      </c>
      <c r="C2092" t="s">
        <v>2558</v>
      </c>
      <c r="D2092" t="s">
        <v>1354</v>
      </c>
      <c r="E2092" t="s">
        <v>2558</v>
      </c>
      <c r="F2092" t="s">
        <v>14</v>
      </c>
      <c r="G2092" t="s">
        <v>28</v>
      </c>
      <c r="H2092" t="s">
        <v>22</v>
      </c>
      <c r="I2092" t="s">
        <v>2953</v>
      </c>
      <c r="J2092" t="s">
        <v>1362</v>
      </c>
      <c r="K2092" t="str">
        <f t="shared" si="288"/>
        <v>5009.3</v>
      </c>
      <c r="N2092" t="str">
        <f t="shared" si="289"/>
        <v>HOLDING REGISTER</v>
      </c>
      <c r="O2092" t="str">
        <f t="shared" si="290"/>
        <v>BOOL</v>
      </c>
      <c r="P2092" t="str">
        <f t="shared" si="291"/>
        <v>PULSANTE CHIAMATA SOS 10</v>
      </c>
      <c r="R2092" t="str">
        <f t="shared" si="292"/>
        <v>CHIAMATA SALA CONTROLLO ANAS EFFETTUATA</v>
      </c>
      <c r="U2092" t="str">
        <f t="shared" si="293"/>
        <v>Allarme</v>
      </c>
      <c r="V2092" t="str">
        <f t="shared" si="294"/>
        <v>SOS 10</v>
      </c>
      <c r="W2092" t="str">
        <f t="shared" si="295"/>
        <v>GALLERIA CASOLA</v>
      </c>
      <c r="Z2092" t="str">
        <f t="shared" si="296"/>
        <v>10.220.80.16</v>
      </c>
    </row>
    <row r="2093" spans="1:26" x14ac:dyDescent="0.25">
      <c r="A2093" t="s">
        <v>10</v>
      </c>
      <c r="B2093" t="s">
        <v>1206</v>
      </c>
      <c r="C2093" t="s">
        <v>2558</v>
      </c>
      <c r="D2093" t="s">
        <v>1363</v>
      </c>
      <c r="E2093" t="s">
        <v>2558</v>
      </c>
      <c r="F2093" t="s">
        <v>14</v>
      </c>
      <c r="G2093" t="s">
        <v>28</v>
      </c>
      <c r="H2093" t="s">
        <v>22</v>
      </c>
      <c r="I2093" t="s">
        <v>2954</v>
      </c>
      <c r="J2093" t="s">
        <v>1365</v>
      </c>
      <c r="K2093" t="str">
        <f t="shared" si="288"/>
        <v>5009.4</v>
      </c>
      <c r="N2093" t="str">
        <f t="shared" si="289"/>
        <v>HOLDING REGISTER</v>
      </c>
      <c r="O2093" t="str">
        <f t="shared" si="290"/>
        <v>BOOL</v>
      </c>
      <c r="P2093" t="str">
        <f t="shared" si="291"/>
        <v>ESTINTORE SOS 10</v>
      </c>
      <c r="R2093" t="str">
        <f t="shared" si="292"/>
        <v>ESTINTORE PRELEVATO 1</v>
      </c>
      <c r="U2093" t="str">
        <f t="shared" si="293"/>
        <v>Allarme</v>
      </c>
      <c r="V2093" t="str">
        <f t="shared" si="294"/>
        <v>SOS 10</v>
      </c>
      <c r="W2093" t="str">
        <f t="shared" si="295"/>
        <v>GALLERIA CASOLA</v>
      </c>
      <c r="Z2093" t="str">
        <f t="shared" si="296"/>
        <v>10.220.80.16</v>
      </c>
    </row>
    <row r="2094" spans="1:26" x14ac:dyDescent="0.25">
      <c r="A2094" t="s">
        <v>10</v>
      </c>
      <c r="B2094" t="s">
        <v>1206</v>
      </c>
      <c r="C2094" t="s">
        <v>2558</v>
      </c>
      <c r="D2094" t="s">
        <v>1363</v>
      </c>
      <c r="E2094" t="s">
        <v>2558</v>
      </c>
      <c r="F2094" t="s">
        <v>14</v>
      </c>
      <c r="G2094" t="s">
        <v>28</v>
      </c>
      <c r="H2094" t="s">
        <v>22</v>
      </c>
      <c r="I2094" t="s">
        <v>2955</v>
      </c>
      <c r="J2094" t="s">
        <v>1367</v>
      </c>
      <c r="K2094" t="str">
        <f t="shared" si="288"/>
        <v>5009.5</v>
      </c>
      <c r="N2094" t="str">
        <f t="shared" si="289"/>
        <v>HOLDING REGISTER</v>
      </c>
      <c r="O2094" t="str">
        <f t="shared" si="290"/>
        <v>BOOL</v>
      </c>
      <c r="P2094" t="str">
        <f t="shared" si="291"/>
        <v>ESTINTORE SOS 10</v>
      </c>
      <c r="R2094" t="str">
        <f t="shared" si="292"/>
        <v>ESTINTORE PRELEVATO 2</v>
      </c>
      <c r="U2094" t="str">
        <f t="shared" si="293"/>
        <v>Allarme</v>
      </c>
      <c r="V2094" t="str">
        <f t="shared" si="294"/>
        <v>SOS 10</v>
      </c>
      <c r="W2094" t="str">
        <f t="shared" si="295"/>
        <v>GALLERIA CASOLA</v>
      </c>
      <c r="Z2094" t="str">
        <f t="shared" si="296"/>
        <v>10.220.80.16</v>
      </c>
    </row>
    <row r="2095" spans="1:26" x14ac:dyDescent="0.25">
      <c r="A2095" t="s">
        <v>10</v>
      </c>
      <c r="B2095" t="s">
        <v>1206</v>
      </c>
      <c r="C2095" t="s">
        <v>2558</v>
      </c>
      <c r="D2095" t="s">
        <v>1368</v>
      </c>
      <c r="E2095" t="s">
        <v>2558</v>
      </c>
      <c r="F2095" t="s">
        <v>14</v>
      </c>
      <c r="G2095" t="s">
        <v>28</v>
      </c>
      <c r="H2095" t="s">
        <v>22</v>
      </c>
      <c r="I2095" t="s">
        <v>2956</v>
      </c>
      <c r="J2095" t="s">
        <v>1370</v>
      </c>
      <c r="K2095" t="str">
        <f t="shared" si="288"/>
        <v>5009.6</v>
      </c>
      <c r="N2095" t="str">
        <f t="shared" si="289"/>
        <v>HOLDING REGISTER</v>
      </c>
      <c r="O2095" t="str">
        <f t="shared" si="290"/>
        <v>BOOL</v>
      </c>
      <c r="P2095" t="str">
        <f t="shared" si="291"/>
        <v>PORTA SOS 10</v>
      </c>
      <c r="R2095" t="str">
        <f t="shared" si="292"/>
        <v>MANICHETTA PRELEVATA</v>
      </c>
      <c r="U2095" t="str">
        <f t="shared" si="293"/>
        <v>Allarme</v>
      </c>
      <c r="V2095" t="str">
        <f t="shared" si="294"/>
        <v>SOS 10</v>
      </c>
      <c r="W2095" t="str">
        <f t="shared" si="295"/>
        <v>GALLERIA CASOLA</v>
      </c>
      <c r="Z2095" t="str">
        <f t="shared" si="296"/>
        <v>10.220.80.16</v>
      </c>
    </row>
    <row r="2096" spans="1:26" x14ac:dyDescent="0.25">
      <c r="A2096" t="s">
        <v>10</v>
      </c>
      <c r="B2096" t="s">
        <v>1206</v>
      </c>
      <c r="C2096" t="s">
        <v>2558</v>
      </c>
      <c r="D2096" t="s">
        <v>1368</v>
      </c>
      <c r="E2096" t="s">
        <v>2558</v>
      </c>
      <c r="F2096" t="s">
        <v>14</v>
      </c>
      <c r="G2096" t="s">
        <v>28</v>
      </c>
      <c r="H2096" t="s">
        <v>22</v>
      </c>
      <c r="I2096" t="s">
        <v>2957</v>
      </c>
      <c r="J2096" t="s">
        <v>1372</v>
      </c>
      <c r="K2096" t="str">
        <f t="shared" si="288"/>
        <v>5009.7</v>
      </c>
      <c r="N2096" t="str">
        <f t="shared" si="289"/>
        <v>HOLDING REGISTER</v>
      </c>
      <c r="O2096" t="str">
        <f t="shared" si="290"/>
        <v>BOOL</v>
      </c>
      <c r="P2096" t="str">
        <f t="shared" si="291"/>
        <v>PORTA SOS 10</v>
      </c>
      <c r="R2096" t="str">
        <f t="shared" si="292"/>
        <v>PORTA TELEFONO VOIP APERTA</v>
      </c>
      <c r="U2096" t="str">
        <f t="shared" si="293"/>
        <v>Allarme</v>
      </c>
      <c r="V2096" t="str">
        <f t="shared" si="294"/>
        <v>SOS 10</v>
      </c>
      <c r="W2096" t="str">
        <f t="shared" si="295"/>
        <v>GALLERIA CASOLA</v>
      </c>
      <c r="Z2096" t="str">
        <f t="shared" si="296"/>
        <v>10.220.80.16</v>
      </c>
    </row>
    <row r="2097" spans="1:26" x14ac:dyDescent="0.25">
      <c r="A2097" t="s">
        <v>10</v>
      </c>
      <c r="B2097" t="s">
        <v>1206</v>
      </c>
      <c r="C2097" t="s">
        <v>2558</v>
      </c>
      <c r="D2097" t="s">
        <v>1368</v>
      </c>
      <c r="E2097" t="s">
        <v>2558</v>
      </c>
      <c r="F2097" t="s">
        <v>14</v>
      </c>
      <c r="G2097" t="s">
        <v>28</v>
      </c>
      <c r="H2097" t="s">
        <v>22</v>
      </c>
      <c r="I2097" t="s">
        <v>2958</v>
      </c>
      <c r="J2097" t="s">
        <v>1374</v>
      </c>
      <c r="K2097" t="str">
        <f t="shared" si="288"/>
        <v>5009.8</v>
      </c>
      <c r="N2097" t="str">
        <f t="shared" si="289"/>
        <v>HOLDING REGISTER</v>
      </c>
      <c r="O2097" t="str">
        <f t="shared" si="290"/>
        <v>BOOL</v>
      </c>
      <c r="P2097" t="str">
        <f t="shared" si="291"/>
        <v>PORTA SOS 10</v>
      </c>
      <c r="R2097" t="str">
        <f t="shared" si="292"/>
        <v>PORTA VANO TECNICO APERTA</v>
      </c>
      <c r="U2097" t="str">
        <f t="shared" si="293"/>
        <v>Allarme</v>
      </c>
      <c r="V2097" t="str">
        <f t="shared" si="294"/>
        <v>SOS 10</v>
      </c>
      <c r="W2097" t="str">
        <f t="shared" si="295"/>
        <v>GALLERIA CASOLA</v>
      </c>
      <c r="Z2097" t="str">
        <f t="shared" si="296"/>
        <v>10.220.80.16</v>
      </c>
    </row>
    <row r="2098" spans="1:26" x14ac:dyDescent="0.25">
      <c r="A2098" t="s">
        <v>10</v>
      </c>
      <c r="B2098" t="s">
        <v>1206</v>
      </c>
      <c r="C2098" t="s">
        <v>2558</v>
      </c>
      <c r="D2098" t="s">
        <v>1375</v>
      </c>
      <c r="E2098" t="s">
        <v>2558</v>
      </c>
      <c r="F2098" t="s">
        <v>14</v>
      </c>
      <c r="G2098" t="s">
        <v>1375</v>
      </c>
      <c r="H2098" t="s">
        <v>22</v>
      </c>
      <c r="I2098" t="s">
        <v>2959</v>
      </c>
      <c r="J2098" t="s">
        <v>1375</v>
      </c>
      <c r="K2098" t="str">
        <f t="shared" si="288"/>
        <v>5009.9</v>
      </c>
      <c r="N2098" t="str">
        <f t="shared" si="289"/>
        <v>HOLDING REGISTER</v>
      </c>
      <c r="O2098" t="str">
        <f t="shared" si="290"/>
        <v>BOOL</v>
      </c>
      <c r="P2098" t="str">
        <f t="shared" si="291"/>
        <v>disponibile SOS 10</v>
      </c>
      <c r="R2098" t="str">
        <f t="shared" si="292"/>
        <v>disponibile</v>
      </c>
      <c r="U2098" t="str">
        <f t="shared" si="293"/>
        <v>disponibile</v>
      </c>
      <c r="V2098" t="str">
        <f t="shared" si="294"/>
        <v>SOS 10</v>
      </c>
      <c r="W2098" t="str">
        <f t="shared" si="295"/>
        <v>GALLERIA CASOLA</v>
      </c>
      <c r="Z2098" t="str">
        <f t="shared" si="296"/>
        <v>10.220.80.16</v>
      </c>
    </row>
    <row r="2099" spans="1:26" x14ac:dyDescent="0.25">
      <c r="A2099" t="s">
        <v>10</v>
      </c>
      <c r="B2099" t="s">
        <v>1206</v>
      </c>
      <c r="C2099" t="s">
        <v>2558</v>
      </c>
      <c r="D2099" t="s">
        <v>1375</v>
      </c>
      <c r="E2099" t="s">
        <v>2558</v>
      </c>
      <c r="F2099" t="s">
        <v>14</v>
      </c>
      <c r="G2099" t="s">
        <v>1375</v>
      </c>
      <c r="H2099" t="s">
        <v>22</v>
      </c>
      <c r="I2099" t="s">
        <v>2960</v>
      </c>
      <c r="J2099" t="s">
        <v>1375</v>
      </c>
      <c r="K2099" t="str">
        <f t="shared" si="288"/>
        <v>5009.10</v>
      </c>
      <c r="N2099" t="str">
        <f t="shared" si="289"/>
        <v>HOLDING REGISTER</v>
      </c>
      <c r="O2099" t="str">
        <f t="shared" si="290"/>
        <v>BOOL</v>
      </c>
      <c r="P2099" t="str">
        <f t="shared" si="291"/>
        <v>disponibile SOS 10</v>
      </c>
      <c r="R2099" t="str">
        <f t="shared" si="292"/>
        <v>disponibile</v>
      </c>
      <c r="U2099" t="str">
        <f t="shared" si="293"/>
        <v>disponibile</v>
      </c>
      <c r="V2099" t="str">
        <f t="shared" si="294"/>
        <v>SOS 10</v>
      </c>
      <c r="W2099" t="str">
        <f t="shared" si="295"/>
        <v>GALLERIA CASOLA</v>
      </c>
      <c r="Z2099" t="str">
        <f t="shared" si="296"/>
        <v>10.220.80.16</v>
      </c>
    </row>
    <row r="2100" spans="1:26" x14ac:dyDescent="0.25">
      <c r="A2100" t="s">
        <v>10</v>
      </c>
      <c r="B2100" t="s">
        <v>1206</v>
      </c>
      <c r="C2100" t="s">
        <v>2558</v>
      </c>
      <c r="D2100" t="s">
        <v>1375</v>
      </c>
      <c r="E2100" t="s">
        <v>2558</v>
      </c>
      <c r="F2100" t="s">
        <v>14</v>
      </c>
      <c r="G2100" t="s">
        <v>1375</v>
      </c>
      <c r="H2100" t="s">
        <v>22</v>
      </c>
      <c r="I2100" t="s">
        <v>2961</v>
      </c>
      <c r="J2100" t="s">
        <v>1375</v>
      </c>
      <c r="K2100" t="str">
        <f t="shared" si="288"/>
        <v>5009.11</v>
      </c>
      <c r="N2100" t="str">
        <f t="shared" si="289"/>
        <v>HOLDING REGISTER</v>
      </c>
      <c r="O2100" t="str">
        <f t="shared" si="290"/>
        <v>BOOL</v>
      </c>
      <c r="P2100" t="str">
        <f t="shared" si="291"/>
        <v>disponibile SOS 10</v>
      </c>
      <c r="R2100" t="str">
        <f t="shared" si="292"/>
        <v>disponibile</v>
      </c>
      <c r="U2100" t="str">
        <f t="shared" si="293"/>
        <v>disponibile</v>
      </c>
      <c r="V2100" t="str">
        <f t="shared" si="294"/>
        <v>SOS 10</v>
      </c>
      <c r="W2100" t="str">
        <f t="shared" si="295"/>
        <v>GALLERIA CASOLA</v>
      </c>
      <c r="Z2100" t="str">
        <f t="shared" si="296"/>
        <v>10.220.80.16</v>
      </c>
    </row>
    <row r="2101" spans="1:26" x14ac:dyDescent="0.25">
      <c r="A2101" t="s">
        <v>10</v>
      </c>
      <c r="B2101" t="s">
        <v>1206</v>
      </c>
      <c r="C2101" t="s">
        <v>2558</v>
      </c>
      <c r="D2101" t="s">
        <v>1375</v>
      </c>
      <c r="E2101" t="s">
        <v>2558</v>
      </c>
      <c r="F2101" t="s">
        <v>14</v>
      </c>
      <c r="G2101" t="s">
        <v>1375</v>
      </c>
      <c r="H2101" t="s">
        <v>22</v>
      </c>
      <c r="I2101" t="s">
        <v>2962</v>
      </c>
      <c r="J2101" t="s">
        <v>1375</v>
      </c>
      <c r="K2101" t="str">
        <f t="shared" si="288"/>
        <v>5009.12</v>
      </c>
      <c r="N2101" t="str">
        <f t="shared" si="289"/>
        <v>HOLDING REGISTER</v>
      </c>
      <c r="O2101" t="str">
        <f t="shared" si="290"/>
        <v>BOOL</v>
      </c>
      <c r="P2101" t="str">
        <f t="shared" si="291"/>
        <v>disponibile SOS 10</v>
      </c>
      <c r="R2101" t="str">
        <f t="shared" si="292"/>
        <v>disponibile</v>
      </c>
      <c r="U2101" t="str">
        <f t="shared" si="293"/>
        <v>disponibile</v>
      </c>
      <c r="V2101" t="str">
        <f t="shared" si="294"/>
        <v>SOS 10</v>
      </c>
      <c r="W2101" t="str">
        <f t="shared" si="295"/>
        <v>GALLERIA CASOLA</v>
      </c>
      <c r="Z2101" t="str">
        <f t="shared" si="296"/>
        <v>10.220.80.16</v>
      </c>
    </row>
    <row r="2102" spans="1:26" x14ac:dyDescent="0.25">
      <c r="A2102" t="s">
        <v>10</v>
      </c>
      <c r="B2102" t="s">
        <v>1206</v>
      </c>
      <c r="C2102" t="s">
        <v>2558</v>
      </c>
      <c r="D2102" t="s">
        <v>12</v>
      </c>
      <c r="E2102" t="s">
        <v>2558</v>
      </c>
      <c r="F2102" t="s">
        <v>14</v>
      </c>
      <c r="G2102" t="s">
        <v>28</v>
      </c>
      <c r="H2102" t="s">
        <v>22</v>
      </c>
      <c r="I2102" t="s">
        <v>2963</v>
      </c>
      <c r="J2102" t="s">
        <v>1381</v>
      </c>
      <c r="K2102" t="str">
        <f t="shared" si="288"/>
        <v>5009.13</v>
      </c>
      <c r="N2102" t="str">
        <f t="shared" si="289"/>
        <v>HOLDING REGISTER</v>
      </c>
      <c r="O2102" t="str">
        <f t="shared" si="290"/>
        <v>BOOL</v>
      </c>
      <c r="P2102" t="str">
        <f t="shared" si="291"/>
        <v>PLC SOS 10</v>
      </c>
      <c r="R2102" t="str">
        <f t="shared" si="292"/>
        <v>PLC IN STOP</v>
      </c>
      <c r="U2102" t="str">
        <f t="shared" si="293"/>
        <v>Allarme</v>
      </c>
      <c r="V2102" t="str">
        <f t="shared" si="294"/>
        <v>SOS 10</v>
      </c>
      <c r="W2102" t="str">
        <f t="shared" si="295"/>
        <v>GALLERIA CASOLA</v>
      </c>
      <c r="Z2102" t="str">
        <f t="shared" si="296"/>
        <v>10.220.80.16</v>
      </c>
    </row>
    <row r="2103" spans="1:26" x14ac:dyDescent="0.25">
      <c r="A2103" t="s">
        <v>10</v>
      </c>
      <c r="B2103" t="s">
        <v>1206</v>
      </c>
      <c r="C2103" t="s">
        <v>2558</v>
      </c>
      <c r="D2103" t="s">
        <v>12</v>
      </c>
      <c r="E2103" t="s">
        <v>2558</v>
      </c>
      <c r="F2103" t="s">
        <v>14</v>
      </c>
      <c r="G2103" t="s">
        <v>28</v>
      </c>
      <c r="H2103" t="s">
        <v>22</v>
      </c>
      <c r="I2103" t="s">
        <v>2964</v>
      </c>
      <c r="J2103" t="s">
        <v>1383</v>
      </c>
      <c r="K2103" t="str">
        <f t="shared" si="288"/>
        <v>5009.14</v>
      </c>
      <c r="N2103" t="str">
        <f t="shared" si="289"/>
        <v>HOLDING REGISTER</v>
      </c>
      <c r="O2103" t="str">
        <f t="shared" si="290"/>
        <v>BOOL</v>
      </c>
      <c r="P2103" t="str">
        <f t="shared" si="291"/>
        <v>PLC SOS 10</v>
      </c>
      <c r="R2103" t="str">
        <f t="shared" si="292"/>
        <v>FAULT COMUNICAZIONE ETHERNET</v>
      </c>
      <c r="U2103" t="str">
        <f t="shared" si="293"/>
        <v>Allarme</v>
      </c>
      <c r="V2103" t="str">
        <f t="shared" si="294"/>
        <v>SOS 10</v>
      </c>
      <c r="W2103" t="str">
        <f t="shared" si="295"/>
        <v>GALLERIA CASOLA</v>
      </c>
      <c r="Z2103" t="str">
        <f t="shared" si="296"/>
        <v>10.220.80.16</v>
      </c>
    </row>
    <row r="2104" spans="1:26" x14ac:dyDescent="0.25">
      <c r="A2104" t="s">
        <v>10</v>
      </c>
      <c r="B2104" t="s">
        <v>1206</v>
      </c>
      <c r="C2104" t="s">
        <v>2558</v>
      </c>
      <c r="D2104" t="s">
        <v>1384</v>
      </c>
      <c r="E2104" t="s">
        <v>2558</v>
      </c>
      <c r="F2104" t="s">
        <v>14</v>
      </c>
      <c r="G2104" t="s">
        <v>21</v>
      </c>
      <c r="H2104" t="s">
        <v>22</v>
      </c>
      <c r="I2104" t="s">
        <v>2965</v>
      </c>
      <c r="J2104" t="s">
        <v>1386</v>
      </c>
      <c r="K2104" t="str">
        <f t="shared" si="288"/>
        <v>5009.15</v>
      </c>
      <c r="N2104" t="str">
        <f t="shared" si="289"/>
        <v>HOLDING REGISTER</v>
      </c>
      <c r="O2104" t="str">
        <f t="shared" si="290"/>
        <v>BOOL</v>
      </c>
      <c r="P2104" t="str">
        <f t="shared" si="291"/>
        <v xml:space="preserve">  SOS 10</v>
      </c>
      <c r="R2104" t="str">
        <f t="shared" si="292"/>
        <v>FEEDBACK RESET DA RMT</v>
      </c>
      <c r="U2104" t="str">
        <f t="shared" si="293"/>
        <v>Stato</v>
      </c>
      <c r="V2104" t="str">
        <f t="shared" si="294"/>
        <v>SOS 10</v>
      </c>
      <c r="W2104" t="str">
        <f t="shared" si="295"/>
        <v>GALLERIA CASOLA</v>
      </c>
      <c r="Z2104" t="str">
        <f t="shared" si="296"/>
        <v>10.220.80.16</v>
      </c>
    </row>
    <row r="2105" spans="1:26" x14ac:dyDescent="0.25">
      <c r="A2105" t="s">
        <v>10</v>
      </c>
      <c r="B2105" t="s">
        <v>1206</v>
      </c>
      <c r="C2105" t="s">
        <v>1563</v>
      </c>
      <c r="D2105" t="s">
        <v>1354</v>
      </c>
      <c r="E2105" t="s">
        <v>1563</v>
      </c>
      <c r="F2105" t="s">
        <v>14</v>
      </c>
      <c r="G2105" t="s">
        <v>28</v>
      </c>
      <c r="H2105" t="s">
        <v>22</v>
      </c>
      <c r="I2105" t="s">
        <v>2966</v>
      </c>
      <c r="J2105" t="s">
        <v>1356</v>
      </c>
      <c r="K2105" t="str">
        <f t="shared" si="288"/>
        <v>5010.0</v>
      </c>
      <c r="N2105" t="str">
        <f t="shared" si="289"/>
        <v>HOLDING REGISTER</v>
      </c>
      <c r="O2105" t="str">
        <f t="shared" si="290"/>
        <v>BOOL</v>
      </c>
      <c r="P2105" t="str">
        <f t="shared" si="291"/>
        <v>PULSANTE CHIAMATA SOS ACC1</v>
      </c>
      <c r="R2105" t="str">
        <f t="shared" si="292"/>
        <v>CHIAMATA 118 EFFETTUATA</v>
      </c>
      <c r="U2105" t="str">
        <f t="shared" si="293"/>
        <v>Allarme</v>
      </c>
      <c r="V2105" t="str">
        <f t="shared" si="294"/>
        <v>SOS ACC1</v>
      </c>
      <c r="W2105" t="str">
        <f t="shared" si="295"/>
        <v>GALLERIA CASOLA</v>
      </c>
      <c r="Z2105" t="str">
        <f t="shared" si="296"/>
        <v>10.220.80.16</v>
      </c>
    </row>
    <row r="2106" spans="1:26" x14ac:dyDescent="0.25">
      <c r="A2106" t="s">
        <v>10</v>
      </c>
      <c r="B2106" t="s">
        <v>1206</v>
      </c>
      <c r="C2106" t="s">
        <v>1563</v>
      </c>
      <c r="D2106" t="s">
        <v>1354</v>
      </c>
      <c r="E2106" t="s">
        <v>1563</v>
      </c>
      <c r="F2106" t="s">
        <v>14</v>
      </c>
      <c r="G2106" t="s">
        <v>28</v>
      </c>
      <c r="H2106" t="s">
        <v>22</v>
      </c>
      <c r="I2106" t="s">
        <v>2967</v>
      </c>
      <c r="J2106" t="s">
        <v>1358</v>
      </c>
      <c r="K2106" t="str">
        <f t="shared" si="288"/>
        <v>5010.1</v>
      </c>
      <c r="N2106" t="str">
        <f t="shared" si="289"/>
        <v>HOLDING REGISTER</v>
      </c>
      <c r="O2106" t="str">
        <f t="shared" si="290"/>
        <v>BOOL</v>
      </c>
      <c r="P2106" t="str">
        <f t="shared" si="291"/>
        <v>PULSANTE CHIAMATA SOS ACC1</v>
      </c>
      <c r="R2106" t="str">
        <f t="shared" si="292"/>
        <v>CHIAMATA 113 EFFETTUATA</v>
      </c>
      <c r="U2106" t="str">
        <f t="shared" si="293"/>
        <v>Allarme</v>
      </c>
      <c r="V2106" t="str">
        <f t="shared" si="294"/>
        <v>SOS ACC1</v>
      </c>
      <c r="W2106" t="str">
        <f t="shared" si="295"/>
        <v>GALLERIA CASOLA</v>
      </c>
      <c r="Z2106" t="str">
        <f t="shared" si="296"/>
        <v>10.220.80.16</v>
      </c>
    </row>
    <row r="2107" spans="1:26" x14ac:dyDescent="0.25">
      <c r="A2107" t="s">
        <v>10</v>
      </c>
      <c r="B2107" t="s">
        <v>1206</v>
      </c>
      <c r="C2107" t="s">
        <v>1563</v>
      </c>
      <c r="D2107" t="s">
        <v>1354</v>
      </c>
      <c r="E2107" t="s">
        <v>1563</v>
      </c>
      <c r="F2107" t="s">
        <v>14</v>
      </c>
      <c r="G2107" t="s">
        <v>28</v>
      </c>
      <c r="H2107" t="s">
        <v>22</v>
      </c>
      <c r="I2107" t="s">
        <v>2968</v>
      </c>
      <c r="J2107" t="s">
        <v>1360</v>
      </c>
      <c r="K2107" t="str">
        <f t="shared" si="288"/>
        <v>5010.2</v>
      </c>
      <c r="N2107" t="str">
        <f t="shared" si="289"/>
        <v>HOLDING REGISTER</v>
      </c>
      <c r="O2107" t="str">
        <f t="shared" si="290"/>
        <v>BOOL</v>
      </c>
      <c r="P2107" t="str">
        <f t="shared" si="291"/>
        <v>PULSANTE CHIAMATA SOS ACC1</v>
      </c>
      <c r="R2107" t="str">
        <f t="shared" si="292"/>
        <v>CHIAMATA 115 EFFETTUATA</v>
      </c>
      <c r="U2107" t="str">
        <f t="shared" si="293"/>
        <v>Allarme</v>
      </c>
      <c r="V2107" t="str">
        <f t="shared" si="294"/>
        <v>SOS ACC1</v>
      </c>
      <c r="W2107" t="str">
        <f t="shared" si="295"/>
        <v>GALLERIA CASOLA</v>
      </c>
      <c r="Z2107" t="str">
        <f t="shared" si="296"/>
        <v>10.220.80.16</v>
      </c>
    </row>
    <row r="2108" spans="1:26" x14ac:dyDescent="0.25">
      <c r="A2108" t="s">
        <v>10</v>
      </c>
      <c r="B2108" t="s">
        <v>1206</v>
      </c>
      <c r="C2108" t="s">
        <v>1563</v>
      </c>
      <c r="D2108" t="s">
        <v>1354</v>
      </c>
      <c r="E2108" t="s">
        <v>1563</v>
      </c>
      <c r="F2108" t="s">
        <v>14</v>
      </c>
      <c r="G2108" t="s">
        <v>28</v>
      </c>
      <c r="H2108" t="s">
        <v>22</v>
      </c>
      <c r="I2108" t="s">
        <v>2969</v>
      </c>
      <c r="J2108" t="s">
        <v>1362</v>
      </c>
      <c r="K2108" t="str">
        <f t="shared" si="288"/>
        <v>5010.3</v>
      </c>
      <c r="N2108" t="str">
        <f t="shared" si="289"/>
        <v>HOLDING REGISTER</v>
      </c>
      <c r="O2108" t="str">
        <f t="shared" si="290"/>
        <v>BOOL</v>
      </c>
      <c r="P2108" t="str">
        <f t="shared" si="291"/>
        <v>PULSANTE CHIAMATA SOS ACC1</v>
      </c>
      <c r="R2108" t="str">
        <f t="shared" si="292"/>
        <v>CHIAMATA SALA CONTROLLO ANAS EFFETTUATA</v>
      </c>
      <c r="U2108" t="str">
        <f t="shared" si="293"/>
        <v>Allarme</v>
      </c>
      <c r="V2108" t="str">
        <f t="shared" si="294"/>
        <v>SOS ACC1</v>
      </c>
      <c r="W2108" t="str">
        <f t="shared" si="295"/>
        <v>GALLERIA CASOLA</v>
      </c>
      <c r="Z2108" t="str">
        <f t="shared" si="296"/>
        <v>10.220.80.16</v>
      </c>
    </row>
    <row r="2109" spans="1:26" x14ac:dyDescent="0.25">
      <c r="A2109" t="s">
        <v>10</v>
      </c>
      <c r="B2109" t="s">
        <v>1206</v>
      </c>
      <c r="C2109" t="s">
        <v>1563</v>
      </c>
      <c r="D2109" t="s">
        <v>1363</v>
      </c>
      <c r="E2109" t="s">
        <v>1563</v>
      </c>
      <c r="F2109" t="s">
        <v>14</v>
      </c>
      <c r="G2109" t="s">
        <v>28</v>
      </c>
      <c r="H2109" t="s">
        <v>22</v>
      </c>
      <c r="I2109" t="s">
        <v>2970</v>
      </c>
      <c r="J2109" t="s">
        <v>1365</v>
      </c>
      <c r="K2109" t="str">
        <f t="shared" si="288"/>
        <v>5010.4</v>
      </c>
      <c r="N2109" t="str">
        <f t="shared" si="289"/>
        <v>HOLDING REGISTER</v>
      </c>
      <c r="O2109" t="str">
        <f t="shared" si="290"/>
        <v>BOOL</v>
      </c>
      <c r="P2109" t="str">
        <f t="shared" si="291"/>
        <v>ESTINTORE SOS ACC1</v>
      </c>
      <c r="R2109" t="str">
        <f t="shared" si="292"/>
        <v>ESTINTORE PRELEVATO 1</v>
      </c>
      <c r="U2109" t="str">
        <f t="shared" si="293"/>
        <v>Allarme</v>
      </c>
      <c r="V2109" t="str">
        <f t="shared" si="294"/>
        <v>SOS ACC1</v>
      </c>
      <c r="W2109" t="str">
        <f t="shared" si="295"/>
        <v>GALLERIA CASOLA</v>
      </c>
      <c r="Z2109" t="str">
        <f t="shared" si="296"/>
        <v>10.220.80.16</v>
      </c>
    </row>
    <row r="2110" spans="1:26" x14ac:dyDescent="0.25">
      <c r="A2110" t="s">
        <v>10</v>
      </c>
      <c r="B2110" t="s">
        <v>1206</v>
      </c>
      <c r="C2110" t="s">
        <v>1563</v>
      </c>
      <c r="D2110" t="s">
        <v>1363</v>
      </c>
      <c r="E2110" t="s">
        <v>1563</v>
      </c>
      <c r="F2110" t="s">
        <v>14</v>
      </c>
      <c r="G2110" t="s">
        <v>28</v>
      </c>
      <c r="H2110" t="s">
        <v>22</v>
      </c>
      <c r="I2110" t="s">
        <v>2971</v>
      </c>
      <c r="J2110" t="s">
        <v>1367</v>
      </c>
      <c r="K2110" t="str">
        <f t="shared" si="288"/>
        <v>5010.5</v>
      </c>
      <c r="N2110" t="str">
        <f t="shared" si="289"/>
        <v>HOLDING REGISTER</v>
      </c>
      <c r="O2110" t="str">
        <f t="shared" si="290"/>
        <v>BOOL</v>
      </c>
      <c r="P2110" t="str">
        <f t="shared" si="291"/>
        <v>ESTINTORE SOS ACC1</v>
      </c>
      <c r="R2110" t="str">
        <f t="shared" si="292"/>
        <v>ESTINTORE PRELEVATO 2</v>
      </c>
      <c r="U2110" t="str">
        <f t="shared" si="293"/>
        <v>Allarme</v>
      </c>
      <c r="V2110" t="str">
        <f t="shared" si="294"/>
        <v>SOS ACC1</v>
      </c>
      <c r="W2110" t="str">
        <f t="shared" si="295"/>
        <v>GALLERIA CASOLA</v>
      </c>
      <c r="Z2110" t="str">
        <f t="shared" si="296"/>
        <v>10.220.80.16</v>
      </c>
    </row>
    <row r="2111" spans="1:26" x14ac:dyDescent="0.25">
      <c r="A2111" t="s">
        <v>10</v>
      </c>
      <c r="B2111" t="s">
        <v>1206</v>
      </c>
      <c r="C2111" t="s">
        <v>1563</v>
      </c>
      <c r="D2111" t="s">
        <v>1368</v>
      </c>
      <c r="E2111" t="s">
        <v>1563</v>
      </c>
      <c r="F2111" t="s">
        <v>14</v>
      </c>
      <c r="G2111" t="s">
        <v>28</v>
      </c>
      <c r="H2111" t="s">
        <v>22</v>
      </c>
      <c r="I2111" t="s">
        <v>2972</v>
      </c>
      <c r="J2111" t="s">
        <v>1370</v>
      </c>
      <c r="K2111" t="str">
        <f t="shared" si="288"/>
        <v>5010.6</v>
      </c>
      <c r="N2111" t="str">
        <f t="shared" si="289"/>
        <v>HOLDING REGISTER</v>
      </c>
      <c r="O2111" t="str">
        <f t="shared" si="290"/>
        <v>BOOL</v>
      </c>
      <c r="P2111" t="str">
        <f t="shared" si="291"/>
        <v>PORTA SOS ACC1</v>
      </c>
      <c r="R2111" t="str">
        <f t="shared" si="292"/>
        <v>MANICHETTA PRELEVATA</v>
      </c>
      <c r="U2111" t="str">
        <f t="shared" si="293"/>
        <v>Allarme</v>
      </c>
      <c r="V2111" t="str">
        <f t="shared" si="294"/>
        <v>SOS ACC1</v>
      </c>
      <c r="W2111" t="str">
        <f t="shared" si="295"/>
        <v>GALLERIA CASOLA</v>
      </c>
      <c r="Z2111" t="str">
        <f t="shared" si="296"/>
        <v>10.220.80.16</v>
      </c>
    </row>
    <row r="2112" spans="1:26" x14ac:dyDescent="0.25">
      <c r="A2112" t="s">
        <v>10</v>
      </c>
      <c r="B2112" t="s">
        <v>1206</v>
      </c>
      <c r="C2112" t="s">
        <v>1563</v>
      </c>
      <c r="D2112" t="s">
        <v>1368</v>
      </c>
      <c r="E2112" t="s">
        <v>1563</v>
      </c>
      <c r="F2112" t="s">
        <v>14</v>
      </c>
      <c r="G2112" t="s">
        <v>28</v>
      </c>
      <c r="H2112" t="s">
        <v>22</v>
      </c>
      <c r="I2112" t="s">
        <v>2973</v>
      </c>
      <c r="J2112" t="s">
        <v>1372</v>
      </c>
      <c r="K2112" t="str">
        <f t="shared" si="288"/>
        <v>5010.7</v>
      </c>
      <c r="N2112" t="str">
        <f t="shared" si="289"/>
        <v>HOLDING REGISTER</v>
      </c>
      <c r="O2112" t="str">
        <f t="shared" si="290"/>
        <v>BOOL</v>
      </c>
      <c r="P2112" t="str">
        <f t="shared" si="291"/>
        <v>PORTA SOS ACC1</v>
      </c>
      <c r="R2112" t="str">
        <f t="shared" si="292"/>
        <v>PORTA TELEFONO VOIP APERTA</v>
      </c>
      <c r="U2112" t="str">
        <f t="shared" si="293"/>
        <v>Allarme</v>
      </c>
      <c r="V2112" t="str">
        <f t="shared" si="294"/>
        <v>SOS ACC1</v>
      </c>
      <c r="W2112" t="str">
        <f t="shared" si="295"/>
        <v>GALLERIA CASOLA</v>
      </c>
      <c r="Z2112" t="str">
        <f t="shared" si="296"/>
        <v>10.220.80.16</v>
      </c>
    </row>
    <row r="2113" spans="1:26" x14ac:dyDescent="0.25">
      <c r="A2113" t="s">
        <v>10</v>
      </c>
      <c r="B2113" t="s">
        <v>1206</v>
      </c>
      <c r="C2113" t="s">
        <v>1563</v>
      </c>
      <c r="D2113" t="s">
        <v>1368</v>
      </c>
      <c r="E2113" t="s">
        <v>1563</v>
      </c>
      <c r="F2113" t="s">
        <v>14</v>
      </c>
      <c r="G2113" t="s">
        <v>28</v>
      </c>
      <c r="H2113" t="s">
        <v>22</v>
      </c>
      <c r="I2113" t="s">
        <v>2974</v>
      </c>
      <c r="J2113" t="s">
        <v>1374</v>
      </c>
      <c r="K2113" t="str">
        <f t="shared" si="288"/>
        <v>5010.8</v>
      </c>
      <c r="N2113" t="str">
        <f t="shared" si="289"/>
        <v>HOLDING REGISTER</v>
      </c>
      <c r="O2113" t="str">
        <f t="shared" si="290"/>
        <v>BOOL</v>
      </c>
      <c r="P2113" t="str">
        <f t="shared" si="291"/>
        <v>PORTA SOS ACC1</v>
      </c>
      <c r="R2113" t="str">
        <f t="shared" si="292"/>
        <v>PORTA VANO TECNICO APERTA</v>
      </c>
      <c r="U2113" t="str">
        <f t="shared" si="293"/>
        <v>Allarme</v>
      </c>
      <c r="V2113" t="str">
        <f t="shared" si="294"/>
        <v>SOS ACC1</v>
      </c>
      <c r="W2113" t="str">
        <f t="shared" si="295"/>
        <v>GALLERIA CASOLA</v>
      </c>
      <c r="Z2113" t="str">
        <f t="shared" si="296"/>
        <v>10.220.80.16</v>
      </c>
    </row>
    <row r="2114" spans="1:26" x14ac:dyDescent="0.25">
      <c r="A2114" t="s">
        <v>10</v>
      </c>
      <c r="B2114" t="s">
        <v>1206</v>
      </c>
      <c r="C2114" t="s">
        <v>1563</v>
      </c>
      <c r="D2114" t="s">
        <v>1375</v>
      </c>
      <c r="E2114" t="s">
        <v>1563</v>
      </c>
      <c r="F2114" t="s">
        <v>14</v>
      </c>
      <c r="G2114" t="s">
        <v>1375</v>
      </c>
      <c r="H2114" t="s">
        <v>22</v>
      </c>
      <c r="I2114" t="s">
        <v>2975</v>
      </c>
      <c r="J2114" t="s">
        <v>1375</v>
      </c>
      <c r="K2114" t="str">
        <f t="shared" si="288"/>
        <v>5010.9</v>
      </c>
      <c r="N2114" t="str">
        <f t="shared" si="289"/>
        <v>HOLDING REGISTER</v>
      </c>
      <c r="O2114" t="str">
        <f t="shared" si="290"/>
        <v>BOOL</v>
      </c>
      <c r="P2114" t="str">
        <f t="shared" si="291"/>
        <v>disponibile SOS ACC1</v>
      </c>
      <c r="R2114" t="str">
        <f t="shared" si="292"/>
        <v>disponibile</v>
      </c>
      <c r="U2114" t="str">
        <f t="shared" si="293"/>
        <v>disponibile</v>
      </c>
      <c r="V2114" t="str">
        <f t="shared" si="294"/>
        <v>SOS ACC1</v>
      </c>
      <c r="W2114" t="str">
        <f t="shared" si="295"/>
        <v>GALLERIA CASOLA</v>
      </c>
      <c r="Z2114" t="str">
        <f t="shared" si="296"/>
        <v>10.220.80.16</v>
      </c>
    </row>
    <row r="2115" spans="1:26" x14ac:dyDescent="0.25">
      <c r="A2115" t="s">
        <v>10</v>
      </c>
      <c r="B2115" t="s">
        <v>1206</v>
      </c>
      <c r="C2115" t="s">
        <v>1563</v>
      </c>
      <c r="D2115" t="s">
        <v>1375</v>
      </c>
      <c r="E2115" t="s">
        <v>1563</v>
      </c>
      <c r="F2115" t="s">
        <v>14</v>
      </c>
      <c r="G2115" t="s">
        <v>1375</v>
      </c>
      <c r="H2115" t="s">
        <v>22</v>
      </c>
      <c r="I2115" t="s">
        <v>2976</v>
      </c>
      <c r="J2115" t="s">
        <v>1375</v>
      </c>
      <c r="K2115" t="str">
        <f t="shared" ref="K2115:K2178" si="297">IF(I2115="","",I2115)</f>
        <v>5010.10</v>
      </c>
      <c r="N2115" t="str">
        <f t="shared" ref="N2115:N2178" si="298">IF(F2115="","",F2115)</f>
        <v>HOLDING REGISTER</v>
      </c>
      <c r="O2115" t="str">
        <f t="shared" ref="O2115:O2178" si="299">IF(H2115="","",H2115)</f>
        <v>BOOL</v>
      </c>
      <c r="P2115" t="str">
        <f t="shared" ref="P2115:P2178" si="300">_xlfn.CONCAT(D2115," ",E2115)</f>
        <v>disponibile SOS ACC1</v>
      </c>
      <c r="R2115" t="str">
        <f t="shared" ref="R2115:R2178" si="301">IF(J2115="","",J2115)</f>
        <v>disponibile</v>
      </c>
      <c r="U2115" t="str">
        <f t="shared" ref="U2115:U2178" si="302">IF(G2115="","",G2115)</f>
        <v>disponibile</v>
      </c>
      <c r="V2115" t="str">
        <f t="shared" ref="V2115:V2178" si="303">IF(C2115="","",C2115)</f>
        <v>SOS ACC1</v>
      </c>
      <c r="W2115" t="str">
        <f t="shared" ref="W2115:W2178" si="304">IF(B2115="","",B2115)</f>
        <v>GALLERIA CASOLA</v>
      </c>
      <c r="Z2115" t="str">
        <f t="shared" ref="Z2115:Z2178" si="305">IF(A2115="","",A2115)</f>
        <v>10.220.80.16</v>
      </c>
    </row>
    <row r="2116" spans="1:26" x14ac:dyDescent="0.25">
      <c r="A2116" t="s">
        <v>10</v>
      </c>
      <c r="B2116" t="s">
        <v>1206</v>
      </c>
      <c r="C2116" t="s">
        <v>1563</v>
      </c>
      <c r="D2116" t="s">
        <v>1375</v>
      </c>
      <c r="E2116" t="s">
        <v>1563</v>
      </c>
      <c r="F2116" t="s">
        <v>14</v>
      </c>
      <c r="G2116" t="s">
        <v>1375</v>
      </c>
      <c r="H2116" t="s">
        <v>22</v>
      </c>
      <c r="I2116" t="s">
        <v>2977</v>
      </c>
      <c r="J2116" t="s">
        <v>1375</v>
      </c>
      <c r="K2116" t="str">
        <f t="shared" si="297"/>
        <v>5010.11</v>
      </c>
      <c r="N2116" t="str">
        <f t="shared" si="298"/>
        <v>HOLDING REGISTER</v>
      </c>
      <c r="O2116" t="str">
        <f t="shared" si="299"/>
        <v>BOOL</v>
      </c>
      <c r="P2116" t="str">
        <f t="shared" si="300"/>
        <v>disponibile SOS ACC1</v>
      </c>
      <c r="R2116" t="str">
        <f t="shared" si="301"/>
        <v>disponibile</v>
      </c>
      <c r="U2116" t="str">
        <f t="shared" si="302"/>
        <v>disponibile</v>
      </c>
      <c r="V2116" t="str">
        <f t="shared" si="303"/>
        <v>SOS ACC1</v>
      </c>
      <c r="W2116" t="str">
        <f t="shared" si="304"/>
        <v>GALLERIA CASOLA</v>
      </c>
      <c r="Z2116" t="str">
        <f t="shared" si="305"/>
        <v>10.220.80.16</v>
      </c>
    </row>
    <row r="2117" spans="1:26" x14ac:dyDescent="0.25">
      <c r="A2117" t="s">
        <v>10</v>
      </c>
      <c r="B2117" t="s">
        <v>1206</v>
      </c>
      <c r="C2117" t="s">
        <v>1563</v>
      </c>
      <c r="D2117" t="s">
        <v>1375</v>
      </c>
      <c r="E2117" t="s">
        <v>1563</v>
      </c>
      <c r="F2117" t="s">
        <v>14</v>
      </c>
      <c r="G2117" t="s">
        <v>1375</v>
      </c>
      <c r="H2117" t="s">
        <v>22</v>
      </c>
      <c r="I2117" t="s">
        <v>2978</v>
      </c>
      <c r="J2117" t="s">
        <v>1375</v>
      </c>
      <c r="K2117" t="str">
        <f t="shared" si="297"/>
        <v>5010.12</v>
      </c>
      <c r="N2117" t="str">
        <f t="shared" si="298"/>
        <v>HOLDING REGISTER</v>
      </c>
      <c r="O2117" t="str">
        <f t="shared" si="299"/>
        <v>BOOL</v>
      </c>
      <c r="P2117" t="str">
        <f t="shared" si="300"/>
        <v>disponibile SOS ACC1</v>
      </c>
      <c r="R2117" t="str">
        <f t="shared" si="301"/>
        <v>disponibile</v>
      </c>
      <c r="U2117" t="str">
        <f t="shared" si="302"/>
        <v>disponibile</v>
      </c>
      <c r="V2117" t="str">
        <f t="shared" si="303"/>
        <v>SOS ACC1</v>
      </c>
      <c r="W2117" t="str">
        <f t="shared" si="304"/>
        <v>GALLERIA CASOLA</v>
      </c>
      <c r="Z2117" t="str">
        <f t="shared" si="305"/>
        <v>10.220.80.16</v>
      </c>
    </row>
    <row r="2118" spans="1:26" x14ac:dyDescent="0.25">
      <c r="A2118" t="s">
        <v>10</v>
      </c>
      <c r="B2118" t="s">
        <v>1206</v>
      </c>
      <c r="C2118" t="s">
        <v>1563</v>
      </c>
      <c r="D2118" t="s">
        <v>12</v>
      </c>
      <c r="E2118" t="s">
        <v>1563</v>
      </c>
      <c r="F2118" t="s">
        <v>14</v>
      </c>
      <c r="G2118" t="s">
        <v>28</v>
      </c>
      <c r="H2118" t="s">
        <v>22</v>
      </c>
      <c r="I2118" t="s">
        <v>2979</v>
      </c>
      <c r="J2118" t="s">
        <v>1381</v>
      </c>
      <c r="K2118" t="str">
        <f t="shared" si="297"/>
        <v>5010.13</v>
      </c>
      <c r="N2118" t="str">
        <f t="shared" si="298"/>
        <v>HOLDING REGISTER</v>
      </c>
      <c r="O2118" t="str">
        <f t="shared" si="299"/>
        <v>BOOL</v>
      </c>
      <c r="P2118" t="str">
        <f t="shared" si="300"/>
        <v>PLC SOS ACC1</v>
      </c>
      <c r="R2118" t="str">
        <f t="shared" si="301"/>
        <v>PLC IN STOP</v>
      </c>
      <c r="U2118" t="str">
        <f t="shared" si="302"/>
        <v>Allarme</v>
      </c>
      <c r="V2118" t="str">
        <f t="shared" si="303"/>
        <v>SOS ACC1</v>
      </c>
      <c r="W2118" t="str">
        <f t="shared" si="304"/>
        <v>GALLERIA CASOLA</v>
      </c>
      <c r="Z2118" t="str">
        <f t="shared" si="305"/>
        <v>10.220.80.16</v>
      </c>
    </row>
    <row r="2119" spans="1:26" x14ac:dyDescent="0.25">
      <c r="A2119" t="s">
        <v>10</v>
      </c>
      <c r="B2119" t="s">
        <v>1206</v>
      </c>
      <c r="C2119" t="s">
        <v>1563</v>
      </c>
      <c r="D2119" t="s">
        <v>12</v>
      </c>
      <c r="E2119" t="s">
        <v>1563</v>
      </c>
      <c r="F2119" t="s">
        <v>14</v>
      </c>
      <c r="G2119" t="s">
        <v>28</v>
      </c>
      <c r="H2119" t="s">
        <v>22</v>
      </c>
      <c r="I2119" t="s">
        <v>2980</v>
      </c>
      <c r="J2119" t="s">
        <v>1383</v>
      </c>
      <c r="K2119" t="str">
        <f t="shared" si="297"/>
        <v>5010.14</v>
      </c>
      <c r="N2119" t="str">
        <f t="shared" si="298"/>
        <v>HOLDING REGISTER</v>
      </c>
      <c r="O2119" t="str">
        <f t="shared" si="299"/>
        <v>BOOL</v>
      </c>
      <c r="P2119" t="str">
        <f t="shared" si="300"/>
        <v>PLC SOS ACC1</v>
      </c>
      <c r="R2119" t="str">
        <f t="shared" si="301"/>
        <v>FAULT COMUNICAZIONE ETHERNET</v>
      </c>
      <c r="U2119" t="str">
        <f t="shared" si="302"/>
        <v>Allarme</v>
      </c>
      <c r="V2119" t="str">
        <f t="shared" si="303"/>
        <v>SOS ACC1</v>
      </c>
      <c r="W2119" t="str">
        <f t="shared" si="304"/>
        <v>GALLERIA CASOLA</v>
      </c>
      <c r="Z2119" t="str">
        <f t="shared" si="305"/>
        <v>10.220.80.16</v>
      </c>
    </row>
    <row r="2120" spans="1:26" x14ac:dyDescent="0.25">
      <c r="A2120" t="s">
        <v>10</v>
      </c>
      <c r="B2120" t="s">
        <v>1206</v>
      </c>
      <c r="C2120" t="s">
        <v>1563</v>
      </c>
      <c r="D2120" t="s">
        <v>1384</v>
      </c>
      <c r="E2120" t="s">
        <v>1563</v>
      </c>
      <c r="F2120" t="s">
        <v>14</v>
      </c>
      <c r="G2120" t="s">
        <v>21</v>
      </c>
      <c r="H2120" t="s">
        <v>22</v>
      </c>
      <c r="I2120" t="s">
        <v>2981</v>
      </c>
      <c r="J2120" t="s">
        <v>1386</v>
      </c>
      <c r="K2120" t="str">
        <f t="shared" si="297"/>
        <v>5010.15</v>
      </c>
      <c r="N2120" t="str">
        <f t="shared" si="298"/>
        <v>HOLDING REGISTER</v>
      </c>
      <c r="O2120" t="str">
        <f t="shared" si="299"/>
        <v>BOOL</v>
      </c>
      <c r="P2120" t="str">
        <f t="shared" si="300"/>
        <v xml:space="preserve">  SOS ACC1</v>
      </c>
      <c r="R2120" t="str">
        <f t="shared" si="301"/>
        <v>FEEDBACK RESET DA RMT</v>
      </c>
      <c r="U2120" t="str">
        <f t="shared" si="302"/>
        <v>Stato</v>
      </c>
      <c r="V2120" t="str">
        <f t="shared" si="303"/>
        <v>SOS ACC1</v>
      </c>
      <c r="W2120" t="str">
        <f t="shared" si="304"/>
        <v>GALLERIA CASOLA</v>
      </c>
      <c r="Z2120" t="str">
        <f t="shared" si="305"/>
        <v>10.220.80.16</v>
      </c>
    </row>
    <row r="2121" spans="1:26" x14ac:dyDescent="0.25">
      <c r="A2121" t="s">
        <v>10</v>
      </c>
      <c r="B2121" t="s">
        <v>1206</v>
      </c>
      <c r="C2121" t="s">
        <v>1597</v>
      </c>
      <c r="D2121" t="s">
        <v>1354</v>
      </c>
      <c r="E2121" t="s">
        <v>1597</v>
      </c>
      <c r="F2121" t="s">
        <v>14</v>
      </c>
      <c r="G2121" t="s">
        <v>28</v>
      </c>
      <c r="H2121" t="s">
        <v>22</v>
      </c>
      <c r="I2121" t="s">
        <v>2982</v>
      </c>
      <c r="J2121" t="s">
        <v>1356</v>
      </c>
      <c r="K2121" t="str">
        <f t="shared" si="297"/>
        <v>5011.0</v>
      </c>
      <c r="N2121" t="str">
        <f t="shared" si="298"/>
        <v>HOLDING REGISTER</v>
      </c>
      <c r="O2121" t="str">
        <f t="shared" si="299"/>
        <v>BOOL</v>
      </c>
      <c r="P2121" t="str">
        <f t="shared" si="300"/>
        <v>PULSANTE CHIAMATA SOS PIAZZ</v>
      </c>
      <c r="R2121" t="str">
        <f t="shared" si="301"/>
        <v>CHIAMATA 118 EFFETTUATA</v>
      </c>
      <c r="U2121" t="str">
        <f t="shared" si="302"/>
        <v>Allarme</v>
      </c>
      <c r="V2121" t="str">
        <f t="shared" si="303"/>
        <v>SOS PIAZZ</v>
      </c>
      <c r="W2121" t="str">
        <f t="shared" si="304"/>
        <v>GALLERIA CASOLA</v>
      </c>
      <c r="Z2121" t="str">
        <f t="shared" si="305"/>
        <v>10.220.80.16</v>
      </c>
    </row>
    <row r="2122" spans="1:26" x14ac:dyDescent="0.25">
      <c r="A2122" t="s">
        <v>10</v>
      </c>
      <c r="B2122" t="s">
        <v>1206</v>
      </c>
      <c r="C2122" t="s">
        <v>1597</v>
      </c>
      <c r="D2122" t="s">
        <v>1354</v>
      </c>
      <c r="E2122" t="s">
        <v>1597</v>
      </c>
      <c r="F2122" t="s">
        <v>14</v>
      </c>
      <c r="G2122" t="s">
        <v>28</v>
      </c>
      <c r="H2122" t="s">
        <v>22</v>
      </c>
      <c r="I2122" t="s">
        <v>2983</v>
      </c>
      <c r="J2122" t="s">
        <v>1358</v>
      </c>
      <c r="K2122" t="str">
        <f t="shared" si="297"/>
        <v>5011.1</v>
      </c>
      <c r="N2122" t="str">
        <f t="shared" si="298"/>
        <v>HOLDING REGISTER</v>
      </c>
      <c r="O2122" t="str">
        <f t="shared" si="299"/>
        <v>BOOL</v>
      </c>
      <c r="P2122" t="str">
        <f t="shared" si="300"/>
        <v>PULSANTE CHIAMATA SOS PIAZZ</v>
      </c>
      <c r="R2122" t="str">
        <f t="shared" si="301"/>
        <v>CHIAMATA 113 EFFETTUATA</v>
      </c>
      <c r="U2122" t="str">
        <f t="shared" si="302"/>
        <v>Allarme</v>
      </c>
      <c r="V2122" t="str">
        <f t="shared" si="303"/>
        <v>SOS PIAZZ</v>
      </c>
      <c r="W2122" t="str">
        <f t="shared" si="304"/>
        <v>GALLERIA CASOLA</v>
      </c>
      <c r="Z2122" t="str">
        <f t="shared" si="305"/>
        <v>10.220.80.16</v>
      </c>
    </row>
    <row r="2123" spans="1:26" x14ac:dyDescent="0.25">
      <c r="A2123" t="s">
        <v>10</v>
      </c>
      <c r="B2123" t="s">
        <v>1206</v>
      </c>
      <c r="C2123" t="s">
        <v>1597</v>
      </c>
      <c r="D2123" t="s">
        <v>1354</v>
      </c>
      <c r="E2123" t="s">
        <v>1597</v>
      </c>
      <c r="F2123" t="s">
        <v>14</v>
      </c>
      <c r="G2123" t="s">
        <v>28</v>
      </c>
      <c r="H2123" t="s">
        <v>22</v>
      </c>
      <c r="I2123" t="s">
        <v>2984</v>
      </c>
      <c r="J2123" t="s">
        <v>1360</v>
      </c>
      <c r="K2123" t="str">
        <f t="shared" si="297"/>
        <v>5011.2</v>
      </c>
      <c r="N2123" t="str">
        <f t="shared" si="298"/>
        <v>HOLDING REGISTER</v>
      </c>
      <c r="O2123" t="str">
        <f t="shared" si="299"/>
        <v>BOOL</v>
      </c>
      <c r="P2123" t="str">
        <f t="shared" si="300"/>
        <v>PULSANTE CHIAMATA SOS PIAZZ</v>
      </c>
      <c r="R2123" t="str">
        <f t="shared" si="301"/>
        <v>CHIAMATA 115 EFFETTUATA</v>
      </c>
      <c r="U2123" t="str">
        <f t="shared" si="302"/>
        <v>Allarme</v>
      </c>
      <c r="V2123" t="str">
        <f t="shared" si="303"/>
        <v>SOS PIAZZ</v>
      </c>
      <c r="W2123" t="str">
        <f t="shared" si="304"/>
        <v>GALLERIA CASOLA</v>
      </c>
      <c r="Z2123" t="str">
        <f t="shared" si="305"/>
        <v>10.220.80.16</v>
      </c>
    </row>
    <row r="2124" spans="1:26" x14ac:dyDescent="0.25">
      <c r="A2124" t="s">
        <v>10</v>
      </c>
      <c r="B2124" t="s">
        <v>1206</v>
      </c>
      <c r="C2124" t="s">
        <v>1597</v>
      </c>
      <c r="D2124" t="s">
        <v>1354</v>
      </c>
      <c r="E2124" t="s">
        <v>1597</v>
      </c>
      <c r="F2124" t="s">
        <v>14</v>
      </c>
      <c r="G2124" t="s">
        <v>28</v>
      </c>
      <c r="H2124" t="s">
        <v>22</v>
      </c>
      <c r="I2124" t="s">
        <v>2985</v>
      </c>
      <c r="J2124" t="s">
        <v>1362</v>
      </c>
      <c r="K2124" t="str">
        <f t="shared" si="297"/>
        <v>5011.3</v>
      </c>
      <c r="N2124" t="str">
        <f t="shared" si="298"/>
        <v>HOLDING REGISTER</v>
      </c>
      <c r="O2124" t="str">
        <f t="shared" si="299"/>
        <v>BOOL</v>
      </c>
      <c r="P2124" t="str">
        <f t="shared" si="300"/>
        <v>PULSANTE CHIAMATA SOS PIAZZ</v>
      </c>
      <c r="R2124" t="str">
        <f t="shared" si="301"/>
        <v>CHIAMATA SALA CONTROLLO ANAS EFFETTUATA</v>
      </c>
      <c r="U2124" t="str">
        <f t="shared" si="302"/>
        <v>Allarme</v>
      </c>
      <c r="V2124" t="str">
        <f t="shared" si="303"/>
        <v>SOS PIAZZ</v>
      </c>
      <c r="W2124" t="str">
        <f t="shared" si="304"/>
        <v>GALLERIA CASOLA</v>
      </c>
      <c r="Z2124" t="str">
        <f t="shared" si="305"/>
        <v>10.220.80.16</v>
      </c>
    </row>
    <row r="2125" spans="1:26" x14ac:dyDescent="0.25">
      <c r="A2125" t="s">
        <v>10</v>
      </c>
      <c r="B2125" t="s">
        <v>1206</v>
      </c>
      <c r="C2125" t="s">
        <v>1597</v>
      </c>
      <c r="D2125" t="s">
        <v>1363</v>
      </c>
      <c r="E2125" t="s">
        <v>1597</v>
      </c>
      <c r="F2125" t="s">
        <v>14</v>
      </c>
      <c r="G2125" t="s">
        <v>28</v>
      </c>
      <c r="H2125" t="s">
        <v>22</v>
      </c>
      <c r="I2125" t="s">
        <v>2986</v>
      </c>
      <c r="J2125" t="s">
        <v>1365</v>
      </c>
      <c r="K2125" t="str">
        <f t="shared" si="297"/>
        <v>5011.4</v>
      </c>
      <c r="N2125" t="str">
        <f t="shared" si="298"/>
        <v>HOLDING REGISTER</v>
      </c>
      <c r="O2125" t="str">
        <f t="shared" si="299"/>
        <v>BOOL</v>
      </c>
      <c r="P2125" t="str">
        <f t="shared" si="300"/>
        <v>ESTINTORE SOS PIAZZ</v>
      </c>
      <c r="R2125" t="str">
        <f t="shared" si="301"/>
        <v>ESTINTORE PRELEVATO 1</v>
      </c>
      <c r="U2125" t="str">
        <f t="shared" si="302"/>
        <v>Allarme</v>
      </c>
      <c r="V2125" t="str">
        <f t="shared" si="303"/>
        <v>SOS PIAZZ</v>
      </c>
      <c r="W2125" t="str">
        <f t="shared" si="304"/>
        <v>GALLERIA CASOLA</v>
      </c>
      <c r="Z2125" t="str">
        <f t="shared" si="305"/>
        <v>10.220.80.16</v>
      </c>
    </row>
    <row r="2126" spans="1:26" x14ac:dyDescent="0.25">
      <c r="A2126" t="s">
        <v>10</v>
      </c>
      <c r="B2126" t="s">
        <v>1206</v>
      </c>
      <c r="C2126" t="s">
        <v>1597</v>
      </c>
      <c r="D2126" t="s">
        <v>1363</v>
      </c>
      <c r="E2126" t="s">
        <v>1597</v>
      </c>
      <c r="F2126" t="s">
        <v>14</v>
      </c>
      <c r="G2126" t="s">
        <v>28</v>
      </c>
      <c r="H2126" t="s">
        <v>22</v>
      </c>
      <c r="I2126" t="s">
        <v>2987</v>
      </c>
      <c r="J2126" t="s">
        <v>1367</v>
      </c>
      <c r="K2126" t="str">
        <f t="shared" si="297"/>
        <v>5011.5</v>
      </c>
      <c r="N2126" t="str">
        <f t="shared" si="298"/>
        <v>HOLDING REGISTER</v>
      </c>
      <c r="O2126" t="str">
        <f t="shared" si="299"/>
        <v>BOOL</v>
      </c>
      <c r="P2126" t="str">
        <f t="shared" si="300"/>
        <v>ESTINTORE SOS PIAZZ</v>
      </c>
      <c r="R2126" t="str">
        <f t="shared" si="301"/>
        <v>ESTINTORE PRELEVATO 2</v>
      </c>
      <c r="U2126" t="str">
        <f t="shared" si="302"/>
        <v>Allarme</v>
      </c>
      <c r="V2126" t="str">
        <f t="shared" si="303"/>
        <v>SOS PIAZZ</v>
      </c>
      <c r="W2126" t="str">
        <f t="shared" si="304"/>
        <v>GALLERIA CASOLA</v>
      </c>
      <c r="Z2126" t="str">
        <f t="shared" si="305"/>
        <v>10.220.80.16</v>
      </c>
    </row>
    <row r="2127" spans="1:26" x14ac:dyDescent="0.25">
      <c r="A2127" t="s">
        <v>10</v>
      </c>
      <c r="B2127" t="s">
        <v>1206</v>
      </c>
      <c r="C2127" t="s">
        <v>1597</v>
      </c>
      <c r="D2127" t="s">
        <v>1368</v>
      </c>
      <c r="E2127" t="s">
        <v>1597</v>
      </c>
      <c r="F2127" t="s">
        <v>14</v>
      </c>
      <c r="G2127" t="s">
        <v>28</v>
      </c>
      <c r="H2127" t="s">
        <v>22</v>
      </c>
      <c r="I2127" t="s">
        <v>2988</v>
      </c>
      <c r="J2127" t="s">
        <v>1370</v>
      </c>
      <c r="K2127" t="str">
        <f t="shared" si="297"/>
        <v>5011.6</v>
      </c>
      <c r="N2127" t="str">
        <f t="shared" si="298"/>
        <v>HOLDING REGISTER</v>
      </c>
      <c r="O2127" t="str">
        <f t="shared" si="299"/>
        <v>BOOL</v>
      </c>
      <c r="P2127" t="str">
        <f t="shared" si="300"/>
        <v>PORTA SOS PIAZZ</v>
      </c>
      <c r="R2127" t="str">
        <f t="shared" si="301"/>
        <v>MANICHETTA PRELEVATA</v>
      </c>
      <c r="U2127" t="str">
        <f t="shared" si="302"/>
        <v>Allarme</v>
      </c>
      <c r="V2127" t="str">
        <f t="shared" si="303"/>
        <v>SOS PIAZZ</v>
      </c>
      <c r="W2127" t="str">
        <f t="shared" si="304"/>
        <v>GALLERIA CASOLA</v>
      </c>
      <c r="Z2127" t="str">
        <f t="shared" si="305"/>
        <v>10.220.80.16</v>
      </c>
    </row>
    <row r="2128" spans="1:26" x14ac:dyDescent="0.25">
      <c r="A2128" t="s">
        <v>10</v>
      </c>
      <c r="B2128" t="s">
        <v>1206</v>
      </c>
      <c r="C2128" t="s">
        <v>1597</v>
      </c>
      <c r="D2128" t="s">
        <v>1368</v>
      </c>
      <c r="E2128" t="s">
        <v>1597</v>
      </c>
      <c r="F2128" t="s">
        <v>14</v>
      </c>
      <c r="G2128" t="s">
        <v>28</v>
      </c>
      <c r="H2128" t="s">
        <v>22</v>
      </c>
      <c r="I2128" t="s">
        <v>2989</v>
      </c>
      <c r="J2128" t="s">
        <v>1372</v>
      </c>
      <c r="K2128" t="str">
        <f t="shared" si="297"/>
        <v>5011.7</v>
      </c>
      <c r="N2128" t="str">
        <f t="shared" si="298"/>
        <v>HOLDING REGISTER</v>
      </c>
      <c r="O2128" t="str">
        <f t="shared" si="299"/>
        <v>BOOL</v>
      </c>
      <c r="P2128" t="str">
        <f t="shared" si="300"/>
        <v>PORTA SOS PIAZZ</v>
      </c>
      <c r="R2128" t="str">
        <f t="shared" si="301"/>
        <v>PORTA TELEFONO VOIP APERTA</v>
      </c>
      <c r="U2128" t="str">
        <f t="shared" si="302"/>
        <v>Allarme</v>
      </c>
      <c r="V2128" t="str">
        <f t="shared" si="303"/>
        <v>SOS PIAZZ</v>
      </c>
      <c r="W2128" t="str">
        <f t="shared" si="304"/>
        <v>GALLERIA CASOLA</v>
      </c>
      <c r="Z2128" t="str">
        <f t="shared" si="305"/>
        <v>10.220.80.16</v>
      </c>
    </row>
    <row r="2129" spans="1:26" x14ac:dyDescent="0.25">
      <c r="A2129" t="s">
        <v>10</v>
      </c>
      <c r="B2129" t="s">
        <v>1206</v>
      </c>
      <c r="C2129" t="s">
        <v>1597</v>
      </c>
      <c r="D2129" t="s">
        <v>1368</v>
      </c>
      <c r="E2129" t="s">
        <v>1597</v>
      </c>
      <c r="F2129" t="s">
        <v>14</v>
      </c>
      <c r="G2129" t="s">
        <v>28</v>
      </c>
      <c r="H2129" t="s">
        <v>22</v>
      </c>
      <c r="I2129" t="s">
        <v>2990</v>
      </c>
      <c r="J2129" t="s">
        <v>1374</v>
      </c>
      <c r="K2129" t="str">
        <f t="shared" si="297"/>
        <v>5011.8</v>
      </c>
      <c r="N2129" t="str">
        <f t="shared" si="298"/>
        <v>HOLDING REGISTER</v>
      </c>
      <c r="O2129" t="str">
        <f t="shared" si="299"/>
        <v>BOOL</v>
      </c>
      <c r="P2129" t="str">
        <f t="shared" si="300"/>
        <v>PORTA SOS PIAZZ</v>
      </c>
      <c r="R2129" t="str">
        <f t="shared" si="301"/>
        <v>PORTA VANO TECNICO APERTA</v>
      </c>
      <c r="U2129" t="str">
        <f t="shared" si="302"/>
        <v>Allarme</v>
      </c>
      <c r="V2129" t="str">
        <f t="shared" si="303"/>
        <v>SOS PIAZZ</v>
      </c>
      <c r="W2129" t="str">
        <f t="shared" si="304"/>
        <v>GALLERIA CASOLA</v>
      </c>
      <c r="Z2129" t="str">
        <f t="shared" si="305"/>
        <v>10.220.80.16</v>
      </c>
    </row>
    <row r="2130" spans="1:26" x14ac:dyDescent="0.25">
      <c r="A2130" t="s">
        <v>10</v>
      </c>
      <c r="B2130" t="s">
        <v>1206</v>
      </c>
      <c r="C2130" t="s">
        <v>1597</v>
      </c>
      <c r="D2130" t="s">
        <v>1375</v>
      </c>
      <c r="E2130" t="s">
        <v>1597</v>
      </c>
      <c r="F2130" t="s">
        <v>14</v>
      </c>
      <c r="G2130" t="s">
        <v>1375</v>
      </c>
      <c r="H2130" t="s">
        <v>22</v>
      </c>
      <c r="I2130" t="s">
        <v>2991</v>
      </c>
      <c r="J2130" t="s">
        <v>1375</v>
      </c>
      <c r="K2130" t="str">
        <f t="shared" si="297"/>
        <v>5011.9</v>
      </c>
      <c r="N2130" t="str">
        <f t="shared" si="298"/>
        <v>HOLDING REGISTER</v>
      </c>
      <c r="O2130" t="str">
        <f t="shared" si="299"/>
        <v>BOOL</v>
      </c>
      <c r="P2130" t="str">
        <f t="shared" si="300"/>
        <v>disponibile SOS PIAZZ</v>
      </c>
      <c r="R2130" t="str">
        <f t="shared" si="301"/>
        <v>disponibile</v>
      </c>
      <c r="U2130" t="str">
        <f t="shared" si="302"/>
        <v>disponibile</v>
      </c>
      <c r="V2130" t="str">
        <f t="shared" si="303"/>
        <v>SOS PIAZZ</v>
      </c>
      <c r="W2130" t="str">
        <f t="shared" si="304"/>
        <v>GALLERIA CASOLA</v>
      </c>
      <c r="Z2130" t="str">
        <f t="shared" si="305"/>
        <v>10.220.80.16</v>
      </c>
    </row>
    <row r="2131" spans="1:26" x14ac:dyDescent="0.25">
      <c r="A2131" t="s">
        <v>10</v>
      </c>
      <c r="B2131" t="s">
        <v>1206</v>
      </c>
      <c r="C2131" t="s">
        <v>1597</v>
      </c>
      <c r="D2131" t="s">
        <v>1375</v>
      </c>
      <c r="E2131" t="s">
        <v>1597</v>
      </c>
      <c r="F2131" t="s">
        <v>14</v>
      </c>
      <c r="G2131" t="s">
        <v>1375</v>
      </c>
      <c r="H2131" t="s">
        <v>22</v>
      </c>
      <c r="I2131" t="s">
        <v>2992</v>
      </c>
      <c r="J2131" t="s">
        <v>1375</v>
      </c>
      <c r="K2131" t="str">
        <f t="shared" si="297"/>
        <v>5011.10</v>
      </c>
      <c r="N2131" t="str">
        <f t="shared" si="298"/>
        <v>HOLDING REGISTER</v>
      </c>
      <c r="O2131" t="str">
        <f t="shared" si="299"/>
        <v>BOOL</v>
      </c>
      <c r="P2131" t="str">
        <f t="shared" si="300"/>
        <v>disponibile SOS PIAZZ</v>
      </c>
      <c r="R2131" t="str">
        <f t="shared" si="301"/>
        <v>disponibile</v>
      </c>
      <c r="U2131" t="str">
        <f t="shared" si="302"/>
        <v>disponibile</v>
      </c>
      <c r="V2131" t="str">
        <f t="shared" si="303"/>
        <v>SOS PIAZZ</v>
      </c>
      <c r="W2131" t="str">
        <f t="shared" si="304"/>
        <v>GALLERIA CASOLA</v>
      </c>
      <c r="Z2131" t="str">
        <f t="shared" si="305"/>
        <v>10.220.80.16</v>
      </c>
    </row>
    <row r="2132" spans="1:26" x14ac:dyDescent="0.25">
      <c r="A2132" t="s">
        <v>10</v>
      </c>
      <c r="B2132" t="s">
        <v>1206</v>
      </c>
      <c r="C2132" t="s">
        <v>1597</v>
      </c>
      <c r="D2132" t="s">
        <v>1375</v>
      </c>
      <c r="E2132" t="s">
        <v>1597</v>
      </c>
      <c r="F2132" t="s">
        <v>14</v>
      </c>
      <c r="G2132" t="s">
        <v>1375</v>
      </c>
      <c r="H2132" t="s">
        <v>22</v>
      </c>
      <c r="I2132" t="s">
        <v>2993</v>
      </c>
      <c r="J2132" t="s">
        <v>1375</v>
      </c>
      <c r="K2132" t="str">
        <f t="shared" si="297"/>
        <v>5011.11</v>
      </c>
      <c r="N2132" t="str">
        <f t="shared" si="298"/>
        <v>HOLDING REGISTER</v>
      </c>
      <c r="O2132" t="str">
        <f t="shared" si="299"/>
        <v>BOOL</v>
      </c>
      <c r="P2132" t="str">
        <f t="shared" si="300"/>
        <v>disponibile SOS PIAZZ</v>
      </c>
      <c r="R2132" t="str">
        <f t="shared" si="301"/>
        <v>disponibile</v>
      </c>
      <c r="U2132" t="str">
        <f t="shared" si="302"/>
        <v>disponibile</v>
      </c>
      <c r="V2132" t="str">
        <f t="shared" si="303"/>
        <v>SOS PIAZZ</v>
      </c>
      <c r="W2132" t="str">
        <f t="shared" si="304"/>
        <v>GALLERIA CASOLA</v>
      </c>
      <c r="Z2132" t="str">
        <f t="shared" si="305"/>
        <v>10.220.80.16</v>
      </c>
    </row>
    <row r="2133" spans="1:26" x14ac:dyDescent="0.25">
      <c r="A2133" t="s">
        <v>10</v>
      </c>
      <c r="B2133" t="s">
        <v>1206</v>
      </c>
      <c r="C2133" t="s">
        <v>1597</v>
      </c>
      <c r="D2133" t="s">
        <v>1375</v>
      </c>
      <c r="E2133" t="s">
        <v>1597</v>
      </c>
      <c r="F2133" t="s">
        <v>14</v>
      </c>
      <c r="G2133" t="s">
        <v>1375</v>
      </c>
      <c r="H2133" t="s">
        <v>22</v>
      </c>
      <c r="I2133" t="s">
        <v>2994</v>
      </c>
      <c r="J2133" t="s">
        <v>1375</v>
      </c>
      <c r="K2133" t="str">
        <f t="shared" si="297"/>
        <v>5011.12</v>
      </c>
      <c r="N2133" t="str">
        <f t="shared" si="298"/>
        <v>HOLDING REGISTER</v>
      </c>
      <c r="O2133" t="str">
        <f t="shared" si="299"/>
        <v>BOOL</v>
      </c>
      <c r="P2133" t="str">
        <f t="shared" si="300"/>
        <v>disponibile SOS PIAZZ</v>
      </c>
      <c r="R2133" t="str">
        <f t="shared" si="301"/>
        <v>disponibile</v>
      </c>
      <c r="U2133" t="str">
        <f t="shared" si="302"/>
        <v>disponibile</v>
      </c>
      <c r="V2133" t="str">
        <f t="shared" si="303"/>
        <v>SOS PIAZZ</v>
      </c>
      <c r="W2133" t="str">
        <f t="shared" si="304"/>
        <v>GALLERIA CASOLA</v>
      </c>
      <c r="Z2133" t="str">
        <f t="shared" si="305"/>
        <v>10.220.80.16</v>
      </c>
    </row>
    <row r="2134" spans="1:26" x14ac:dyDescent="0.25">
      <c r="A2134" t="s">
        <v>10</v>
      </c>
      <c r="B2134" t="s">
        <v>1206</v>
      </c>
      <c r="C2134" t="s">
        <v>1597</v>
      </c>
      <c r="D2134" t="s">
        <v>12</v>
      </c>
      <c r="E2134" t="s">
        <v>1597</v>
      </c>
      <c r="F2134" t="s">
        <v>14</v>
      </c>
      <c r="G2134" t="s">
        <v>28</v>
      </c>
      <c r="H2134" t="s">
        <v>22</v>
      </c>
      <c r="I2134" t="s">
        <v>2995</v>
      </c>
      <c r="J2134" t="s">
        <v>1381</v>
      </c>
      <c r="K2134" t="str">
        <f t="shared" si="297"/>
        <v>5011.13</v>
      </c>
      <c r="N2134" t="str">
        <f t="shared" si="298"/>
        <v>HOLDING REGISTER</v>
      </c>
      <c r="O2134" t="str">
        <f t="shared" si="299"/>
        <v>BOOL</v>
      </c>
      <c r="P2134" t="str">
        <f t="shared" si="300"/>
        <v>PLC SOS PIAZZ</v>
      </c>
      <c r="R2134" t="str">
        <f t="shared" si="301"/>
        <v>PLC IN STOP</v>
      </c>
      <c r="U2134" t="str">
        <f t="shared" si="302"/>
        <v>Allarme</v>
      </c>
      <c r="V2134" t="str">
        <f t="shared" si="303"/>
        <v>SOS PIAZZ</v>
      </c>
      <c r="W2134" t="str">
        <f t="shared" si="304"/>
        <v>GALLERIA CASOLA</v>
      </c>
      <c r="Z2134" t="str">
        <f t="shared" si="305"/>
        <v>10.220.80.16</v>
      </c>
    </row>
    <row r="2135" spans="1:26" x14ac:dyDescent="0.25">
      <c r="A2135" t="s">
        <v>10</v>
      </c>
      <c r="B2135" t="s">
        <v>1206</v>
      </c>
      <c r="C2135" t="s">
        <v>1597</v>
      </c>
      <c r="D2135" t="s">
        <v>12</v>
      </c>
      <c r="E2135" t="s">
        <v>1597</v>
      </c>
      <c r="F2135" t="s">
        <v>14</v>
      </c>
      <c r="G2135" t="s">
        <v>28</v>
      </c>
      <c r="H2135" t="s">
        <v>22</v>
      </c>
      <c r="I2135" t="s">
        <v>2996</v>
      </c>
      <c r="J2135" t="s">
        <v>1383</v>
      </c>
      <c r="K2135" t="str">
        <f t="shared" si="297"/>
        <v>5011.14</v>
      </c>
      <c r="N2135" t="str">
        <f t="shared" si="298"/>
        <v>HOLDING REGISTER</v>
      </c>
      <c r="O2135" t="str">
        <f t="shared" si="299"/>
        <v>BOOL</v>
      </c>
      <c r="P2135" t="str">
        <f t="shared" si="300"/>
        <v>PLC SOS PIAZZ</v>
      </c>
      <c r="R2135" t="str">
        <f t="shared" si="301"/>
        <v>FAULT COMUNICAZIONE ETHERNET</v>
      </c>
      <c r="U2135" t="str">
        <f t="shared" si="302"/>
        <v>Allarme</v>
      </c>
      <c r="V2135" t="str">
        <f t="shared" si="303"/>
        <v>SOS PIAZZ</v>
      </c>
      <c r="W2135" t="str">
        <f t="shared" si="304"/>
        <v>GALLERIA CASOLA</v>
      </c>
      <c r="Z2135" t="str">
        <f t="shared" si="305"/>
        <v>10.220.80.16</v>
      </c>
    </row>
    <row r="2136" spans="1:26" x14ac:dyDescent="0.25">
      <c r="A2136" t="s">
        <v>10</v>
      </c>
      <c r="B2136" t="s">
        <v>1206</v>
      </c>
      <c r="C2136" t="s">
        <v>1597</v>
      </c>
      <c r="D2136" t="s">
        <v>1384</v>
      </c>
      <c r="E2136" t="s">
        <v>1597</v>
      </c>
      <c r="F2136" t="s">
        <v>14</v>
      </c>
      <c r="G2136" t="s">
        <v>21</v>
      </c>
      <c r="H2136" t="s">
        <v>22</v>
      </c>
      <c r="I2136" t="s">
        <v>2997</v>
      </c>
      <c r="J2136" t="s">
        <v>1386</v>
      </c>
      <c r="K2136" t="str">
        <f t="shared" si="297"/>
        <v>5011.15</v>
      </c>
      <c r="N2136" t="str">
        <f t="shared" si="298"/>
        <v>HOLDING REGISTER</v>
      </c>
      <c r="O2136" t="str">
        <f t="shared" si="299"/>
        <v>BOOL</v>
      </c>
      <c r="P2136" t="str">
        <f t="shared" si="300"/>
        <v xml:space="preserve">  SOS PIAZZ</v>
      </c>
      <c r="R2136" t="str">
        <f t="shared" si="301"/>
        <v>FEEDBACK RESET DA RMT</v>
      </c>
      <c r="U2136" t="str">
        <f t="shared" si="302"/>
        <v>Stato</v>
      </c>
      <c r="V2136" t="str">
        <f t="shared" si="303"/>
        <v>SOS PIAZZ</v>
      </c>
      <c r="W2136" t="str">
        <f t="shared" si="304"/>
        <v>GALLERIA CASOLA</v>
      </c>
      <c r="Z2136" t="str">
        <f t="shared" si="305"/>
        <v>10.220.80.16</v>
      </c>
    </row>
    <row r="2137" spans="1:26" x14ac:dyDescent="0.25">
      <c r="A2137" t="s">
        <v>10</v>
      </c>
      <c r="B2137" t="s">
        <v>1206</v>
      </c>
      <c r="C2137" t="s">
        <v>1333</v>
      </c>
      <c r="D2137" t="s">
        <v>1334</v>
      </c>
      <c r="E2137" t="s">
        <v>1335</v>
      </c>
      <c r="F2137" t="s">
        <v>14</v>
      </c>
      <c r="G2137" t="s">
        <v>28</v>
      </c>
      <c r="H2137" t="s">
        <v>22</v>
      </c>
      <c r="I2137" t="s">
        <v>2998</v>
      </c>
      <c r="J2137" t="s">
        <v>1337</v>
      </c>
      <c r="K2137" t="str">
        <f t="shared" si="297"/>
        <v>5012.0</v>
      </c>
      <c r="N2137" t="str">
        <f t="shared" si="298"/>
        <v>HOLDING REGISTER</v>
      </c>
      <c r="O2137" t="str">
        <f t="shared" si="299"/>
        <v>BOOL</v>
      </c>
      <c r="P2137" t="str">
        <f t="shared" si="300"/>
        <v>PORTE INGRESSO P1</v>
      </c>
      <c r="R2137" t="str">
        <f t="shared" si="301"/>
        <v>PORTA INGRESSO DA GALLERIA ACCESSO 1 APERTA</v>
      </c>
      <c r="U2137" t="str">
        <f t="shared" si="302"/>
        <v>Allarme</v>
      </c>
      <c r="V2137" t="str">
        <f t="shared" si="303"/>
        <v xml:space="preserve"> DA GALLERIA ACCESSO 1</v>
      </c>
      <c r="W2137" t="str">
        <f t="shared" si="304"/>
        <v>GALLERIA CASOLA</v>
      </c>
      <c r="Z2137" t="str">
        <f t="shared" si="305"/>
        <v>10.220.80.16</v>
      </c>
    </row>
    <row r="2138" spans="1:26" x14ac:dyDescent="0.25">
      <c r="A2138" t="s">
        <v>10</v>
      </c>
      <c r="B2138" t="s">
        <v>1206</v>
      </c>
      <c r="C2138" t="s">
        <v>1338</v>
      </c>
      <c r="D2138" t="s">
        <v>1334</v>
      </c>
      <c r="E2138" t="s">
        <v>1339</v>
      </c>
      <c r="F2138" t="s">
        <v>14</v>
      </c>
      <c r="G2138" t="s">
        <v>28</v>
      </c>
      <c r="H2138" t="s">
        <v>22</v>
      </c>
      <c r="I2138" t="s">
        <v>2999</v>
      </c>
      <c r="J2138" t="s">
        <v>1341</v>
      </c>
      <c r="K2138" t="str">
        <f t="shared" si="297"/>
        <v>5012.1</v>
      </c>
      <c r="N2138" t="str">
        <f t="shared" si="298"/>
        <v>HOLDING REGISTER</v>
      </c>
      <c r="O2138" t="str">
        <f t="shared" si="299"/>
        <v>BOOL</v>
      </c>
      <c r="P2138" t="str">
        <f t="shared" si="300"/>
        <v>PORTE INGRESSO P2</v>
      </c>
      <c r="R2138" t="str">
        <f t="shared" si="301"/>
        <v>PORTA INGRESSO VIA FUGA ACCESSO 1 APERTA</v>
      </c>
      <c r="U2138" t="str">
        <f t="shared" si="302"/>
        <v>Allarme</v>
      </c>
      <c r="V2138" t="str">
        <f t="shared" si="303"/>
        <v xml:space="preserve"> VIA FUGA ACCESSO 1</v>
      </c>
      <c r="W2138" t="str">
        <f t="shared" si="304"/>
        <v>GALLERIA CASOLA</v>
      </c>
      <c r="Z2138" t="str">
        <f t="shared" si="305"/>
        <v>10.220.80.16</v>
      </c>
    </row>
    <row r="2139" spans="1:26" x14ac:dyDescent="0.25">
      <c r="A2139" t="s">
        <v>10</v>
      </c>
      <c r="B2139" t="s">
        <v>1206</v>
      </c>
      <c r="C2139" t="s">
        <v>1348</v>
      </c>
      <c r="D2139" t="s">
        <v>1334</v>
      </c>
      <c r="E2139" t="s">
        <v>1335</v>
      </c>
      <c r="F2139" t="s">
        <v>14</v>
      </c>
      <c r="G2139" t="s">
        <v>28</v>
      </c>
      <c r="H2139" t="s">
        <v>22</v>
      </c>
      <c r="I2139" t="s">
        <v>3000</v>
      </c>
      <c r="J2139" t="s">
        <v>1350</v>
      </c>
      <c r="K2139" t="str">
        <f t="shared" si="297"/>
        <v>5012.2</v>
      </c>
      <c r="N2139" t="str">
        <f t="shared" si="298"/>
        <v>HOLDING REGISTER</v>
      </c>
      <c r="O2139" t="str">
        <f t="shared" si="299"/>
        <v>BOOL</v>
      </c>
      <c r="P2139" t="str">
        <f t="shared" si="300"/>
        <v>PORTE INGRESSO P1</v>
      </c>
      <c r="R2139" t="str">
        <f t="shared" si="301"/>
        <v>PORTA INGRESSO DA PIAZZOLA GALLERIA ACCESSO PIAZZOLA APERTA</v>
      </c>
      <c r="U2139" t="str">
        <f t="shared" si="302"/>
        <v>Allarme</v>
      </c>
      <c r="V2139" t="str">
        <f t="shared" si="303"/>
        <v xml:space="preserve"> DA PIAZZOLA GALLERIA ACCESSO PIAZZOLA</v>
      </c>
      <c r="W2139" t="str">
        <f t="shared" si="304"/>
        <v>GALLERIA CASOLA</v>
      </c>
      <c r="Z2139" t="str">
        <f t="shared" si="305"/>
        <v>10.220.80.16</v>
      </c>
    </row>
    <row r="2140" spans="1:26" x14ac:dyDescent="0.25">
      <c r="A2140" t="s">
        <v>10</v>
      </c>
      <c r="B2140" t="s">
        <v>1206</v>
      </c>
      <c r="C2140" t="s">
        <v>1351</v>
      </c>
      <c r="D2140" t="s">
        <v>1334</v>
      </c>
      <c r="E2140" t="s">
        <v>1339</v>
      </c>
      <c r="F2140" t="s">
        <v>14</v>
      </c>
      <c r="G2140" t="s">
        <v>28</v>
      </c>
      <c r="H2140" t="s">
        <v>22</v>
      </c>
      <c r="I2140" t="s">
        <v>3001</v>
      </c>
      <c r="J2140" t="s">
        <v>1353</v>
      </c>
      <c r="K2140" t="str">
        <f t="shared" si="297"/>
        <v>5012.3</v>
      </c>
      <c r="N2140" t="str">
        <f t="shared" si="298"/>
        <v>HOLDING REGISTER</v>
      </c>
      <c r="O2140" t="str">
        <f t="shared" si="299"/>
        <v>BOOL</v>
      </c>
      <c r="P2140" t="str">
        <f t="shared" si="300"/>
        <v>PORTE INGRESSO P2</v>
      </c>
      <c r="R2140" t="str">
        <f t="shared" si="301"/>
        <v>PORTA INGRESSO VIA FUGA ACCESSO PIAZZOLA APERTA</v>
      </c>
      <c r="U2140" t="str">
        <f t="shared" si="302"/>
        <v>Allarme</v>
      </c>
      <c r="V2140" t="str">
        <f t="shared" si="303"/>
        <v xml:space="preserve"> VIA FUGA ACCESSO PIAZZOLA</v>
      </c>
      <c r="W2140" t="str">
        <f t="shared" si="304"/>
        <v>GALLERIA CASOLA</v>
      </c>
      <c r="Z2140" t="str">
        <f t="shared" si="305"/>
        <v>10.220.80.16</v>
      </c>
    </row>
    <row r="2141" spans="1:26" x14ac:dyDescent="0.25">
      <c r="A2141" t="s">
        <v>10</v>
      </c>
      <c r="B2141" t="s">
        <v>1206</v>
      </c>
      <c r="C2141" t="s">
        <v>1618</v>
      </c>
      <c r="D2141" t="s">
        <v>1619</v>
      </c>
      <c r="E2141" t="s">
        <v>1620</v>
      </c>
      <c r="F2141" t="s">
        <v>14</v>
      </c>
      <c r="G2141" t="s">
        <v>21</v>
      </c>
      <c r="H2141" t="s">
        <v>22</v>
      </c>
      <c r="I2141" t="s">
        <v>3002</v>
      </c>
      <c r="J2141" t="s">
        <v>1622</v>
      </c>
      <c r="K2141" t="str">
        <f t="shared" si="297"/>
        <v>5015.0</v>
      </c>
      <c r="N2141" t="str">
        <f t="shared" si="298"/>
        <v>HOLDING REGISTER</v>
      </c>
      <c r="O2141" t="str">
        <f t="shared" si="299"/>
        <v>BOOL</v>
      </c>
      <c r="P2141" t="str">
        <f t="shared" si="300"/>
        <v>TELECAMERA T01S</v>
      </c>
      <c r="R2141" t="str">
        <f t="shared" si="301"/>
        <v>ALLARMI TELECAMERA ESCLUSI</v>
      </c>
      <c r="U2141" t="str">
        <f t="shared" si="302"/>
        <v>Stato</v>
      </c>
      <c r="V2141" t="str">
        <f t="shared" si="303"/>
        <v>DIREZIONE SUD</v>
      </c>
      <c r="W2141" t="str">
        <f t="shared" si="304"/>
        <v>GALLERIA CASOLA</v>
      </c>
      <c r="Z2141" t="str">
        <f t="shared" si="305"/>
        <v>10.220.80.16</v>
      </c>
    </row>
    <row r="2142" spans="1:26" x14ac:dyDescent="0.25">
      <c r="A2142" t="s">
        <v>10</v>
      </c>
      <c r="B2142" t="s">
        <v>1206</v>
      </c>
      <c r="C2142" t="s">
        <v>1618</v>
      </c>
      <c r="D2142" t="s">
        <v>1619</v>
      </c>
      <c r="E2142" t="s">
        <v>1620</v>
      </c>
      <c r="F2142" t="s">
        <v>14</v>
      </c>
      <c r="G2142" t="s">
        <v>21</v>
      </c>
      <c r="H2142" t="s">
        <v>22</v>
      </c>
      <c r="I2142" t="s">
        <v>3003</v>
      </c>
      <c r="J2142" t="s">
        <v>1624</v>
      </c>
      <c r="K2142" t="str">
        <f t="shared" si="297"/>
        <v>5015.1</v>
      </c>
      <c r="N2142" t="str">
        <f t="shared" si="298"/>
        <v>HOLDING REGISTER</v>
      </c>
      <c r="O2142" t="str">
        <f t="shared" si="299"/>
        <v>BOOL</v>
      </c>
      <c r="P2142" t="str">
        <f t="shared" si="300"/>
        <v>TELECAMERA T01S</v>
      </c>
      <c r="R2142" t="str">
        <f t="shared" si="301"/>
        <v>IN MANUTENZIONE ALLARME FUMO</v>
      </c>
      <c r="U2142" t="str">
        <f t="shared" si="302"/>
        <v>Stato</v>
      </c>
      <c r="V2142" t="str">
        <f t="shared" si="303"/>
        <v>DIREZIONE SUD</v>
      </c>
      <c r="W2142" t="str">
        <f t="shared" si="304"/>
        <v>GALLERIA CASOLA</v>
      </c>
      <c r="Z2142" t="str">
        <f t="shared" si="305"/>
        <v>10.220.80.16</v>
      </c>
    </row>
    <row r="2143" spans="1:26" x14ac:dyDescent="0.25">
      <c r="A2143" t="s">
        <v>10</v>
      </c>
      <c r="B2143" t="s">
        <v>1206</v>
      </c>
      <c r="C2143" t="s">
        <v>1618</v>
      </c>
      <c r="D2143" t="s">
        <v>1619</v>
      </c>
      <c r="E2143" t="s">
        <v>1620</v>
      </c>
      <c r="F2143" t="s">
        <v>14</v>
      </c>
      <c r="G2143" t="s">
        <v>21</v>
      </c>
      <c r="H2143" t="s">
        <v>22</v>
      </c>
      <c r="I2143" t="s">
        <v>3004</v>
      </c>
      <c r="J2143" t="s">
        <v>1626</v>
      </c>
      <c r="K2143" t="str">
        <f t="shared" si="297"/>
        <v>5015.2</v>
      </c>
      <c r="N2143" t="str">
        <f t="shared" si="298"/>
        <v>HOLDING REGISTER</v>
      </c>
      <c r="O2143" t="str">
        <f t="shared" si="299"/>
        <v>BOOL</v>
      </c>
      <c r="P2143" t="str">
        <f t="shared" si="300"/>
        <v>TELECAMERA T01S</v>
      </c>
      <c r="R2143" t="str">
        <f t="shared" si="301"/>
        <v>IN MANUTENZIONE ALLARMI TRAFFICO</v>
      </c>
      <c r="U2143" t="str">
        <f t="shared" si="302"/>
        <v>Stato</v>
      </c>
      <c r="V2143" t="str">
        <f t="shared" si="303"/>
        <v>DIREZIONE SUD</v>
      </c>
      <c r="W2143" t="str">
        <f t="shared" si="304"/>
        <v>GALLERIA CASOLA</v>
      </c>
      <c r="Z2143" t="str">
        <f t="shared" si="305"/>
        <v>10.220.80.16</v>
      </c>
    </row>
    <row r="2144" spans="1:26" x14ac:dyDescent="0.25">
      <c r="A2144" t="s">
        <v>10</v>
      </c>
      <c r="B2144" t="s">
        <v>1206</v>
      </c>
      <c r="C2144" t="s">
        <v>1618</v>
      </c>
      <c r="D2144" t="s">
        <v>1619</v>
      </c>
      <c r="E2144" t="s">
        <v>1620</v>
      </c>
      <c r="F2144" t="s">
        <v>14</v>
      </c>
      <c r="G2144" t="s">
        <v>1375</v>
      </c>
      <c r="H2144" t="s">
        <v>22</v>
      </c>
      <c r="I2144" t="s">
        <v>3005</v>
      </c>
      <c r="J2144" t="s">
        <v>1375</v>
      </c>
      <c r="K2144" t="str">
        <f t="shared" si="297"/>
        <v>5015.3</v>
      </c>
      <c r="N2144" t="str">
        <f t="shared" si="298"/>
        <v>HOLDING REGISTER</v>
      </c>
      <c r="O2144" t="str">
        <f t="shared" si="299"/>
        <v>BOOL</v>
      </c>
      <c r="P2144" t="str">
        <f t="shared" si="300"/>
        <v>TELECAMERA T01S</v>
      </c>
      <c r="R2144" t="str">
        <f t="shared" si="301"/>
        <v>disponibile</v>
      </c>
      <c r="U2144" t="str">
        <f t="shared" si="302"/>
        <v>disponibile</v>
      </c>
      <c r="V2144" t="str">
        <f t="shared" si="303"/>
        <v>DIREZIONE SUD</v>
      </c>
      <c r="W2144" t="str">
        <f t="shared" si="304"/>
        <v>GALLERIA CASOLA</v>
      </c>
      <c r="Z2144" t="str">
        <f t="shared" si="305"/>
        <v>10.220.80.16</v>
      </c>
    </row>
    <row r="2145" spans="1:26" x14ac:dyDescent="0.25">
      <c r="A2145" t="s">
        <v>10</v>
      </c>
      <c r="B2145" t="s">
        <v>1206</v>
      </c>
      <c r="C2145" t="s">
        <v>1618</v>
      </c>
      <c r="D2145" t="s">
        <v>1619</v>
      </c>
      <c r="E2145" t="s">
        <v>1620</v>
      </c>
      <c r="F2145" t="s">
        <v>14</v>
      </c>
      <c r="G2145" t="s">
        <v>1375</v>
      </c>
      <c r="H2145" t="s">
        <v>22</v>
      </c>
      <c r="I2145" t="s">
        <v>3006</v>
      </c>
      <c r="J2145" t="s">
        <v>1375</v>
      </c>
      <c r="K2145" t="str">
        <f t="shared" si="297"/>
        <v>5015.4</v>
      </c>
      <c r="N2145" t="str">
        <f t="shared" si="298"/>
        <v>HOLDING REGISTER</v>
      </c>
      <c r="O2145" t="str">
        <f t="shared" si="299"/>
        <v>BOOL</v>
      </c>
      <c r="P2145" t="str">
        <f t="shared" si="300"/>
        <v>TELECAMERA T01S</v>
      </c>
      <c r="R2145" t="str">
        <f t="shared" si="301"/>
        <v>disponibile</v>
      </c>
      <c r="U2145" t="str">
        <f t="shared" si="302"/>
        <v>disponibile</v>
      </c>
      <c r="V2145" t="str">
        <f t="shared" si="303"/>
        <v>DIREZIONE SUD</v>
      </c>
      <c r="W2145" t="str">
        <f t="shared" si="304"/>
        <v>GALLERIA CASOLA</v>
      </c>
      <c r="Z2145" t="str">
        <f t="shared" si="305"/>
        <v>10.220.80.16</v>
      </c>
    </row>
    <row r="2146" spans="1:26" x14ac:dyDescent="0.25">
      <c r="A2146" t="s">
        <v>10</v>
      </c>
      <c r="B2146" t="s">
        <v>1206</v>
      </c>
      <c r="C2146" t="s">
        <v>1618</v>
      </c>
      <c r="D2146" t="s">
        <v>1619</v>
      </c>
      <c r="E2146" t="s">
        <v>1620</v>
      </c>
      <c r="F2146" t="s">
        <v>14</v>
      </c>
      <c r="G2146" t="s">
        <v>1375</v>
      </c>
      <c r="H2146" t="s">
        <v>22</v>
      </c>
      <c r="I2146" t="s">
        <v>3007</v>
      </c>
      <c r="J2146" t="s">
        <v>1375</v>
      </c>
      <c r="K2146" t="str">
        <f t="shared" si="297"/>
        <v>5015.5</v>
      </c>
      <c r="N2146" t="str">
        <f t="shared" si="298"/>
        <v>HOLDING REGISTER</v>
      </c>
      <c r="O2146" t="str">
        <f t="shared" si="299"/>
        <v>BOOL</v>
      </c>
      <c r="P2146" t="str">
        <f t="shared" si="300"/>
        <v>TELECAMERA T01S</v>
      </c>
      <c r="R2146" t="str">
        <f t="shared" si="301"/>
        <v>disponibile</v>
      </c>
      <c r="U2146" t="str">
        <f t="shared" si="302"/>
        <v>disponibile</v>
      </c>
      <c r="V2146" t="str">
        <f t="shared" si="303"/>
        <v>DIREZIONE SUD</v>
      </c>
      <c r="W2146" t="str">
        <f t="shared" si="304"/>
        <v>GALLERIA CASOLA</v>
      </c>
      <c r="Z2146" t="str">
        <f t="shared" si="305"/>
        <v>10.220.80.16</v>
      </c>
    </row>
    <row r="2147" spans="1:26" x14ac:dyDescent="0.25">
      <c r="A2147" t="s">
        <v>10</v>
      </c>
      <c r="B2147" t="s">
        <v>1206</v>
      </c>
      <c r="C2147" t="s">
        <v>1618</v>
      </c>
      <c r="D2147" t="s">
        <v>1619</v>
      </c>
      <c r="E2147" t="s">
        <v>1620</v>
      </c>
      <c r="F2147" t="s">
        <v>14</v>
      </c>
      <c r="G2147" t="s">
        <v>1375</v>
      </c>
      <c r="H2147" t="s">
        <v>22</v>
      </c>
      <c r="I2147" t="s">
        <v>3008</v>
      </c>
      <c r="J2147" t="s">
        <v>1375</v>
      </c>
      <c r="K2147" t="str">
        <f t="shared" si="297"/>
        <v>5015.6</v>
      </c>
      <c r="N2147" t="str">
        <f t="shared" si="298"/>
        <v>HOLDING REGISTER</v>
      </c>
      <c r="O2147" t="str">
        <f t="shared" si="299"/>
        <v>BOOL</v>
      </c>
      <c r="P2147" t="str">
        <f t="shared" si="300"/>
        <v>TELECAMERA T01S</v>
      </c>
      <c r="R2147" t="str">
        <f t="shared" si="301"/>
        <v>disponibile</v>
      </c>
      <c r="U2147" t="str">
        <f t="shared" si="302"/>
        <v>disponibile</v>
      </c>
      <c r="V2147" t="str">
        <f t="shared" si="303"/>
        <v>DIREZIONE SUD</v>
      </c>
      <c r="W2147" t="str">
        <f t="shared" si="304"/>
        <v>GALLERIA CASOLA</v>
      </c>
      <c r="Z2147" t="str">
        <f t="shared" si="305"/>
        <v>10.220.80.16</v>
      </c>
    </row>
    <row r="2148" spans="1:26" x14ac:dyDescent="0.25">
      <c r="A2148" t="s">
        <v>10</v>
      </c>
      <c r="B2148" t="s">
        <v>1206</v>
      </c>
      <c r="C2148" t="s">
        <v>1618</v>
      </c>
      <c r="D2148" t="s">
        <v>1619</v>
      </c>
      <c r="E2148" t="s">
        <v>1620</v>
      </c>
      <c r="F2148" t="s">
        <v>14</v>
      </c>
      <c r="G2148" t="s">
        <v>1375</v>
      </c>
      <c r="H2148" t="s">
        <v>22</v>
      </c>
      <c r="I2148" t="s">
        <v>3009</v>
      </c>
      <c r="J2148" t="s">
        <v>1375</v>
      </c>
      <c r="K2148" t="str">
        <f t="shared" si="297"/>
        <v>5015.7</v>
      </c>
      <c r="N2148" t="str">
        <f t="shared" si="298"/>
        <v>HOLDING REGISTER</v>
      </c>
      <c r="O2148" t="str">
        <f t="shared" si="299"/>
        <v>BOOL</v>
      </c>
      <c r="P2148" t="str">
        <f t="shared" si="300"/>
        <v>TELECAMERA T01S</v>
      </c>
      <c r="R2148" t="str">
        <f t="shared" si="301"/>
        <v>disponibile</v>
      </c>
      <c r="U2148" t="str">
        <f t="shared" si="302"/>
        <v>disponibile</v>
      </c>
      <c r="V2148" t="str">
        <f t="shared" si="303"/>
        <v>DIREZIONE SUD</v>
      </c>
      <c r="W2148" t="str">
        <f t="shared" si="304"/>
        <v>GALLERIA CASOLA</v>
      </c>
      <c r="Z2148" t="str">
        <f t="shared" si="305"/>
        <v>10.220.80.16</v>
      </c>
    </row>
    <row r="2149" spans="1:26" x14ac:dyDescent="0.25">
      <c r="A2149" t="s">
        <v>10</v>
      </c>
      <c r="B2149" t="s">
        <v>1206</v>
      </c>
      <c r="C2149" t="s">
        <v>1618</v>
      </c>
      <c r="D2149" t="s">
        <v>1619</v>
      </c>
      <c r="E2149" t="s">
        <v>1620</v>
      </c>
      <c r="F2149" t="s">
        <v>14</v>
      </c>
      <c r="G2149" t="s">
        <v>1375</v>
      </c>
      <c r="H2149" t="s">
        <v>22</v>
      </c>
      <c r="I2149" t="s">
        <v>3010</v>
      </c>
      <c r="J2149" t="s">
        <v>1375</v>
      </c>
      <c r="K2149" t="str">
        <f t="shared" si="297"/>
        <v>5015.8</v>
      </c>
      <c r="N2149" t="str">
        <f t="shared" si="298"/>
        <v>HOLDING REGISTER</v>
      </c>
      <c r="O2149" t="str">
        <f t="shared" si="299"/>
        <v>BOOL</v>
      </c>
      <c r="P2149" t="str">
        <f t="shared" si="300"/>
        <v>TELECAMERA T01S</v>
      </c>
      <c r="R2149" t="str">
        <f t="shared" si="301"/>
        <v>disponibile</v>
      </c>
      <c r="U2149" t="str">
        <f t="shared" si="302"/>
        <v>disponibile</v>
      </c>
      <c r="V2149" t="str">
        <f t="shared" si="303"/>
        <v>DIREZIONE SUD</v>
      </c>
      <c r="W2149" t="str">
        <f t="shared" si="304"/>
        <v>GALLERIA CASOLA</v>
      </c>
      <c r="Z2149" t="str">
        <f t="shared" si="305"/>
        <v>10.220.80.16</v>
      </c>
    </row>
    <row r="2150" spans="1:26" x14ac:dyDescent="0.25">
      <c r="A2150" t="s">
        <v>10</v>
      </c>
      <c r="B2150" t="s">
        <v>1206</v>
      </c>
      <c r="C2150" t="s">
        <v>1618</v>
      </c>
      <c r="D2150" t="s">
        <v>1619</v>
      </c>
      <c r="E2150" t="s">
        <v>1620</v>
      </c>
      <c r="F2150" t="s">
        <v>14</v>
      </c>
      <c r="G2150" t="s">
        <v>1375</v>
      </c>
      <c r="H2150" t="s">
        <v>22</v>
      </c>
      <c r="I2150" t="s">
        <v>3011</v>
      </c>
      <c r="J2150" t="s">
        <v>1375</v>
      </c>
      <c r="K2150" t="str">
        <f t="shared" si="297"/>
        <v>5015.9</v>
      </c>
      <c r="N2150" t="str">
        <f t="shared" si="298"/>
        <v>HOLDING REGISTER</v>
      </c>
      <c r="O2150" t="str">
        <f t="shared" si="299"/>
        <v>BOOL</v>
      </c>
      <c r="P2150" t="str">
        <f t="shared" si="300"/>
        <v>TELECAMERA T01S</v>
      </c>
      <c r="R2150" t="str">
        <f t="shared" si="301"/>
        <v>disponibile</v>
      </c>
      <c r="U2150" t="str">
        <f t="shared" si="302"/>
        <v>disponibile</v>
      </c>
      <c r="V2150" t="str">
        <f t="shared" si="303"/>
        <v>DIREZIONE SUD</v>
      </c>
      <c r="W2150" t="str">
        <f t="shared" si="304"/>
        <v>GALLERIA CASOLA</v>
      </c>
      <c r="Z2150" t="str">
        <f t="shared" si="305"/>
        <v>10.220.80.16</v>
      </c>
    </row>
    <row r="2151" spans="1:26" x14ac:dyDescent="0.25">
      <c r="A2151" t="s">
        <v>10</v>
      </c>
      <c r="B2151" t="s">
        <v>1206</v>
      </c>
      <c r="C2151" t="s">
        <v>1618</v>
      </c>
      <c r="D2151" t="s">
        <v>1619</v>
      </c>
      <c r="E2151" t="s">
        <v>1620</v>
      </c>
      <c r="F2151" t="s">
        <v>14</v>
      </c>
      <c r="G2151" t="s">
        <v>1375</v>
      </c>
      <c r="H2151" t="s">
        <v>22</v>
      </c>
      <c r="I2151" t="s">
        <v>3012</v>
      </c>
      <c r="J2151" t="s">
        <v>1375</v>
      </c>
      <c r="K2151" t="str">
        <f t="shared" si="297"/>
        <v>5015.10</v>
      </c>
      <c r="N2151" t="str">
        <f t="shared" si="298"/>
        <v>HOLDING REGISTER</v>
      </c>
      <c r="O2151" t="str">
        <f t="shared" si="299"/>
        <v>BOOL</v>
      </c>
      <c r="P2151" t="str">
        <f t="shared" si="300"/>
        <v>TELECAMERA T01S</v>
      </c>
      <c r="R2151" t="str">
        <f t="shared" si="301"/>
        <v>disponibile</v>
      </c>
      <c r="U2151" t="str">
        <f t="shared" si="302"/>
        <v>disponibile</v>
      </c>
      <c r="V2151" t="str">
        <f t="shared" si="303"/>
        <v>DIREZIONE SUD</v>
      </c>
      <c r="W2151" t="str">
        <f t="shared" si="304"/>
        <v>GALLERIA CASOLA</v>
      </c>
      <c r="Z2151" t="str">
        <f t="shared" si="305"/>
        <v>10.220.80.16</v>
      </c>
    </row>
    <row r="2152" spans="1:26" x14ac:dyDescent="0.25">
      <c r="A2152" t="s">
        <v>10</v>
      </c>
      <c r="B2152" t="s">
        <v>1206</v>
      </c>
      <c r="C2152" t="s">
        <v>1618</v>
      </c>
      <c r="D2152" t="s">
        <v>1619</v>
      </c>
      <c r="E2152" t="s">
        <v>1620</v>
      </c>
      <c r="F2152" t="s">
        <v>14</v>
      </c>
      <c r="G2152" t="s">
        <v>1375</v>
      </c>
      <c r="H2152" t="s">
        <v>22</v>
      </c>
      <c r="I2152" t="s">
        <v>3013</v>
      </c>
      <c r="J2152" t="s">
        <v>1375</v>
      </c>
      <c r="K2152" t="str">
        <f t="shared" si="297"/>
        <v>5015.11</v>
      </c>
      <c r="N2152" t="str">
        <f t="shared" si="298"/>
        <v>HOLDING REGISTER</v>
      </c>
      <c r="O2152" t="str">
        <f t="shared" si="299"/>
        <v>BOOL</v>
      </c>
      <c r="P2152" t="str">
        <f t="shared" si="300"/>
        <v>TELECAMERA T01S</v>
      </c>
      <c r="R2152" t="str">
        <f t="shared" si="301"/>
        <v>disponibile</v>
      </c>
      <c r="U2152" t="str">
        <f t="shared" si="302"/>
        <v>disponibile</v>
      </c>
      <c r="V2152" t="str">
        <f t="shared" si="303"/>
        <v>DIREZIONE SUD</v>
      </c>
      <c r="W2152" t="str">
        <f t="shared" si="304"/>
        <v>GALLERIA CASOLA</v>
      </c>
      <c r="Z2152" t="str">
        <f t="shared" si="305"/>
        <v>10.220.80.16</v>
      </c>
    </row>
    <row r="2153" spans="1:26" x14ac:dyDescent="0.25">
      <c r="A2153" t="s">
        <v>10</v>
      </c>
      <c r="B2153" t="s">
        <v>1206</v>
      </c>
      <c r="C2153" t="s">
        <v>1618</v>
      </c>
      <c r="D2153" t="s">
        <v>1619</v>
      </c>
      <c r="E2153" t="s">
        <v>1620</v>
      </c>
      <c r="F2153" t="s">
        <v>14</v>
      </c>
      <c r="G2153" t="s">
        <v>1375</v>
      </c>
      <c r="H2153" t="s">
        <v>22</v>
      </c>
      <c r="I2153" t="s">
        <v>3014</v>
      </c>
      <c r="J2153" t="s">
        <v>1375</v>
      </c>
      <c r="K2153" t="str">
        <f t="shared" si="297"/>
        <v>5015.12</v>
      </c>
      <c r="N2153" t="str">
        <f t="shared" si="298"/>
        <v>HOLDING REGISTER</v>
      </c>
      <c r="O2153" t="str">
        <f t="shared" si="299"/>
        <v>BOOL</v>
      </c>
      <c r="P2153" t="str">
        <f t="shared" si="300"/>
        <v>TELECAMERA T01S</v>
      </c>
      <c r="R2153" t="str">
        <f t="shared" si="301"/>
        <v>disponibile</v>
      </c>
      <c r="U2153" t="str">
        <f t="shared" si="302"/>
        <v>disponibile</v>
      </c>
      <c r="V2153" t="str">
        <f t="shared" si="303"/>
        <v>DIREZIONE SUD</v>
      </c>
      <c r="W2153" t="str">
        <f t="shared" si="304"/>
        <v>GALLERIA CASOLA</v>
      </c>
      <c r="Z2153" t="str">
        <f t="shared" si="305"/>
        <v>10.220.80.16</v>
      </c>
    </row>
    <row r="2154" spans="1:26" x14ac:dyDescent="0.25">
      <c r="A2154" t="s">
        <v>10</v>
      </c>
      <c r="B2154" t="s">
        <v>1206</v>
      </c>
      <c r="C2154" t="s">
        <v>1618</v>
      </c>
      <c r="D2154" t="s">
        <v>1619</v>
      </c>
      <c r="E2154" t="s">
        <v>1620</v>
      </c>
      <c r="F2154" t="s">
        <v>14</v>
      </c>
      <c r="G2154" t="s">
        <v>1375</v>
      </c>
      <c r="H2154" t="s">
        <v>22</v>
      </c>
      <c r="I2154" t="s">
        <v>3015</v>
      </c>
      <c r="J2154" t="s">
        <v>1375</v>
      </c>
      <c r="K2154" t="str">
        <f t="shared" si="297"/>
        <v>5015.13</v>
      </c>
      <c r="N2154" t="str">
        <f t="shared" si="298"/>
        <v>HOLDING REGISTER</v>
      </c>
      <c r="O2154" t="str">
        <f t="shared" si="299"/>
        <v>BOOL</v>
      </c>
      <c r="P2154" t="str">
        <f t="shared" si="300"/>
        <v>TELECAMERA T01S</v>
      </c>
      <c r="R2154" t="str">
        <f t="shared" si="301"/>
        <v>disponibile</v>
      </c>
      <c r="U2154" t="str">
        <f t="shared" si="302"/>
        <v>disponibile</v>
      </c>
      <c r="V2154" t="str">
        <f t="shared" si="303"/>
        <v>DIREZIONE SUD</v>
      </c>
      <c r="W2154" t="str">
        <f t="shared" si="304"/>
        <v>GALLERIA CASOLA</v>
      </c>
      <c r="Z2154" t="str">
        <f t="shared" si="305"/>
        <v>10.220.80.16</v>
      </c>
    </row>
    <row r="2155" spans="1:26" x14ac:dyDescent="0.25">
      <c r="A2155" t="s">
        <v>10</v>
      </c>
      <c r="B2155" t="s">
        <v>1206</v>
      </c>
      <c r="C2155" t="s">
        <v>1618</v>
      </c>
      <c r="D2155" t="s">
        <v>1619</v>
      </c>
      <c r="E2155" t="s">
        <v>1620</v>
      </c>
      <c r="F2155" t="s">
        <v>14</v>
      </c>
      <c r="G2155" t="s">
        <v>1375</v>
      </c>
      <c r="H2155" t="s">
        <v>22</v>
      </c>
      <c r="I2155" t="s">
        <v>3016</v>
      </c>
      <c r="J2155" t="s">
        <v>1375</v>
      </c>
      <c r="K2155" t="str">
        <f t="shared" si="297"/>
        <v>5015.14</v>
      </c>
      <c r="N2155" t="str">
        <f t="shared" si="298"/>
        <v>HOLDING REGISTER</v>
      </c>
      <c r="O2155" t="str">
        <f t="shared" si="299"/>
        <v>BOOL</v>
      </c>
      <c r="P2155" t="str">
        <f t="shared" si="300"/>
        <v>TELECAMERA T01S</v>
      </c>
      <c r="R2155" t="str">
        <f t="shared" si="301"/>
        <v>disponibile</v>
      </c>
      <c r="U2155" t="str">
        <f t="shared" si="302"/>
        <v>disponibile</v>
      </c>
      <c r="V2155" t="str">
        <f t="shared" si="303"/>
        <v>DIREZIONE SUD</v>
      </c>
      <c r="W2155" t="str">
        <f t="shared" si="304"/>
        <v>GALLERIA CASOLA</v>
      </c>
      <c r="Z2155" t="str">
        <f t="shared" si="305"/>
        <v>10.220.80.16</v>
      </c>
    </row>
    <row r="2156" spans="1:26" x14ac:dyDescent="0.25">
      <c r="A2156" t="s">
        <v>10</v>
      </c>
      <c r="B2156" t="s">
        <v>1206</v>
      </c>
      <c r="C2156" t="s">
        <v>1618</v>
      </c>
      <c r="D2156" t="s">
        <v>1619</v>
      </c>
      <c r="E2156" t="s">
        <v>1620</v>
      </c>
      <c r="F2156" t="s">
        <v>14</v>
      </c>
      <c r="G2156" t="s">
        <v>1375</v>
      </c>
      <c r="H2156" t="s">
        <v>22</v>
      </c>
      <c r="I2156" t="s">
        <v>3017</v>
      </c>
      <c r="J2156" t="s">
        <v>1375</v>
      </c>
      <c r="K2156" t="str">
        <f t="shared" si="297"/>
        <v>5015.15</v>
      </c>
      <c r="N2156" t="str">
        <f t="shared" si="298"/>
        <v>HOLDING REGISTER</v>
      </c>
      <c r="O2156" t="str">
        <f t="shared" si="299"/>
        <v>BOOL</v>
      </c>
      <c r="P2156" t="str">
        <f t="shared" si="300"/>
        <v>TELECAMERA T01S</v>
      </c>
      <c r="R2156" t="str">
        <f t="shared" si="301"/>
        <v>disponibile</v>
      </c>
      <c r="U2156" t="str">
        <f t="shared" si="302"/>
        <v>disponibile</v>
      </c>
      <c r="V2156" t="str">
        <f t="shared" si="303"/>
        <v>DIREZIONE SUD</v>
      </c>
      <c r="W2156" t="str">
        <f t="shared" si="304"/>
        <v>GALLERIA CASOLA</v>
      </c>
      <c r="Z2156" t="str">
        <f t="shared" si="305"/>
        <v>10.220.80.16</v>
      </c>
    </row>
    <row r="2157" spans="1:26" x14ac:dyDescent="0.25">
      <c r="A2157" t="s">
        <v>10</v>
      </c>
      <c r="B2157" t="s">
        <v>1206</v>
      </c>
      <c r="C2157" t="s">
        <v>1618</v>
      </c>
      <c r="D2157" t="s">
        <v>1619</v>
      </c>
      <c r="E2157" t="s">
        <v>1640</v>
      </c>
      <c r="F2157" t="s">
        <v>14</v>
      </c>
      <c r="G2157" t="s">
        <v>21</v>
      </c>
      <c r="H2157" t="s">
        <v>22</v>
      </c>
      <c r="I2157" t="s">
        <v>3018</v>
      </c>
      <c r="J2157" t="s">
        <v>1622</v>
      </c>
      <c r="K2157" t="str">
        <f t="shared" si="297"/>
        <v>5016.0</v>
      </c>
      <c r="N2157" t="str">
        <f t="shared" si="298"/>
        <v>HOLDING REGISTER</v>
      </c>
      <c r="O2157" t="str">
        <f t="shared" si="299"/>
        <v>BOOL</v>
      </c>
      <c r="P2157" t="str">
        <f t="shared" si="300"/>
        <v>TELECAMERA T02S</v>
      </c>
      <c r="R2157" t="str">
        <f t="shared" si="301"/>
        <v>ALLARMI TELECAMERA ESCLUSI</v>
      </c>
      <c r="U2157" t="str">
        <f t="shared" si="302"/>
        <v>Stato</v>
      </c>
      <c r="V2157" t="str">
        <f t="shared" si="303"/>
        <v>DIREZIONE SUD</v>
      </c>
      <c r="W2157" t="str">
        <f t="shared" si="304"/>
        <v>GALLERIA CASOLA</v>
      </c>
      <c r="Z2157" t="str">
        <f t="shared" si="305"/>
        <v>10.220.80.16</v>
      </c>
    </row>
    <row r="2158" spans="1:26" x14ac:dyDescent="0.25">
      <c r="A2158" t="s">
        <v>10</v>
      </c>
      <c r="B2158" t="s">
        <v>1206</v>
      </c>
      <c r="C2158" t="s">
        <v>1618</v>
      </c>
      <c r="D2158" t="s">
        <v>1619</v>
      </c>
      <c r="E2158" t="s">
        <v>1640</v>
      </c>
      <c r="F2158" t="s">
        <v>14</v>
      </c>
      <c r="G2158" t="s">
        <v>21</v>
      </c>
      <c r="H2158" t="s">
        <v>22</v>
      </c>
      <c r="I2158" t="s">
        <v>3019</v>
      </c>
      <c r="J2158" t="s">
        <v>1624</v>
      </c>
      <c r="K2158" t="str">
        <f t="shared" si="297"/>
        <v>5016.1</v>
      </c>
      <c r="N2158" t="str">
        <f t="shared" si="298"/>
        <v>HOLDING REGISTER</v>
      </c>
      <c r="O2158" t="str">
        <f t="shared" si="299"/>
        <v>BOOL</v>
      </c>
      <c r="P2158" t="str">
        <f t="shared" si="300"/>
        <v>TELECAMERA T02S</v>
      </c>
      <c r="R2158" t="str">
        <f t="shared" si="301"/>
        <v>IN MANUTENZIONE ALLARME FUMO</v>
      </c>
      <c r="U2158" t="str">
        <f t="shared" si="302"/>
        <v>Stato</v>
      </c>
      <c r="V2158" t="str">
        <f t="shared" si="303"/>
        <v>DIREZIONE SUD</v>
      </c>
      <c r="W2158" t="str">
        <f t="shared" si="304"/>
        <v>GALLERIA CASOLA</v>
      </c>
      <c r="Z2158" t="str">
        <f t="shared" si="305"/>
        <v>10.220.80.16</v>
      </c>
    </row>
    <row r="2159" spans="1:26" x14ac:dyDescent="0.25">
      <c r="A2159" t="s">
        <v>10</v>
      </c>
      <c r="B2159" t="s">
        <v>1206</v>
      </c>
      <c r="C2159" t="s">
        <v>1618</v>
      </c>
      <c r="D2159" t="s">
        <v>1619</v>
      </c>
      <c r="E2159" t="s">
        <v>1640</v>
      </c>
      <c r="F2159" t="s">
        <v>14</v>
      </c>
      <c r="G2159" t="s">
        <v>21</v>
      </c>
      <c r="H2159" t="s">
        <v>22</v>
      </c>
      <c r="I2159" t="s">
        <v>3020</v>
      </c>
      <c r="J2159" t="s">
        <v>1626</v>
      </c>
      <c r="K2159" t="str">
        <f t="shared" si="297"/>
        <v>5016.2</v>
      </c>
      <c r="N2159" t="str">
        <f t="shared" si="298"/>
        <v>HOLDING REGISTER</v>
      </c>
      <c r="O2159" t="str">
        <f t="shared" si="299"/>
        <v>BOOL</v>
      </c>
      <c r="P2159" t="str">
        <f t="shared" si="300"/>
        <v>TELECAMERA T02S</v>
      </c>
      <c r="R2159" t="str">
        <f t="shared" si="301"/>
        <v>IN MANUTENZIONE ALLARMI TRAFFICO</v>
      </c>
      <c r="U2159" t="str">
        <f t="shared" si="302"/>
        <v>Stato</v>
      </c>
      <c r="V2159" t="str">
        <f t="shared" si="303"/>
        <v>DIREZIONE SUD</v>
      </c>
      <c r="W2159" t="str">
        <f t="shared" si="304"/>
        <v>GALLERIA CASOLA</v>
      </c>
      <c r="Z2159" t="str">
        <f t="shared" si="305"/>
        <v>10.220.80.16</v>
      </c>
    </row>
    <row r="2160" spans="1:26" x14ac:dyDescent="0.25">
      <c r="A2160" t="s">
        <v>10</v>
      </c>
      <c r="B2160" t="s">
        <v>1206</v>
      </c>
      <c r="C2160" t="s">
        <v>1618</v>
      </c>
      <c r="D2160" t="s">
        <v>1619</v>
      </c>
      <c r="E2160" t="s">
        <v>1640</v>
      </c>
      <c r="F2160" t="s">
        <v>14</v>
      </c>
      <c r="G2160" t="s">
        <v>1375</v>
      </c>
      <c r="H2160" t="s">
        <v>22</v>
      </c>
      <c r="I2160" t="s">
        <v>3021</v>
      </c>
      <c r="J2160" t="s">
        <v>1375</v>
      </c>
      <c r="K2160" t="str">
        <f t="shared" si="297"/>
        <v>5016.3</v>
      </c>
      <c r="N2160" t="str">
        <f t="shared" si="298"/>
        <v>HOLDING REGISTER</v>
      </c>
      <c r="O2160" t="str">
        <f t="shared" si="299"/>
        <v>BOOL</v>
      </c>
      <c r="P2160" t="str">
        <f t="shared" si="300"/>
        <v>TELECAMERA T02S</v>
      </c>
      <c r="R2160" t="str">
        <f t="shared" si="301"/>
        <v>disponibile</v>
      </c>
      <c r="U2160" t="str">
        <f t="shared" si="302"/>
        <v>disponibile</v>
      </c>
      <c r="V2160" t="str">
        <f t="shared" si="303"/>
        <v>DIREZIONE SUD</v>
      </c>
      <c r="W2160" t="str">
        <f t="shared" si="304"/>
        <v>GALLERIA CASOLA</v>
      </c>
      <c r="Z2160" t="str">
        <f t="shared" si="305"/>
        <v>10.220.80.16</v>
      </c>
    </row>
    <row r="2161" spans="1:26" x14ac:dyDescent="0.25">
      <c r="A2161" t="s">
        <v>10</v>
      </c>
      <c r="B2161" t="s">
        <v>1206</v>
      </c>
      <c r="C2161" t="s">
        <v>1618</v>
      </c>
      <c r="D2161" t="s">
        <v>1619</v>
      </c>
      <c r="E2161" t="s">
        <v>1640</v>
      </c>
      <c r="F2161" t="s">
        <v>14</v>
      </c>
      <c r="G2161" t="s">
        <v>1375</v>
      </c>
      <c r="H2161" t="s">
        <v>22</v>
      </c>
      <c r="I2161" t="s">
        <v>3022</v>
      </c>
      <c r="J2161" t="s">
        <v>1375</v>
      </c>
      <c r="K2161" t="str">
        <f t="shared" si="297"/>
        <v>5016.4</v>
      </c>
      <c r="N2161" t="str">
        <f t="shared" si="298"/>
        <v>HOLDING REGISTER</v>
      </c>
      <c r="O2161" t="str">
        <f t="shared" si="299"/>
        <v>BOOL</v>
      </c>
      <c r="P2161" t="str">
        <f t="shared" si="300"/>
        <v>TELECAMERA T02S</v>
      </c>
      <c r="R2161" t="str">
        <f t="shared" si="301"/>
        <v>disponibile</v>
      </c>
      <c r="U2161" t="str">
        <f t="shared" si="302"/>
        <v>disponibile</v>
      </c>
      <c r="V2161" t="str">
        <f t="shared" si="303"/>
        <v>DIREZIONE SUD</v>
      </c>
      <c r="W2161" t="str">
        <f t="shared" si="304"/>
        <v>GALLERIA CASOLA</v>
      </c>
      <c r="Z2161" t="str">
        <f t="shared" si="305"/>
        <v>10.220.80.16</v>
      </c>
    </row>
    <row r="2162" spans="1:26" x14ac:dyDescent="0.25">
      <c r="A2162" t="s">
        <v>10</v>
      </c>
      <c r="B2162" t="s">
        <v>1206</v>
      </c>
      <c r="C2162" t="s">
        <v>1618</v>
      </c>
      <c r="D2162" t="s">
        <v>1619</v>
      </c>
      <c r="E2162" t="s">
        <v>1640</v>
      </c>
      <c r="F2162" t="s">
        <v>14</v>
      </c>
      <c r="G2162" t="s">
        <v>1375</v>
      </c>
      <c r="H2162" t="s">
        <v>22</v>
      </c>
      <c r="I2162" t="s">
        <v>3023</v>
      </c>
      <c r="J2162" t="s">
        <v>1375</v>
      </c>
      <c r="K2162" t="str">
        <f t="shared" si="297"/>
        <v>5016.5</v>
      </c>
      <c r="N2162" t="str">
        <f t="shared" si="298"/>
        <v>HOLDING REGISTER</v>
      </c>
      <c r="O2162" t="str">
        <f t="shared" si="299"/>
        <v>BOOL</v>
      </c>
      <c r="P2162" t="str">
        <f t="shared" si="300"/>
        <v>TELECAMERA T02S</v>
      </c>
      <c r="R2162" t="str">
        <f t="shared" si="301"/>
        <v>disponibile</v>
      </c>
      <c r="U2162" t="str">
        <f t="shared" si="302"/>
        <v>disponibile</v>
      </c>
      <c r="V2162" t="str">
        <f t="shared" si="303"/>
        <v>DIREZIONE SUD</v>
      </c>
      <c r="W2162" t="str">
        <f t="shared" si="304"/>
        <v>GALLERIA CASOLA</v>
      </c>
      <c r="Z2162" t="str">
        <f t="shared" si="305"/>
        <v>10.220.80.16</v>
      </c>
    </row>
    <row r="2163" spans="1:26" x14ac:dyDescent="0.25">
      <c r="A2163" t="s">
        <v>10</v>
      </c>
      <c r="B2163" t="s">
        <v>1206</v>
      </c>
      <c r="C2163" t="s">
        <v>1618</v>
      </c>
      <c r="D2163" t="s">
        <v>1619</v>
      </c>
      <c r="E2163" t="s">
        <v>1640</v>
      </c>
      <c r="F2163" t="s">
        <v>14</v>
      </c>
      <c r="G2163" t="s">
        <v>1375</v>
      </c>
      <c r="H2163" t="s">
        <v>22</v>
      </c>
      <c r="I2163" t="s">
        <v>3024</v>
      </c>
      <c r="J2163" t="s">
        <v>1375</v>
      </c>
      <c r="K2163" t="str">
        <f t="shared" si="297"/>
        <v>5016.6</v>
      </c>
      <c r="N2163" t="str">
        <f t="shared" si="298"/>
        <v>HOLDING REGISTER</v>
      </c>
      <c r="O2163" t="str">
        <f t="shared" si="299"/>
        <v>BOOL</v>
      </c>
      <c r="P2163" t="str">
        <f t="shared" si="300"/>
        <v>TELECAMERA T02S</v>
      </c>
      <c r="R2163" t="str">
        <f t="shared" si="301"/>
        <v>disponibile</v>
      </c>
      <c r="U2163" t="str">
        <f t="shared" si="302"/>
        <v>disponibile</v>
      </c>
      <c r="V2163" t="str">
        <f t="shared" si="303"/>
        <v>DIREZIONE SUD</v>
      </c>
      <c r="W2163" t="str">
        <f t="shared" si="304"/>
        <v>GALLERIA CASOLA</v>
      </c>
      <c r="Z2163" t="str">
        <f t="shared" si="305"/>
        <v>10.220.80.16</v>
      </c>
    </row>
    <row r="2164" spans="1:26" x14ac:dyDescent="0.25">
      <c r="A2164" t="s">
        <v>10</v>
      </c>
      <c r="B2164" t="s">
        <v>1206</v>
      </c>
      <c r="C2164" t="s">
        <v>1618</v>
      </c>
      <c r="D2164" t="s">
        <v>1619</v>
      </c>
      <c r="E2164" t="s">
        <v>1640</v>
      </c>
      <c r="F2164" t="s">
        <v>14</v>
      </c>
      <c r="G2164" t="s">
        <v>1375</v>
      </c>
      <c r="H2164" t="s">
        <v>22</v>
      </c>
      <c r="I2164" t="s">
        <v>3025</v>
      </c>
      <c r="J2164" t="s">
        <v>1375</v>
      </c>
      <c r="K2164" t="str">
        <f t="shared" si="297"/>
        <v>5016.7</v>
      </c>
      <c r="N2164" t="str">
        <f t="shared" si="298"/>
        <v>HOLDING REGISTER</v>
      </c>
      <c r="O2164" t="str">
        <f t="shared" si="299"/>
        <v>BOOL</v>
      </c>
      <c r="P2164" t="str">
        <f t="shared" si="300"/>
        <v>TELECAMERA T02S</v>
      </c>
      <c r="R2164" t="str">
        <f t="shared" si="301"/>
        <v>disponibile</v>
      </c>
      <c r="U2164" t="str">
        <f t="shared" si="302"/>
        <v>disponibile</v>
      </c>
      <c r="V2164" t="str">
        <f t="shared" si="303"/>
        <v>DIREZIONE SUD</v>
      </c>
      <c r="W2164" t="str">
        <f t="shared" si="304"/>
        <v>GALLERIA CASOLA</v>
      </c>
      <c r="Z2164" t="str">
        <f t="shared" si="305"/>
        <v>10.220.80.16</v>
      </c>
    </row>
    <row r="2165" spans="1:26" x14ac:dyDescent="0.25">
      <c r="A2165" t="s">
        <v>10</v>
      </c>
      <c r="B2165" t="s">
        <v>1206</v>
      </c>
      <c r="C2165" t="s">
        <v>1618</v>
      </c>
      <c r="D2165" t="s">
        <v>1619</v>
      </c>
      <c r="E2165" t="s">
        <v>1640</v>
      </c>
      <c r="F2165" t="s">
        <v>14</v>
      </c>
      <c r="G2165" t="s">
        <v>1375</v>
      </c>
      <c r="H2165" t="s">
        <v>22</v>
      </c>
      <c r="I2165" t="s">
        <v>3026</v>
      </c>
      <c r="J2165" t="s">
        <v>1375</v>
      </c>
      <c r="K2165" t="str">
        <f t="shared" si="297"/>
        <v>5016.8</v>
      </c>
      <c r="N2165" t="str">
        <f t="shared" si="298"/>
        <v>HOLDING REGISTER</v>
      </c>
      <c r="O2165" t="str">
        <f t="shared" si="299"/>
        <v>BOOL</v>
      </c>
      <c r="P2165" t="str">
        <f t="shared" si="300"/>
        <v>TELECAMERA T02S</v>
      </c>
      <c r="R2165" t="str">
        <f t="shared" si="301"/>
        <v>disponibile</v>
      </c>
      <c r="U2165" t="str">
        <f t="shared" si="302"/>
        <v>disponibile</v>
      </c>
      <c r="V2165" t="str">
        <f t="shared" si="303"/>
        <v>DIREZIONE SUD</v>
      </c>
      <c r="W2165" t="str">
        <f t="shared" si="304"/>
        <v>GALLERIA CASOLA</v>
      </c>
      <c r="Z2165" t="str">
        <f t="shared" si="305"/>
        <v>10.220.80.16</v>
      </c>
    </row>
    <row r="2166" spans="1:26" x14ac:dyDescent="0.25">
      <c r="A2166" t="s">
        <v>10</v>
      </c>
      <c r="B2166" t="s">
        <v>1206</v>
      </c>
      <c r="C2166" t="s">
        <v>1618</v>
      </c>
      <c r="D2166" t="s">
        <v>1619</v>
      </c>
      <c r="E2166" t="s">
        <v>1640</v>
      </c>
      <c r="F2166" t="s">
        <v>14</v>
      </c>
      <c r="G2166" t="s">
        <v>1375</v>
      </c>
      <c r="H2166" t="s">
        <v>22</v>
      </c>
      <c r="I2166" t="s">
        <v>3027</v>
      </c>
      <c r="J2166" t="s">
        <v>1375</v>
      </c>
      <c r="K2166" t="str">
        <f t="shared" si="297"/>
        <v>5016.9</v>
      </c>
      <c r="N2166" t="str">
        <f t="shared" si="298"/>
        <v>HOLDING REGISTER</v>
      </c>
      <c r="O2166" t="str">
        <f t="shared" si="299"/>
        <v>BOOL</v>
      </c>
      <c r="P2166" t="str">
        <f t="shared" si="300"/>
        <v>TELECAMERA T02S</v>
      </c>
      <c r="R2166" t="str">
        <f t="shared" si="301"/>
        <v>disponibile</v>
      </c>
      <c r="U2166" t="str">
        <f t="shared" si="302"/>
        <v>disponibile</v>
      </c>
      <c r="V2166" t="str">
        <f t="shared" si="303"/>
        <v>DIREZIONE SUD</v>
      </c>
      <c r="W2166" t="str">
        <f t="shared" si="304"/>
        <v>GALLERIA CASOLA</v>
      </c>
      <c r="Z2166" t="str">
        <f t="shared" si="305"/>
        <v>10.220.80.16</v>
      </c>
    </row>
    <row r="2167" spans="1:26" x14ac:dyDescent="0.25">
      <c r="A2167" t="s">
        <v>10</v>
      </c>
      <c r="B2167" t="s">
        <v>1206</v>
      </c>
      <c r="C2167" t="s">
        <v>1618</v>
      </c>
      <c r="D2167" t="s">
        <v>1619</v>
      </c>
      <c r="E2167" t="s">
        <v>1640</v>
      </c>
      <c r="F2167" t="s">
        <v>14</v>
      </c>
      <c r="G2167" t="s">
        <v>1375</v>
      </c>
      <c r="H2167" t="s">
        <v>22</v>
      </c>
      <c r="I2167" t="s">
        <v>3028</v>
      </c>
      <c r="J2167" t="s">
        <v>1375</v>
      </c>
      <c r="K2167" t="str">
        <f t="shared" si="297"/>
        <v>5016.10</v>
      </c>
      <c r="N2167" t="str">
        <f t="shared" si="298"/>
        <v>HOLDING REGISTER</v>
      </c>
      <c r="O2167" t="str">
        <f t="shared" si="299"/>
        <v>BOOL</v>
      </c>
      <c r="P2167" t="str">
        <f t="shared" si="300"/>
        <v>TELECAMERA T02S</v>
      </c>
      <c r="R2167" t="str">
        <f t="shared" si="301"/>
        <v>disponibile</v>
      </c>
      <c r="U2167" t="str">
        <f t="shared" si="302"/>
        <v>disponibile</v>
      </c>
      <c r="V2167" t="str">
        <f t="shared" si="303"/>
        <v>DIREZIONE SUD</v>
      </c>
      <c r="W2167" t="str">
        <f t="shared" si="304"/>
        <v>GALLERIA CASOLA</v>
      </c>
      <c r="Z2167" t="str">
        <f t="shared" si="305"/>
        <v>10.220.80.16</v>
      </c>
    </row>
    <row r="2168" spans="1:26" x14ac:dyDescent="0.25">
      <c r="A2168" t="s">
        <v>10</v>
      </c>
      <c r="B2168" t="s">
        <v>1206</v>
      </c>
      <c r="C2168" t="s">
        <v>1618</v>
      </c>
      <c r="D2168" t="s">
        <v>1619</v>
      </c>
      <c r="E2168" t="s">
        <v>1640</v>
      </c>
      <c r="F2168" t="s">
        <v>14</v>
      </c>
      <c r="G2168" t="s">
        <v>1375</v>
      </c>
      <c r="H2168" t="s">
        <v>22</v>
      </c>
      <c r="I2168" t="s">
        <v>3029</v>
      </c>
      <c r="J2168" t="s">
        <v>1375</v>
      </c>
      <c r="K2168" t="str">
        <f t="shared" si="297"/>
        <v>5016.11</v>
      </c>
      <c r="N2168" t="str">
        <f t="shared" si="298"/>
        <v>HOLDING REGISTER</v>
      </c>
      <c r="O2168" t="str">
        <f t="shared" si="299"/>
        <v>BOOL</v>
      </c>
      <c r="P2168" t="str">
        <f t="shared" si="300"/>
        <v>TELECAMERA T02S</v>
      </c>
      <c r="R2168" t="str">
        <f t="shared" si="301"/>
        <v>disponibile</v>
      </c>
      <c r="U2168" t="str">
        <f t="shared" si="302"/>
        <v>disponibile</v>
      </c>
      <c r="V2168" t="str">
        <f t="shared" si="303"/>
        <v>DIREZIONE SUD</v>
      </c>
      <c r="W2168" t="str">
        <f t="shared" si="304"/>
        <v>GALLERIA CASOLA</v>
      </c>
      <c r="Z2168" t="str">
        <f t="shared" si="305"/>
        <v>10.220.80.16</v>
      </c>
    </row>
    <row r="2169" spans="1:26" x14ac:dyDescent="0.25">
      <c r="A2169" t="s">
        <v>10</v>
      </c>
      <c r="B2169" t="s">
        <v>1206</v>
      </c>
      <c r="C2169" t="s">
        <v>1618</v>
      </c>
      <c r="D2169" t="s">
        <v>1619</v>
      </c>
      <c r="E2169" t="s">
        <v>1640</v>
      </c>
      <c r="F2169" t="s">
        <v>14</v>
      </c>
      <c r="G2169" t="s">
        <v>1375</v>
      </c>
      <c r="H2169" t="s">
        <v>22</v>
      </c>
      <c r="I2169" t="s">
        <v>3030</v>
      </c>
      <c r="J2169" t="s">
        <v>1375</v>
      </c>
      <c r="K2169" t="str">
        <f t="shared" si="297"/>
        <v>5016.12</v>
      </c>
      <c r="N2169" t="str">
        <f t="shared" si="298"/>
        <v>HOLDING REGISTER</v>
      </c>
      <c r="O2169" t="str">
        <f t="shared" si="299"/>
        <v>BOOL</v>
      </c>
      <c r="P2169" t="str">
        <f t="shared" si="300"/>
        <v>TELECAMERA T02S</v>
      </c>
      <c r="R2169" t="str">
        <f t="shared" si="301"/>
        <v>disponibile</v>
      </c>
      <c r="U2169" t="str">
        <f t="shared" si="302"/>
        <v>disponibile</v>
      </c>
      <c r="V2169" t="str">
        <f t="shared" si="303"/>
        <v>DIREZIONE SUD</v>
      </c>
      <c r="W2169" t="str">
        <f t="shared" si="304"/>
        <v>GALLERIA CASOLA</v>
      </c>
      <c r="Z2169" t="str">
        <f t="shared" si="305"/>
        <v>10.220.80.16</v>
      </c>
    </row>
    <row r="2170" spans="1:26" x14ac:dyDescent="0.25">
      <c r="A2170" t="s">
        <v>10</v>
      </c>
      <c r="B2170" t="s">
        <v>1206</v>
      </c>
      <c r="C2170" t="s">
        <v>1618</v>
      </c>
      <c r="D2170" t="s">
        <v>1619</v>
      </c>
      <c r="E2170" t="s">
        <v>1640</v>
      </c>
      <c r="F2170" t="s">
        <v>14</v>
      </c>
      <c r="G2170" t="s">
        <v>1375</v>
      </c>
      <c r="H2170" t="s">
        <v>22</v>
      </c>
      <c r="I2170" t="s">
        <v>3031</v>
      </c>
      <c r="J2170" t="s">
        <v>1375</v>
      </c>
      <c r="K2170" t="str">
        <f t="shared" si="297"/>
        <v>5016.13</v>
      </c>
      <c r="N2170" t="str">
        <f t="shared" si="298"/>
        <v>HOLDING REGISTER</v>
      </c>
      <c r="O2170" t="str">
        <f t="shared" si="299"/>
        <v>BOOL</v>
      </c>
      <c r="P2170" t="str">
        <f t="shared" si="300"/>
        <v>TELECAMERA T02S</v>
      </c>
      <c r="R2170" t="str">
        <f t="shared" si="301"/>
        <v>disponibile</v>
      </c>
      <c r="U2170" t="str">
        <f t="shared" si="302"/>
        <v>disponibile</v>
      </c>
      <c r="V2170" t="str">
        <f t="shared" si="303"/>
        <v>DIREZIONE SUD</v>
      </c>
      <c r="W2170" t="str">
        <f t="shared" si="304"/>
        <v>GALLERIA CASOLA</v>
      </c>
      <c r="Z2170" t="str">
        <f t="shared" si="305"/>
        <v>10.220.80.16</v>
      </c>
    </row>
    <row r="2171" spans="1:26" x14ac:dyDescent="0.25">
      <c r="A2171" t="s">
        <v>10</v>
      </c>
      <c r="B2171" t="s">
        <v>1206</v>
      </c>
      <c r="C2171" t="s">
        <v>1618</v>
      </c>
      <c r="D2171" t="s">
        <v>1619</v>
      </c>
      <c r="E2171" t="s">
        <v>1640</v>
      </c>
      <c r="F2171" t="s">
        <v>14</v>
      </c>
      <c r="G2171" t="s">
        <v>1375</v>
      </c>
      <c r="H2171" t="s">
        <v>22</v>
      </c>
      <c r="I2171" t="s">
        <v>3032</v>
      </c>
      <c r="J2171" t="s">
        <v>1375</v>
      </c>
      <c r="K2171" t="str">
        <f t="shared" si="297"/>
        <v>5016.14</v>
      </c>
      <c r="N2171" t="str">
        <f t="shared" si="298"/>
        <v>HOLDING REGISTER</v>
      </c>
      <c r="O2171" t="str">
        <f t="shared" si="299"/>
        <v>BOOL</v>
      </c>
      <c r="P2171" t="str">
        <f t="shared" si="300"/>
        <v>TELECAMERA T02S</v>
      </c>
      <c r="R2171" t="str">
        <f t="shared" si="301"/>
        <v>disponibile</v>
      </c>
      <c r="U2171" t="str">
        <f t="shared" si="302"/>
        <v>disponibile</v>
      </c>
      <c r="V2171" t="str">
        <f t="shared" si="303"/>
        <v>DIREZIONE SUD</v>
      </c>
      <c r="W2171" t="str">
        <f t="shared" si="304"/>
        <v>GALLERIA CASOLA</v>
      </c>
      <c r="Z2171" t="str">
        <f t="shared" si="305"/>
        <v>10.220.80.16</v>
      </c>
    </row>
    <row r="2172" spans="1:26" x14ac:dyDescent="0.25">
      <c r="A2172" t="s">
        <v>10</v>
      </c>
      <c r="B2172" t="s">
        <v>1206</v>
      </c>
      <c r="C2172" t="s">
        <v>1618</v>
      </c>
      <c r="D2172" t="s">
        <v>1619</v>
      </c>
      <c r="E2172" t="s">
        <v>1640</v>
      </c>
      <c r="F2172" t="s">
        <v>14</v>
      </c>
      <c r="G2172" t="s">
        <v>1375</v>
      </c>
      <c r="H2172" t="s">
        <v>22</v>
      </c>
      <c r="I2172" t="s">
        <v>3033</v>
      </c>
      <c r="J2172" t="s">
        <v>1375</v>
      </c>
      <c r="K2172" t="str">
        <f t="shared" si="297"/>
        <v>5016.15</v>
      </c>
      <c r="N2172" t="str">
        <f t="shared" si="298"/>
        <v>HOLDING REGISTER</v>
      </c>
      <c r="O2172" t="str">
        <f t="shared" si="299"/>
        <v>BOOL</v>
      </c>
      <c r="P2172" t="str">
        <f t="shared" si="300"/>
        <v>TELECAMERA T02S</v>
      </c>
      <c r="R2172" t="str">
        <f t="shared" si="301"/>
        <v>disponibile</v>
      </c>
      <c r="U2172" t="str">
        <f t="shared" si="302"/>
        <v>disponibile</v>
      </c>
      <c r="V2172" t="str">
        <f t="shared" si="303"/>
        <v>DIREZIONE SUD</v>
      </c>
      <c r="W2172" t="str">
        <f t="shared" si="304"/>
        <v>GALLERIA CASOLA</v>
      </c>
      <c r="Z2172" t="str">
        <f t="shared" si="305"/>
        <v>10.220.80.16</v>
      </c>
    </row>
    <row r="2173" spans="1:26" x14ac:dyDescent="0.25">
      <c r="A2173" t="s">
        <v>10</v>
      </c>
      <c r="B2173" t="s">
        <v>1206</v>
      </c>
      <c r="C2173" t="s">
        <v>1618</v>
      </c>
      <c r="D2173" t="s">
        <v>1619</v>
      </c>
      <c r="E2173" t="s">
        <v>3034</v>
      </c>
      <c r="F2173" t="s">
        <v>14</v>
      </c>
      <c r="G2173" t="s">
        <v>21</v>
      </c>
      <c r="H2173" t="s">
        <v>22</v>
      </c>
      <c r="I2173" t="s">
        <v>3035</v>
      </c>
      <c r="J2173" t="s">
        <v>1622</v>
      </c>
      <c r="K2173" t="str">
        <f t="shared" si="297"/>
        <v>5017.0</v>
      </c>
      <c r="N2173" t="str">
        <f t="shared" si="298"/>
        <v>HOLDING REGISTER</v>
      </c>
      <c r="O2173" t="str">
        <f t="shared" si="299"/>
        <v>BOOL</v>
      </c>
      <c r="P2173" t="str">
        <f t="shared" si="300"/>
        <v>TELECAMERA T03S</v>
      </c>
      <c r="R2173" t="str">
        <f t="shared" si="301"/>
        <v>ALLARMI TELECAMERA ESCLUSI</v>
      </c>
      <c r="U2173" t="str">
        <f t="shared" si="302"/>
        <v>Stato</v>
      </c>
      <c r="V2173" t="str">
        <f t="shared" si="303"/>
        <v>DIREZIONE SUD</v>
      </c>
      <c r="W2173" t="str">
        <f t="shared" si="304"/>
        <v>GALLERIA CASOLA</v>
      </c>
      <c r="Z2173" t="str">
        <f t="shared" si="305"/>
        <v>10.220.80.16</v>
      </c>
    </row>
    <row r="2174" spans="1:26" x14ac:dyDescent="0.25">
      <c r="A2174" t="s">
        <v>10</v>
      </c>
      <c r="B2174" t="s">
        <v>1206</v>
      </c>
      <c r="C2174" t="s">
        <v>1618</v>
      </c>
      <c r="D2174" t="s">
        <v>1619</v>
      </c>
      <c r="E2174" t="s">
        <v>3034</v>
      </c>
      <c r="F2174" t="s">
        <v>14</v>
      </c>
      <c r="G2174" t="s">
        <v>21</v>
      </c>
      <c r="H2174" t="s">
        <v>22</v>
      </c>
      <c r="I2174" t="s">
        <v>3036</v>
      </c>
      <c r="J2174" t="s">
        <v>1624</v>
      </c>
      <c r="K2174" t="str">
        <f t="shared" si="297"/>
        <v>5017.1</v>
      </c>
      <c r="N2174" t="str">
        <f t="shared" si="298"/>
        <v>HOLDING REGISTER</v>
      </c>
      <c r="O2174" t="str">
        <f t="shared" si="299"/>
        <v>BOOL</v>
      </c>
      <c r="P2174" t="str">
        <f t="shared" si="300"/>
        <v>TELECAMERA T03S</v>
      </c>
      <c r="R2174" t="str">
        <f t="shared" si="301"/>
        <v>IN MANUTENZIONE ALLARME FUMO</v>
      </c>
      <c r="U2174" t="str">
        <f t="shared" si="302"/>
        <v>Stato</v>
      </c>
      <c r="V2174" t="str">
        <f t="shared" si="303"/>
        <v>DIREZIONE SUD</v>
      </c>
      <c r="W2174" t="str">
        <f t="shared" si="304"/>
        <v>GALLERIA CASOLA</v>
      </c>
      <c r="Z2174" t="str">
        <f t="shared" si="305"/>
        <v>10.220.80.16</v>
      </c>
    </row>
    <row r="2175" spans="1:26" x14ac:dyDescent="0.25">
      <c r="A2175" t="s">
        <v>10</v>
      </c>
      <c r="B2175" t="s">
        <v>1206</v>
      </c>
      <c r="C2175" t="s">
        <v>1618</v>
      </c>
      <c r="D2175" t="s">
        <v>1619</v>
      </c>
      <c r="E2175" t="s">
        <v>3034</v>
      </c>
      <c r="F2175" t="s">
        <v>14</v>
      </c>
      <c r="G2175" t="s">
        <v>21</v>
      </c>
      <c r="H2175" t="s">
        <v>22</v>
      </c>
      <c r="I2175" t="s">
        <v>3037</v>
      </c>
      <c r="J2175" t="s">
        <v>1626</v>
      </c>
      <c r="K2175" t="str">
        <f t="shared" si="297"/>
        <v>5017.2</v>
      </c>
      <c r="N2175" t="str">
        <f t="shared" si="298"/>
        <v>HOLDING REGISTER</v>
      </c>
      <c r="O2175" t="str">
        <f t="shared" si="299"/>
        <v>BOOL</v>
      </c>
      <c r="P2175" t="str">
        <f t="shared" si="300"/>
        <v>TELECAMERA T03S</v>
      </c>
      <c r="R2175" t="str">
        <f t="shared" si="301"/>
        <v>IN MANUTENZIONE ALLARMI TRAFFICO</v>
      </c>
      <c r="U2175" t="str">
        <f t="shared" si="302"/>
        <v>Stato</v>
      </c>
      <c r="V2175" t="str">
        <f t="shared" si="303"/>
        <v>DIREZIONE SUD</v>
      </c>
      <c r="W2175" t="str">
        <f t="shared" si="304"/>
        <v>GALLERIA CASOLA</v>
      </c>
      <c r="Z2175" t="str">
        <f t="shared" si="305"/>
        <v>10.220.80.16</v>
      </c>
    </row>
    <row r="2176" spans="1:26" x14ac:dyDescent="0.25">
      <c r="A2176" t="s">
        <v>10</v>
      </c>
      <c r="B2176" t="s">
        <v>1206</v>
      </c>
      <c r="C2176" t="s">
        <v>1618</v>
      </c>
      <c r="D2176" t="s">
        <v>1619</v>
      </c>
      <c r="E2176" t="s">
        <v>3034</v>
      </c>
      <c r="F2176" t="s">
        <v>14</v>
      </c>
      <c r="G2176" t="s">
        <v>1375</v>
      </c>
      <c r="H2176" t="s">
        <v>22</v>
      </c>
      <c r="I2176" t="s">
        <v>3038</v>
      </c>
      <c r="J2176" t="s">
        <v>1375</v>
      </c>
      <c r="K2176" t="str">
        <f t="shared" si="297"/>
        <v>5017.3</v>
      </c>
      <c r="N2176" t="str">
        <f t="shared" si="298"/>
        <v>HOLDING REGISTER</v>
      </c>
      <c r="O2176" t="str">
        <f t="shared" si="299"/>
        <v>BOOL</v>
      </c>
      <c r="P2176" t="str">
        <f t="shared" si="300"/>
        <v>TELECAMERA T03S</v>
      </c>
      <c r="R2176" t="str">
        <f t="shared" si="301"/>
        <v>disponibile</v>
      </c>
      <c r="U2176" t="str">
        <f t="shared" si="302"/>
        <v>disponibile</v>
      </c>
      <c r="V2176" t="str">
        <f t="shared" si="303"/>
        <v>DIREZIONE SUD</v>
      </c>
      <c r="W2176" t="str">
        <f t="shared" si="304"/>
        <v>GALLERIA CASOLA</v>
      </c>
      <c r="Z2176" t="str">
        <f t="shared" si="305"/>
        <v>10.220.80.16</v>
      </c>
    </row>
    <row r="2177" spans="1:26" x14ac:dyDescent="0.25">
      <c r="A2177" t="s">
        <v>10</v>
      </c>
      <c r="B2177" t="s">
        <v>1206</v>
      </c>
      <c r="C2177" t="s">
        <v>1618</v>
      </c>
      <c r="D2177" t="s">
        <v>1619</v>
      </c>
      <c r="E2177" t="s">
        <v>3034</v>
      </c>
      <c r="F2177" t="s">
        <v>14</v>
      </c>
      <c r="G2177" t="s">
        <v>1375</v>
      </c>
      <c r="H2177" t="s">
        <v>22</v>
      </c>
      <c r="I2177" t="s">
        <v>3039</v>
      </c>
      <c r="J2177" t="s">
        <v>1375</v>
      </c>
      <c r="K2177" t="str">
        <f t="shared" si="297"/>
        <v>5017.4</v>
      </c>
      <c r="N2177" t="str">
        <f t="shared" si="298"/>
        <v>HOLDING REGISTER</v>
      </c>
      <c r="O2177" t="str">
        <f t="shared" si="299"/>
        <v>BOOL</v>
      </c>
      <c r="P2177" t="str">
        <f t="shared" si="300"/>
        <v>TELECAMERA T03S</v>
      </c>
      <c r="R2177" t="str">
        <f t="shared" si="301"/>
        <v>disponibile</v>
      </c>
      <c r="U2177" t="str">
        <f t="shared" si="302"/>
        <v>disponibile</v>
      </c>
      <c r="V2177" t="str">
        <f t="shared" si="303"/>
        <v>DIREZIONE SUD</v>
      </c>
      <c r="W2177" t="str">
        <f t="shared" si="304"/>
        <v>GALLERIA CASOLA</v>
      </c>
      <c r="Z2177" t="str">
        <f t="shared" si="305"/>
        <v>10.220.80.16</v>
      </c>
    </row>
    <row r="2178" spans="1:26" x14ac:dyDescent="0.25">
      <c r="A2178" t="s">
        <v>10</v>
      </c>
      <c r="B2178" t="s">
        <v>1206</v>
      </c>
      <c r="C2178" t="s">
        <v>1618</v>
      </c>
      <c r="D2178" t="s">
        <v>1619</v>
      </c>
      <c r="E2178" t="s">
        <v>3034</v>
      </c>
      <c r="F2178" t="s">
        <v>14</v>
      </c>
      <c r="G2178" t="s">
        <v>1375</v>
      </c>
      <c r="H2178" t="s">
        <v>22</v>
      </c>
      <c r="I2178" t="s">
        <v>3040</v>
      </c>
      <c r="J2178" t="s">
        <v>1375</v>
      </c>
      <c r="K2178" t="str">
        <f t="shared" si="297"/>
        <v>5017.5</v>
      </c>
      <c r="N2178" t="str">
        <f t="shared" si="298"/>
        <v>HOLDING REGISTER</v>
      </c>
      <c r="O2178" t="str">
        <f t="shared" si="299"/>
        <v>BOOL</v>
      </c>
      <c r="P2178" t="str">
        <f t="shared" si="300"/>
        <v>TELECAMERA T03S</v>
      </c>
      <c r="R2178" t="str">
        <f t="shared" si="301"/>
        <v>disponibile</v>
      </c>
      <c r="U2178" t="str">
        <f t="shared" si="302"/>
        <v>disponibile</v>
      </c>
      <c r="V2178" t="str">
        <f t="shared" si="303"/>
        <v>DIREZIONE SUD</v>
      </c>
      <c r="W2178" t="str">
        <f t="shared" si="304"/>
        <v>GALLERIA CASOLA</v>
      </c>
      <c r="Z2178" t="str">
        <f t="shared" si="305"/>
        <v>10.220.80.16</v>
      </c>
    </row>
    <row r="2179" spans="1:26" x14ac:dyDescent="0.25">
      <c r="A2179" t="s">
        <v>10</v>
      </c>
      <c r="B2179" t="s">
        <v>1206</v>
      </c>
      <c r="C2179" t="s">
        <v>1618</v>
      </c>
      <c r="D2179" t="s">
        <v>1619</v>
      </c>
      <c r="E2179" t="s">
        <v>3034</v>
      </c>
      <c r="F2179" t="s">
        <v>14</v>
      </c>
      <c r="G2179" t="s">
        <v>1375</v>
      </c>
      <c r="H2179" t="s">
        <v>22</v>
      </c>
      <c r="I2179" t="s">
        <v>3041</v>
      </c>
      <c r="J2179" t="s">
        <v>1375</v>
      </c>
      <c r="K2179" t="str">
        <f t="shared" ref="K2179:K2242" si="306">IF(I2179="","",I2179)</f>
        <v>5017.6</v>
      </c>
      <c r="N2179" t="str">
        <f t="shared" ref="N2179:N2242" si="307">IF(F2179="","",F2179)</f>
        <v>HOLDING REGISTER</v>
      </c>
      <c r="O2179" t="str">
        <f t="shared" ref="O2179:O2242" si="308">IF(H2179="","",H2179)</f>
        <v>BOOL</v>
      </c>
      <c r="P2179" t="str">
        <f t="shared" ref="P2179:P2242" si="309">_xlfn.CONCAT(D2179," ",E2179)</f>
        <v>TELECAMERA T03S</v>
      </c>
      <c r="R2179" t="str">
        <f t="shared" ref="R2179:R2242" si="310">IF(J2179="","",J2179)</f>
        <v>disponibile</v>
      </c>
      <c r="U2179" t="str">
        <f t="shared" ref="U2179:U2242" si="311">IF(G2179="","",G2179)</f>
        <v>disponibile</v>
      </c>
      <c r="V2179" t="str">
        <f t="shared" ref="V2179:V2242" si="312">IF(C2179="","",C2179)</f>
        <v>DIREZIONE SUD</v>
      </c>
      <c r="W2179" t="str">
        <f t="shared" ref="W2179:W2242" si="313">IF(B2179="","",B2179)</f>
        <v>GALLERIA CASOLA</v>
      </c>
      <c r="Z2179" t="str">
        <f t="shared" ref="Z2179:Z2242" si="314">IF(A2179="","",A2179)</f>
        <v>10.220.80.16</v>
      </c>
    </row>
    <row r="2180" spans="1:26" x14ac:dyDescent="0.25">
      <c r="A2180" t="s">
        <v>10</v>
      </c>
      <c r="B2180" t="s">
        <v>1206</v>
      </c>
      <c r="C2180" t="s">
        <v>1618</v>
      </c>
      <c r="D2180" t="s">
        <v>1619</v>
      </c>
      <c r="E2180" t="s">
        <v>3034</v>
      </c>
      <c r="F2180" t="s">
        <v>14</v>
      </c>
      <c r="G2180" t="s">
        <v>1375</v>
      </c>
      <c r="H2180" t="s">
        <v>22</v>
      </c>
      <c r="I2180" t="s">
        <v>3042</v>
      </c>
      <c r="J2180" t="s">
        <v>1375</v>
      </c>
      <c r="K2180" t="str">
        <f t="shared" si="306"/>
        <v>5017.7</v>
      </c>
      <c r="N2180" t="str">
        <f t="shared" si="307"/>
        <v>HOLDING REGISTER</v>
      </c>
      <c r="O2180" t="str">
        <f t="shared" si="308"/>
        <v>BOOL</v>
      </c>
      <c r="P2180" t="str">
        <f t="shared" si="309"/>
        <v>TELECAMERA T03S</v>
      </c>
      <c r="R2180" t="str">
        <f t="shared" si="310"/>
        <v>disponibile</v>
      </c>
      <c r="U2180" t="str">
        <f t="shared" si="311"/>
        <v>disponibile</v>
      </c>
      <c r="V2180" t="str">
        <f t="shared" si="312"/>
        <v>DIREZIONE SUD</v>
      </c>
      <c r="W2180" t="str">
        <f t="shared" si="313"/>
        <v>GALLERIA CASOLA</v>
      </c>
      <c r="Z2180" t="str">
        <f t="shared" si="314"/>
        <v>10.220.80.16</v>
      </c>
    </row>
    <row r="2181" spans="1:26" x14ac:dyDescent="0.25">
      <c r="A2181" t="s">
        <v>10</v>
      </c>
      <c r="B2181" t="s">
        <v>1206</v>
      </c>
      <c r="C2181" t="s">
        <v>1618</v>
      </c>
      <c r="D2181" t="s">
        <v>1619</v>
      </c>
      <c r="E2181" t="s">
        <v>3034</v>
      </c>
      <c r="F2181" t="s">
        <v>14</v>
      </c>
      <c r="G2181" t="s">
        <v>1375</v>
      </c>
      <c r="H2181" t="s">
        <v>22</v>
      </c>
      <c r="I2181" t="s">
        <v>3043</v>
      </c>
      <c r="J2181" t="s">
        <v>1375</v>
      </c>
      <c r="K2181" t="str">
        <f t="shared" si="306"/>
        <v>5017.8</v>
      </c>
      <c r="N2181" t="str">
        <f t="shared" si="307"/>
        <v>HOLDING REGISTER</v>
      </c>
      <c r="O2181" t="str">
        <f t="shared" si="308"/>
        <v>BOOL</v>
      </c>
      <c r="P2181" t="str">
        <f t="shared" si="309"/>
        <v>TELECAMERA T03S</v>
      </c>
      <c r="R2181" t="str">
        <f t="shared" si="310"/>
        <v>disponibile</v>
      </c>
      <c r="U2181" t="str">
        <f t="shared" si="311"/>
        <v>disponibile</v>
      </c>
      <c r="V2181" t="str">
        <f t="shared" si="312"/>
        <v>DIREZIONE SUD</v>
      </c>
      <c r="W2181" t="str">
        <f t="shared" si="313"/>
        <v>GALLERIA CASOLA</v>
      </c>
      <c r="Z2181" t="str">
        <f t="shared" si="314"/>
        <v>10.220.80.16</v>
      </c>
    </row>
    <row r="2182" spans="1:26" x14ac:dyDescent="0.25">
      <c r="A2182" t="s">
        <v>10</v>
      </c>
      <c r="B2182" t="s">
        <v>1206</v>
      </c>
      <c r="C2182" t="s">
        <v>1618</v>
      </c>
      <c r="D2182" t="s">
        <v>1619</v>
      </c>
      <c r="E2182" t="s">
        <v>3034</v>
      </c>
      <c r="F2182" t="s">
        <v>14</v>
      </c>
      <c r="G2182" t="s">
        <v>1375</v>
      </c>
      <c r="H2182" t="s">
        <v>22</v>
      </c>
      <c r="I2182" t="s">
        <v>3044</v>
      </c>
      <c r="J2182" t="s">
        <v>1375</v>
      </c>
      <c r="K2182" t="str">
        <f t="shared" si="306"/>
        <v>5017.9</v>
      </c>
      <c r="N2182" t="str">
        <f t="shared" si="307"/>
        <v>HOLDING REGISTER</v>
      </c>
      <c r="O2182" t="str">
        <f t="shared" si="308"/>
        <v>BOOL</v>
      </c>
      <c r="P2182" t="str">
        <f t="shared" si="309"/>
        <v>TELECAMERA T03S</v>
      </c>
      <c r="R2182" t="str">
        <f t="shared" si="310"/>
        <v>disponibile</v>
      </c>
      <c r="U2182" t="str">
        <f t="shared" si="311"/>
        <v>disponibile</v>
      </c>
      <c r="V2182" t="str">
        <f t="shared" si="312"/>
        <v>DIREZIONE SUD</v>
      </c>
      <c r="W2182" t="str">
        <f t="shared" si="313"/>
        <v>GALLERIA CASOLA</v>
      </c>
      <c r="Z2182" t="str">
        <f t="shared" si="314"/>
        <v>10.220.80.16</v>
      </c>
    </row>
    <row r="2183" spans="1:26" x14ac:dyDescent="0.25">
      <c r="A2183" t="s">
        <v>10</v>
      </c>
      <c r="B2183" t="s">
        <v>1206</v>
      </c>
      <c r="C2183" t="s">
        <v>1618</v>
      </c>
      <c r="D2183" t="s">
        <v>1619</v>
      </c>
      <c r="E2183" t="s">
        <v>3034</v>
      </c>
      <c r="F2183" t="s">
        <v>14</v>
      </c>
      <c r="G2183" t="s">
        <v>1375</v>
      </c>
      <c r="H2183" t="s">
        <v>22</v>
      </c>
      <c r="I2183" t="s">
        <v>3045</v>
      </c>
      <c r="J2183" t="s">
        <v>1375</v>
      </c>
      <c r="K2183" t="str">
        <f t="shared" si="306"/>
        <v>5017.10</v>
      </c>
      <c r="N2183" t="str">
        <f t="shared" si="307"/>
        <v>HOLDING REGISTER</v>
      </c>
      <c r="O2183" t="str">
        <f t="shared" si="308"/>
        <v>BOOL</v>
      </c>
      <c r="P2183" t="str">
        <f t="shared" si="309"/>
        <v>TELECAMERA T03S</v>
      </c>
      <c r="R2183" t="str">
        <f t="shared" si="310"/>
        <v>disponibile</v>
      </c>
      <c r="U2183" t="str">
        <f t="shared" si="311"/>
        <v>disponibile</v>
      </c>
      <c r="V2183" t="str">
        <f t="shared" si="312"/>
        <v>DIREZIONE SUD</v>
      </c>
      <c r="W2183" t="str">
        <f t="shared" si="313"/>
        <v>GALLERIA CASOLA</v>
      </c>
      <c r="Z2183" t="str">
        <f t="shared" si="314"/>
        <v>10.220.80.16</v>
      </c>
    </row>
    <row r="2184" spans="1:26" x14ac:dyDescent="0.25">
      <c r="A2184" t="s">
        <v>10</v>
      </c>
      <c r="B2184" t="s">
        <v>1206</v>
      </c>
      <c r="C2184" t="s">
        <v>1618</v>
      </c>
      <c r="D2184" t="s">
        <v>1619</v>
      </c>
      <c r="E2184" t="s">
        <v>3034</v>
      </c>
      <c r="F2184" t="s">
        <v>14</v>
      </c>
      <c r="G2184" t="s">
        <v>1375</v>
      </c>
      <c r="H2184" t="s">
        <v>22</v>
      </c>
      <c r="I2184" t="s">
        <v>3046</v>
      </c>
      <c r="J2184" t="s">
        <v>1375</v>
      </c>
      <c r="K2184" t="str">
        <f t="shared" si="306"/>
        <v>5017.11</v>
      </c>
      <c r="N2184" t="str">
        <f t="shared" si="307"/>
        <v>HOLDING REGISTER</v>
      </c>
      <c r="O2184" t="str">
        <f t="shared" si="308"/>
        <v>BOOL</v>
      </c>
      <c r="P2184" t="str">
        <f t="shared" si="309"/>
        <v>TELECAMERA T03S</v>
      </c>
      <c r="R2184" t="str">
        <f t="shared" si="310"/>
        <v>disponibile</v>
      </c>
      <c r="U2184" t="str">
        <f t="shared" si="311"/>
        <v>disponibile</v>
      </c>
      <c r="V2184" t="str">
        <f t="shared" si="312"/>
        <v>DIREZIONE SUD</v>
      </c>
      <c r="W2184" t="str">
        <f t="shared" si="313"/>
        <v>GALLERIA CASOLA</v>
      </c>
      <c r="Z2184" t="str">
        <f t="shared" si="314"/>
        <v>10.220.80.16</v>
      </c>
    </row>
    <row r="2185" spans="1:26" x14ac:dyDescent="0.25">
      <c r="A2185" t="s">
        <v>10</v>
      </c>
      <c r="B2185" t="s">
        <v>1206</v>
      </c>
      <c r="C2185" t="s">
        <v>1618</v>
      </c>
      <c r="D2185" t="s">
        <v>1619</v>
      </c>
      <c r="E2185" t="s">
        <v>3034</v>
      </c>
      <c r="F2185" t="s">
        <v>14</v>
      </c>
      <c r="G2185" t="s">
        <v>1375</v>
      </c>
      <c r="H2185" t="s">
        <v>22</v>
      </c>
      <c r="I2185" t="s">
        <v>3047</v>
      </c>
      <c r="J2185" t="s">
        <v>1375</v>
      </c>
      <c r="K2185" t="str">
        <f t="shared" si="306"/>
        <v>5017.12</v>
      </c>
      <c r="N2185" t="str">
        <f t="shared" si="307"/>
        <v>HOLDING REGISTER</v>
      </c>
      <c r="O2185" t="str">
        <f t="shared" si="308"/>
        <v>BOOL</v>
      </c>
      <c r="P2185" t="str">
        <f t="shared" si="309"/>
        <v>TELECAMERA T03S</v>
      </c>
      <c r="R2185" t="str">
        <f t="shared" si="310"/>
        <v>disponibile</v>
      </c>
      <c r="U2185" t="str">
        <f t="shared" si="311"/>
        <v>disponibile</v>
      </c>
      <c r="V2185" t="str">
        <f t="shared" si="312"/>
        <v>DIREZIONE SUD</v>
      </c>
      <c r="W2185" t="str">
        <f t="shared" si="313"/>
        <v>GALLERIA CASOLA</v>
      </c>
      <c r="Z2185" t="str">
        <f t="shared" si="314"/>
        <v>10.220.80.16</v>
      </c>
    </row>
    <row r="2186" spans="1:26" x14ac:dyDescent="0.25">
      <c r="A2186" t="s">
        <v>10</v>
      </c>
      <c r="B2186" t="s">
        <v>1206</v>
      </c>
      <c r="C2186" t="s">
        <v>1618</v>
      </c>
      <c r="D2186" t="s">
        <v>1619</v>
      </c>
      <c r="E2186" t="s">
        <v>3034</v>
      </c>
      <c r="F2186" t="s">
        <v>14</v>
      </c>
      <c r="G2186" t="s">
        <v>1375</v>
      </c>
      <c r="H2186" t="s">
        <v>22</v>
      </c>
      <c r="I2186" t="s">
        <v>3048</v>
      </c>
      <c r="J2186" t="s">
        <v>1375</v>
      </c>
      <c r="K2186" t="str">
        <f t="shared" si="306"/>
        <v>5017.13</v>
      </c>
      <c r="N2186" t="str">
        <f t="shared" si="307"/>
        <v>HOLDING REGISTER</v>
      </c>
      <c r="O2186" t="str">
        <f t="shared" si="308"/>
        <v>BOOL</v>
      </c>
      <c r="P2186" t="str">
        <f t="shared" si="309"/>
        <v>TELECAMERA T03S</v>
      </c>
      <c r="R2186" t="str">
        <f t="shared" si="310"/>
        <v>disponibile</v>
      </c>
      <c r="U2186" t="str">
        <f t="shared" si="311"/>
        <v>disponibile</v>
      </c>
      <c r="V2186" t="str">
        <f t="shared" si="312"/>
        <v>DIREZIONE SUD</v>
      </c>
      <c r="W2186" t="str">
        <f t="shared" si="313"/>
        <v>GALLERIA CASOLA</v>
      </c>
      <c r="Z2186" t="str">
        <f t="shared" si="314"/>
        <v>10.220.80.16</v>
      </c>
    </row>
    <row r="2187" spans="1:26" x14ac:dyDescent="0.25">
      <c r="A2187" t="s">
        <v>10</v>
      </c>
      <c r="B2187" t="s">
        <v>1206</v>
      </c>
      <c r="C2187" t="s">
        <v>1618</v>
      </c>
      <c r="D2187" t="s">
        <v>1619</v>
      </c>
      <c r="E2187" t="s">
        <v>3034</v>
      </c>
      <c r="F2187" t="s">
        <v>14</v>
      </c>
      <c r="G2187" t="s">
        <v>1375</v>
      </c>
      <c r="H2187" t="s">
        <v>22</v>
      </c>
      <c r="I2187" t="s">
        <v>3049</v>
      </c>
      <c r="J2187" t="s">
        <v>1375</v>
      </c>
      <c r="K2187" t="str">
        <f t="shared" si="306"/>
        <v>5017.14</v>
      </c>
      <c r="N2187" t="str">
        <f t="shared" si="307"/>
        <v>HOLDING REGISTER</v>
      </c>
      <c r="O2187" t="str">
        <f t="shared" si="308"/>
        <v>BOOL</v>
      </c>
      <c r="P2187" t="str">
        <f t="shared" si="309"/>
        <v>TELECAMERA T03S</v>
      </c>
      <c r="R2187" t="str">
        <f t="shared" si="310"/>
        <v>disponibile</v>
      </c>
      <c r="U2187" t="str">
        <f t="shared" si="311"/>
        <v>disponibile</v>
      </c>
      <c r="V2187" t="str">
        <f t="shared" si="312"/>
        <v>DIREZIONE SUD</v>
      </c>
      <c r="W2187" t="str">
        <f t="shared" si="313"/>
        <v>GALLERIA CASOLA</v>
      </c>
      <c r="Z2187" t="str">
        <f t="shared" si="314"/>
        <v>10.220.80.16</v>
      </c>
    </row>
    <row r="2188" spans="1:26" x14ac:dyDescent="0.25">
      <c r="A2188" t="s">
        <v>10</v>
      </c>
      <c r="B2188" t="s">
        <v>1206</v>
      </c>
      <c r="C2188" t="s">
        <v>1618</v>
      </c>
      <c r="D2188" t="s">
        <v>1619</v>
      </c>
      <c r="E2188" t="s">
        <v>3034</v>
      </c>
      <c r="F2188" t="s">
        <v>14</v>
      </c>
      <c r="G2188" t="s">
        <v>1375</v>
      </c>
      <c r="H2188" t="s">
        <v>22</v>
      </c>
      <c r="I2188" t="s">
        <v>3050</v>
      </c>
      <c r="J2188" t="s">
        <v>1375</v>
      </c>
      <c r="K2188" t="str">
        <f t="shared" si="306"/>
        <v>5017.15</v>
      </c>
      <c r="N2188" t="str">
        <f t="shared" si="307"/>
        <v>HOLDING REGISTER</v>
      </c>
      <c r="O2188" t="str">
        <f t="shared" si="308"/>
        <v>BOOL</v>
      </c>
      <c r="P2188" t="str">
        <f t="shared" si="309"/>
        <v>TELECAMERA T03S</v>
      </c>
      <c r="R2188" t="str">
        <f t="shared" si="310"/>
        <v>disponibile</v>
      </c>
      <c r="U2188" t="str">
        <f t="shared" si="311"/>
        <v>disponibile</v>
      </c>
      <c r="V2188" t="str">
        <f t="shared" si="312"/>
        <v>DIREZIONE SUD</v>
      </c>
      <c r="W2188" t="str">
        <f t="shared" si="313"/>
        <v>GALLERIA CASOLA</v>
      </c>
      <c r="Z2188" t="str">
        <f t="shared" si="314"/>
        <v>10.220.80.16</v>
      </c>
    </row>
    <row r="2189" spans="1:26" x14ac:dyDescent="0.25">
      <c r="A2189" t="s">
        <v>10</v>
      </c>
      <c r="B2189" t="s">
        <v>1206</v>
      </c>
      <c r="C2189" t="s">
        <v>1618</v>
      </c>
      <c r="D2189" t="s">
        <v>1619</v>
      </c>
      <c r="E2189" t="s">
        <v>1674</v>
      </c>
      <c r="F2189" t="s">
        <v>14</v>
      </c>
      <c r="G2189" t="s">
        <v>21</v>
      </c>
      <c r="H2189" t="s">
        <v>22</v>
      </c>
      <c r="I2189" t="s">
        <v>3051</v>
      </c>
      <c r="J2189" t="s">
        <v>1622</v>
      </c>
      <c r="K2189" t="str">
        <f t="shared" si="306"/>
        <v>5018.0</v>
      </c>
      <c r="N2189" t="str">
        <f t="shared" si="307"/>
        <v>HOLDING REGISTER</v>
      </c>
      <c r="O2189" t="str">
        <f t="shared" si="308"/>
        <v>BOOL</v>
      </c>
      <c r="P2189" t="str">
        <f t="shared" si="309"/>
        <v>TELECAMERA T06S</v>
      </c>
      <c r="R2189" t="str">
        <f t="shared" si="310"/>
        <v>ALLARMI TELECAMERA ESCLUSI</v>
      </c>
      <c r="U2189" t="str">
        <f t="shared" si="311"/>
        <v>Stato</v>
      </c>
      <c r="V2189" t="str">
        <f t="shared" si="312"/>
        <v>DIREZIONE SUD</v>
      </c>
      <c r="W2189" t="str">
        <f t="shared" si="313"/>
        <v>GALLERIA CASOLA</v>
      </c>
      <c r="Z2189" t="str">
        <f t="shared" si="314"/>
        <v>10.220.80.16</v>
      </c>
    </row>
    <row r="2190" spans="1:26" x14ac:dyDescent="0.25">
      <c r="A2190" t="s">
        <v>10</v>
      </c>
      <c r="B2190" t="s">
        <v>1206</v>
      </c>
      <c r="C2190" t="s">
        <v>1618</v>
      </c>
      <c r="D2190" t="s">
        <v>1619</v>
      </c>
      <c r="E2190" t="s">
        <v>1674</v>
      </c>
      <c r="F2190" t="s">
        <v>14</v>
      </c>
      <c r="G2190" t="s">
        <v>21</v>
      </c>
      <c r="H2190" t="s">
        <v>22</v>
      </c>
      <c r="I2190" t="s">
        <v>3052</v>
      </c>
      <c r="J2190" t="s">
        <v>1624</v>
      </c>
      <c r="K2190" t="str">
        <f t="shared" si="306"/>
        <v>5018.1</v>
      </c>
      <c r="N2190" t="str">
        <f t="shared" si="307"/>
        <v>HOLDING REGISTER</v>
      </c>
      <c r="O2190" t="str">
        <f t="shared" si="308"/>
        <v>BOOL</v>
      </c>
      <c r="P2190" t="str">
        <f t="shared" si="309"/>
        <v>TELECAMERA T06S</v>
      </c>
      <c r="R2190" t="str">
        <f t="shared" si="310"/>
        <v>IN MANUTENZIONE ALLARME FUMO</v>
      </c>
      <c r="U2190" t="str">
        <f t="shared" si="311"/>
        <v>Stato</v>
      </c>
      <c r="V2190" t="str">
        <f t="shared" si="312"/>
        <v>DIREZIONE SUD</v>
      </c>
      <c r="W2190" t="str">
        <f t="shared" si="313"/>
        <v>GALLERIA CASOLA</v>
      </c>
      <c r="Z2190" t="str">
        <f t="shared" si="314"/>
        <v>10.220.80.16</v>
      </c>
    </row>
    <row r="2191" spans="1:26" x14ac:dyDescent="0.25">
      <c r="A2191" t="s">
        <v>10</v>
      </c>
      <c r="B2191" t="s">
        <v>1206</v>
      </c>
      <c r="C2191" t="s">
        <v>1618</v>
      </c>
      <c r="D2191" t="s">
        <v>1619</v>
      </c>
      <c r="E2191" t="s">
        <v>1674</v>
      </c>
      <c r="F2191" t="s">
        <v>14</v>
      </c>
      <c r="G2191" t="s">
        <v>21</v>
      </c>
      <c r="H2191" t="s">
        <v>22</v>
      </c>
      <c r="I2191" t="s">
        <v>3053</v>
      </c>
      <c r="J2191" t="s">
        <v>1626</v>
      </c>
      <c r="K2191" t="str">
        <f t="shared" si="306"/>
        <v>5018.2</v>
      </c>
      <c r="N2191" t="str">
        <f t="shared" si="307"/>
        <v>HOLDING REGISTER</v>
      </c>
      <c r="O2191" t="str">
        <f t="shared" si="308"/>
        <v>BOOL</v>
      </c>
      <c r="P2191" t="str">
        <f t="shared" si="309"/>
        <v>TELECAMERA T06S</v>
      </c>
      <c r="R2191" t="str">
        <f t="shared" si="310"/>
        <v>IN MANUTENZIONE ALLARMI TRAFFICO</v>
      </c>
      <c r="U2191" t="str">
        <f t="shared" si="311"/>
        <v>Stato</v>
      </c>
      <c r="V2191" t="str">
        <f t="shared" si="312"/>
        <v>DIREZIONE SUD</v>
      </c>
      <c r="W2191" t="str">
        <f t="shared" si="313"/>
        <v>GALLERIA CASOLA</v>
      </c>
      <c r="Z2191" t="str">
        <f t="shared" si="314"/>
        <v>10.220.80.16</v>
      </c>
    </row>
    <row r="2192" spans="1:26" x14ac:dyDescent="0.25">
      <c r="A2192" t="s">
        <v>10</v>
      </c>
      <c r="B2192" t="s">
        <v>1206</v>
      </c>
      <c r="C2192" t="s">
        <v>1618</v>
      </c>
      <c r="D2192" t="s">
        <v>1619</v>
      </c>
      <c r="E2192" t="s">
        <v>1674</v>
      </c>
      <c r="F2192" t="s">
        <v>14</v>
      </c>
      <c r="G2192" t="s">
        <v>1375</v>
      </c>
      <c r="H2192" t="s">
        <v>22</v>
      </c>
      <c r="I2192" t="s">
        <v>3054</v>
      </c>
      <c r="J2192" t="s">
        <v>1375</v>
      </c>
      <c r="K2192" t="str">
        <f t="shared" si="306"/>
        <v>5018.3</v>
      </c>
      <c r="N2192" t="str">
        <f t="shared" si="307"/>
        <v>HOLDING REGISTER</v>
      </c>
      <c r="O2192" t="str">
        <f t="shared" si="308"/>
        <v>BOOL</v>
      </c>
      <c r="P2192" t="str">
        <f t="shared" si="309"/>
        <v>TELECAMERA T06S</v>
      </c>
      <c r="R2192" t="str">
        <f t="shared" si="310"/>
        <v>disponibile</v>
      </c>
      <c r="U2192" t="str">
        <f t="shared" si="311"/>
        <v>disponibile</v>
      </c>
      <c r="V2192" t="str">
        <f t="shared" si="312"/>
        <v>DIREZIONE SUD</v>
      </c>
      <c r="W2192" t="str">
        <f t="shared" si="313"/>
        <v>GALLERIA CASOLA</v>
      </c>
      <c r="Z2192" t="str">
        <f t="shared" si="314"/>
        <v>10.220.80.16</v>
      </c>
    </row>
    <row r="2193" spans="1:26" x14ac:dyDescent="0.25">
      <c r="A2193" t="s">
        <v>10</v>
      </c>
      <c r="B2193" t="s">
        <v>1206</v>
      </c>
      <c r="C2193" t="s">
        <v>1618</v>
      </c>
      <c r="D2193" t="s">
        <v>1619</v>
      </c>
      <c r="E2193" t="s">
        <v>1674</v>
      </c>
      <c r="F2193" t="s">
        <v>14</v>
      </c>
      <c r="G2193" t="s">
        <v>1375</v>
      </c>
      <c r="H2193" t="s">
        <v>22</v>
      </c>
      <c r="I2193" t="s">
        <v>3055</v>
      </c>
      <c r="J2193" t="s">
        <v>1375</v>
      </c>
      <c r="K2193" t="str">
        <f t="shared" si="306"/>
        <v>5018.4</v>
      </c>
      <c r="N2193" t="str">
        <f t="shared" si="307"/>
        <v>HOLDING REGISTER</v>
      </c>
      <c r="O2193" t="str">
        <f t="shared" si="308"/>
        <v>BOOL</v>
      </c>
      <c r="P2193" t="str">
        <f t="shared" si="309"/>
        <v>TELECAMERA T06S</v>
      </c>
      <c r="R2193" t="str">
        <f t="shared" si="310"/>
        <v>disponibile</v>
      </c>
      <c r="U2193" t="str">
        <f t="shared" si="311"/>
        <v>disponibile</v>
      </c>
      <c r="V2193" t="str">
        <f t="shared" si="312"/>
        <v>DIREZIONE SUD</v>
      </c>
      <c r="W2193" t="str">
        <f t="shared" si="313"/>
        <v>GALLERIA CASOLA</v>
      </c>
      <c r="Z2193" t="str">
        <f t="shared" si="314"/>
        <v>10.220.80.16</v>
      </c>
    </row>
    <row r="2194" spans="1:26" x14ac:dyDescent="0.25">
      <c r="A2194" t="s">
        <v>10</v>
      </c>
      <c r="B2194" t="s">
        <v>1206</v>
      </c>
      <c r="C2194" t="s">
        <v>1618</v>
      </c>
      <c r="D2194" t="s">
        <v>1619</v>
      </c>
      <c r="E2194" t="s">
        <v>1674</v>
      </c>
      <c r="F2194" t="s">
        <v>14</v>
      </c>
      <c r="G2194" t="s">
        <v>1375</v>
      </c>
      <c r="H2194" t="s">
        <v>22</v>
      </c>
      <c r="I2194" t="s">
        <v>3056</v>
      </c>
      <c r="J2194" t="s">
        <v>1375</v>
      </c>
      <c r="K2194" t="str">
        <f t="shared" si="306"/>
        <v>5018.5</v>
      </c>
      <c r="N2194" t="str">
        <f t="shared" si="307"/>
        <v>HOLDING REGISTER</v>
      </c>
      <c r="O2194" t="str">
        <f t="shared" si="308"/>
        <v>BOOL</v>
      </c>
      <c r="P2194" t="str">
        <f t="shared" si="309"/>
        <v>TELECAMERA T06S</v>
      </c>
      <c r="R2194" t="str">
        <f t="shared" si="310"/>
        <v>disponibile</v>
      </c>
      <c r="U2194" t="str">
        <f t="shared" si="311"/>
        <v>disponibile</v>
      </c>
      <c r="V2194" t="str">
        <f t="shared" si="312"/>
        <v>DIREZIONE SUD</v>
      </c>
      <c r="W2194" t="str">
        <f t="shared" si="313"/>
        <v>GALLERIA CASOLA</v>
      </c>
      <c r="Z2194" t="str">
        <f t="shared" si="314"/>
        <v>10.220.80.16</v>
      </c>
    </row>
    <row r="2195" spans="1:26" x14ac:dyDescent="0.25">
      <c r="A2195" t="s">
        <v>10</v>
      </c>
      <c r="B2195" t="s">
        <v>1206</v>
      </c>
      <c r="C2195" t="s">
        <v>1618</v>
      </c>
      <c r="D2195" t="s">
        <v>1619</v>
      </c>
      <c r="E2195" t="s">
        <v>1674</v>
      </c>
      <c r="F2195" t="s">
        <v>14</v>
      </c>
      <c r="G2195" t="s">
        <v>1375</v>
      </c>
      <c r="H2195" t="s">
        <v>22</v>
      </c>
      <c r="I2195" t="s">
        <v>3057</v>
      </c>
      <c r="J2195" t="s">
        <v>1375</v>
      </c>
      <c r="K2195" t="str">
        <f t="shared" si="306"/>
        <v>5018.6</v>
      </c>
      <c r="N2195" t="str">
        <f t="shared" si="307"/>
        <v>HOLDING REGISTER</v>
      </c>
      <c r="O2195" t="str">
        <f t="shared" si="308"/>
        <v>BOOL</v>
      </c>
      <c r="P2195" t="str">
        <f t="shared" si="309"/>
        <v>TELECAMERA T06S</v>
      </c>
      <c r="R2195" t="str">
        <f t="shared" si="310"/>
        <v>disponibile</v>
      </c>
      <c r="U2195" t="str">
        <f t="shared" si="311"/>
        <v>disponibile</v>
      </c>
      <c r="V2195" t="str">
        <f t="shared" si="312"/>
        <v>DIREZIONE SUD</v>
      </c>
      <c r="W2195" t="str">
        <f t="shared" si="313"/>
        <v>GALLERIA CASOLA</v>
      </c>
      <c r="Z2195" t="str">
        <f t="shared" si="314"/>
        <v>10.220.80.16</v>
      </c>
    </row>
    <row r="2196" spans="1:26" x14ac:dyDescent="0.25">
      <c r="A2196" t="s">
        <v>10</v>
      </c>
      <c r="B2196" t="s">
        <v>1206</v>
      </c>
      <c r="C2196" t="s">
        <v>1618</v>
      </c>
      <c r="D2196" t="s">
        <v>1619</v>
      </c>
      <c r="E2196" t="s">
        <v>1674</v>
      </c>
      <c r="F2196" t="s">
        <v>14</v>
      </c>
      <c r="G2196" t="s">
        <v>1375</v>
      </c>
      <c r="H2196" t="s">
        <v>22</v>
      </c>
      <c r="I2196" t="s">
        <v>3058</v>
      </c>
      <c r="J2196" t="s">
        <v>1375</v>
      </c>
      <c r="K2196" t="str">
        <f t="shared" si="306"/>
        <v>5018.7</v>
      </c>
      <c r="N2196" t="str">
        <f t="shared" si="307"/>
        <v>HOLDING REGISTER</v>
      </c>
      <c r="O2196" t="str">
        <f t="shared" si="308"/>
        <v>BOOL</v>
      </c>
      <c r="P2196" t="str">
        <f t="shared" si="309"/>
        <v>TELECAMERA T06S</v>
      </c>
      <c r="R2196" t="str">
        <f t="shared" si="310"/>
        <v>disponibile</v>
      </c>
      <c r="U2196" t="str">
        <f t="shared" si="311"/>
        <v>disponibile</v>
      </c>
      <c r="V2196" t="str">
        <f t="shared" si="312"/>
        <v>DIREZIONE SUD</v>
      </c>
      <c r="W2196" t="str">
        <f t="shared" si="313"/>
        <v>GALLERIA CASOLA</v>
      </c>
      <c r="Z2196" t="str">
        <f t="shared" si="314"/>
        <v>10.220.80.16</v>
      </c>
    </row>
    <row r="2197" spans="1:26" x14ac:dyDescent="0.25">
      <c r="A2197" t="s">
        <v>10</v>
      </c>
      <c r="B2197" t="s">
        <v>1206</v>
      </c>
      <c r="C2197" t="s">
        <v>1618</v>
      </c>
      <c r="D2197" t="s">
        <v>1619</v>
      </c>
      <c r="E2197" t="s">
        <v>1674</v>
      </c>
      <c r="F2197" t="s">
        <v>14</v>
      </c>
      <c r="G2197" t="s">
        <v>1375</v>
      </c>
      <c r="H2197" t="s">
        <v>22</v>
      </c>
      <c r="I2197" t="s">
        <v>3059</v>
      </c>
      <c r="J2197" t="s">
        <v>1375</v>
      </c>
      <c r="K2197" t="str">
        <f t="shared" si="306"/>
        <v>5018.8</v>
      </c>
      <c r="N2197" t="str">
        <f t="shared" si="307"/>
        <v>HOLDING REGISTER</v>
      </c>
      <c r="O2197" t="str">
        <f t="shared" si="308"/>
        <v>BOOL</v>
      </c>
      <c r="P2197" t="str">
        <f t="shared" si="309"/>
        <v>TELECAMERA T06S</v>
      </c>
      <c r="R2197" t="str">
        <f t="shared" si="310"/>
        <v>disponibile</v>
      </c>
      <c r="U2197" t="str">
        <f t="shared" si="311"/>
        <v>disponibile</v>
      </c>
      <c r="V2197" t="str">
        <f t="shared" si="312"/>
        <v>DIREZIONE SUD</v>
      </c>
      <c r="W2197" t="str">
        <f t="shared" si="313"/>
        <v>GALLERIA CASOLA</v>
      </c>
      <c r="Z2197" t="str">
        <f t="shared" si="314"/>
        <v>10.220.80.16</v>
      </c>
    </row>
    <row r="2198" spans="1:26" x14ac:dyDescent="0.25">
      <c r="A2198" t="s">
        <v>10</v>
      </c>
      <c r="B2198" t="s">
        <v>1206</v>
      </c>
      <c r="C2198" t="s">
        <v>1618</v>
      </c>
      <c r="D2198" t="s">
        <v>1619</v>
      </c>
      <c r="E2198" t="s">
        <v>1674</v>
      </c>
      <c r="F2198" t="s">
        <v>14</v>
      </c>
      <c r="G2198" t="s">
        <v>1375</v>
      </c>
      <c r="H2198" t="s">
        <v>22</v>
      </c>
      <c r="I2198" t="s">
        <v>3060</v>
      </c>
      <c r="J2198" t="s">
        <v>1375</v>
      </c>
      <c r="K2198" t="str">
        <f t="shared" si="306"/>
        <v>5018.9</v>
      </c>
      <c r="N2198" t="str">
        <f t="shared" si="307"/>
        <v>HOLDING REGISTER</v>
      </c>
      <c r="O2198" t="str">
        <f t="shared" si="308"/>
        <v>BOOL</v>
      </c>
      <c r="P2198" t="str">
        <f t="shared" si="309"/>
        <v>TELECAMERA T06S</v>
      </c>
      <c r="R2198" t="str">
        <f t="shared" si="310"/>
        <v>disponibile</v>
      </c>
      <c r="U2198" t="str">
        <f t="shared" si="311"/>
        <v>disponibile</v>
      </c>
      <c r="V2198" t="str">
        <f t="shared" si="312"/>
        <v>DIREZIONE SUD</v>
      </c>
      <c r="W2198" t="str">
        <f t="shared" si="313"/>
        <v>GALLERIA CASOLA</v>
      </c>
      <c r="Z2198" t="str">
        <f t="shared" si="314"/>
        <v>10.220.80.16</v>
      </c>
    </row>
    <row r="2199" spans="1:26" x14ac:dyDescent="0.25">
      <c r="A2199" t="s">
        <v>10</v>
      </c>
      <c r="B2199" t="s">
        <v>1206</v>
      </c>
      <c r="C2199" t="s">
        <v>1618</v>
      </c>
      <c r="D2199" t="s">
        <v>1619</v>
      </c>
      <c r="E2199" t="s">
        <v>1674</v>
      </c>
      <c r="F2199" t="s">
        <v>14</v>
      </c>
      <c r="G2199" t="s">
        <v>1375</v>
      </c>
      <c r="H2199" t="s">
        <v>22</v>
      </c>
      <c r="I2199" t="s">
        <v>3061</v>
      </c>
      <c r="J2199" t="s">
        <v>1375</v>
      </c>
      <c r="K2199" t="str">
        <f t="shared" si="306"/>
        <v>5018.10</v>
      </c>
      <c r="N2199" t="str">
        <f t="shared" si="307"/>
        <v>HOLDING REGISTER</v>
      </c>
      <c r="O2199" t="str">
        <f t="shared" si="308"/>
        <v>BOOL</v>
      </c>
      <c r="P2199" t="str">
        <f t="shared" si="309"/>
        <v>TELECAMERA T06S</v>
      </c>
      <c r="R2199" t="str">
        <f t="shared" si="310"/>
        <v>disponibile</v>
      </c>
      <c r="U2199" t="str">
        <f t="shared" si="311"/>
        <v>disponibile</v>
      </c>
      <c r="V2199" t="str">
        <f t="shared" si="312"/>
        <v>DIREZIONE SUD</v>
      </c>
      <c r="W2199" t="str">
        <f t="shared" si="313"/>
        <v>GALLERIA CASOLA</v>
      </c>
      <c r="Z2199" t="str">
        <f t="shared" si="314"/>
        <v>10.220.80.16</v>
      </c>
    </row>
    <row r="2200" spans="1:26" x14ac:dyDescent="0.25">
      <c r="A2200" t="s">
        <v>10</v>
      </c>
      <c r="B2200" t="s">
        <v>1206</v>
      </c>
      <c r="C2200" t="s">
        <v>1618</v>
      </c>
      <c r="D2200" t="s">
        <v>1619</v>
      </c>
      <c r="E2200" t="s">
        <v>1674</v>
      </c>
      <c r="F2200" t="s">
        <v>14</v>
      </c>
      <c r="G2200" t="s">
        <v>1375</v>
      </c>
      <c r="H2200" t="s">
        <v>22</v>
      </c>
      <c r="I2200" t="s">
        <v>3062</v>
      </c>
      <c r="J2200" t="s">
        <v>1375</v>
      </c>
      <c r="K2200" t="str">
        <f t="shared" si="306"/>
        <v>5018.11</v>
      </c>
      <c r="N2200" t="str">
        <f t="shared" si="307"/>
        <v>HOLDING REGISTER</v>
      </c>
      <c r="O2200" t="str">
        <f t="shared" si="308"/>
        <v>BOOL</v>
      </c>
      <c r="P2200" t="str">
        <f t="shared" si="309"/>
        <v>TELECAMERA T06S</v>
      </c>
      <c r="R2200" t="str">
        <f t="shared" si="310"/>
        <v>disponibile</v>
      </c>
      <c r="U2200" t="str">
        <f t="shared" si="311"/>
        <v>disponibile</v>
      </c>
      <c r="V2200" t="str">
        <f t="shared" si="312"/>
        <v>DIREZIONE SUD</v>
      </c>
      <c r="W2200" t="str">
        <f t="shared" si="313"/>
        <v>GALLERIA CASOLA</v>
      </c>
      <c r="Z2200" t="str">
        <f t="shared" si="314"/>
        <v>10.220.80.16</v>
      </c>
    </row>
    <row r="2201" spans="1:26" x14ac:dyDescent="0.25">
      <c r="A2201" t="s">
        <v>10</v>
      </c>
      <c r="B2201" t="s">
        <v>1206</v>
      </c>
      <c r="C2201" t="s">
        <v>1618</v>
      </c>
      <c r="D2201" t="s">
        <v>1619</v>
      </c>
      <c r="E2201" t="s">
        <v>1674</v>
      </c>
      <c r="F2201" t="s">
        <v>14</v>
      </c>
      <c r="G2201" t="s">
        <v>1375</v>
      </c>
      <c r="H2201" t="s">
        <v>22</v>
      </c>
      <c r="I2201" t="s">
        <v>3063</v>
      </c>
      <c r="J2201" t="s">
        <v>1375</v>
      </c>
      <c r="K2201" t="str">
        <f t="shared" si="306"/>
        <v>5018.12</v>
      </c>
      <c r="N2201" t="str">
        <f t="shared" si="307"/>
        <v>HOLDING REGISTER</v>
      </c>
      <c r="O2201" t="str">
        <f t="shared" si="308"/>
        <v>BOOL</v>
      </c>
      <c r="P2201" t="str">
        <f t="shared" si="309"/>
        <v>TELECAMERA T06S</v>
      </c>
      <c r="R2201" t="str">
        <f t="shared" si="310"/>
        <v>disponibile</v>
      </c>
      <c r="U2201" t="str">
        <f t="shared" si="311"/>
        <v>disponibile</v>
      </c>
      <c r="V2201" t="str">
        <f t="shared" si="312"/>
        <v>DIREZIONE SUD</v>
      </c>
      <c r="W2201" t="str">
        <f t="shared" si="313"/>
        <v>GALLERIA CASOLA</v>
      </c>
      <c r="Z2201" t="str">
        <f t="shared" si="314"/>
        <v>10.220.80.16</v>
      </c>
    </row>
    <row r="2202" spans="1:26" x14ac:dyDescent="0.25">
      <c r="A2202" t="s">
        <v>10</v>
      </c>
      <c r="B2202" t="s">
        <v>1206</v>
      </c>
      <c r="C2202" t="s">
        <v>1618</v>
      </c>
      <c r="D2202" t="s">
        <v>1619</v>
      </c>
      <c r="E2202" t="s">
        <v>1674</v>
      </c>
      <c r="F2202" t="s">
        <v>14</v>
      </c>
      <c r="G2202" t="s">
        <v>1375</v>
      </c>
      <c r="H2202" t="s">
        <v>22</v>
      </c>
      <c r="I2202" t="s">
        <v>3064</v>
      </c>
      <c r="J2202" t="s">
        <v>1375</v>
      </c>
      <c r="K2202" t="str">
        <f t="shared" si="306"/>
        <v>5018.13</v>
      </c>
      <c r="N2202" t="str">
        <f t="shared" si="307"/>
        <v>HOLDING REGISTER</v>
      </c>
      <c r="O2202" t="str">
        <f t="shared" si="308"/>
        <v>BOOL</v>
      </c>
      <c r="P2202" t="str">
        <f t="shared" si="309"/>
        <v>TELECAMERA T06S</v>
      </c>
      <c r="R2202" t="str">
        <f t="shared" si="310"/>
        <v>disponibile</v>
      </c>
      <c r="U2202" t="str">
        <f t="shared" si="311"/>
        <v>disponibile</v>
      </c>
      <c r="V2202" t="str">
        <f t="shared" si="312"/>
        <v>DIREZIONE SUD</v>
      </c>
      <c r="W2202" t="str">
        <f t="shared" si="313"/>
        <v>GALLERIA CASOLA</v>
      </c>
      <c r="Z2202" t="str">
        <f t="shared" si="314"/>
        <v>10.220.80.16</v>
      </c>
    </row>
    <row r="2203" spans="1:26" x14ac:dyDescent="0.25">
      <c r="A2203" t="s">
        <v>10</v>
      </c>
      <c r="B2203" t="s">
        <v>1206</v>
      </c>
      <c r="C2203" t="s">
        <v>1618</v>
      </c>
      <c r="D2203" t="s">
        <v>1619</v>
      </c>
      <c r="E2203" t="s">
        <v>1674</v>
      </c>
      <c r="F2203" t="s">
        <v>14</v>
      </c>
      <c r="G2203" t="s">
        <v>1375</v>
      </c>
      <c r="H2203" t="s">
        <v>22</v>
      </c>
      <c r="I2203" t="s">
        <v>3065</v>
      </c>
      <c r="J2203" t="s">
        <v>1375</v>
      </c>
      <c r="K2203" t="str">
        <f t="shared" si="306"/>
        <v>5018.14</v>
      </c>
      <c r="N2203" t="str">
        <f t="shared" si="307"/>
        <v>HOLDING REGISTER</v>
      </c>
      <c r="O2203" t="str">
        <f t="shared" si="308"/>
        <v>BOOL</v>
      </c>
      <c r="P2203" t="str">
        <f t="shared" si="309"/>
        <v>TELECAMERA T06S</v>
      </c>
      <c r="R2203" t="str">
        <f t="shared" si="310"/>
        <v>disponibile</v>
      </c>
      <c r="U2203" t="str">
        <f t="shared" si="311"/>
        <v>disponibile</v>
      </c>
      <c r="V2203" t="str">
        <f t="shared" si="312"/>
        <v>DIREZIONE SUD</v>
      </c>
      <c r="W2203" t="str">
        <f t="shared" si="313"/>
        <v>GALLERIA CASOLA</v>
      </c>
      <c r="Z2203" t="str">
        <f t="shared" si="314"/>
        <v>10.220.80.16</v>
      </c>
    </row>
    <row r="2204" spans="1:26" x14ac:dyDescent="0.25">
      <c r="A2204" t="s">
        <v>10</v>
      </c>
      <c r="B2204" t="s">
        <v>1206</v>
      </c>
      <c r="C2204" t="s">
        <v>1618</v>
      </c>
      <c r="D2204" t="s">
        <v>1619</v>
      </c>
      <c r="E2204" t="s">
        <v>1674</v>
      </c>
      <c r="F2204" t="s">
        <v>14</v>
      </c>
      <c r="G2204" t="s">
        <v>1375</v>
      </c>
      <c r="H2204" t="s">
        <v>22</v>
      </c>
      <c r="I2204" t="s">
        <v>3066</v>
      </c>
      <c r="J2204" t="s">
        <v>1375</v>
      </c>
      <c r="K2204" t="str">
        <f t="shared" si="306"/>
        <v>5018.15</v>
      </c>
      <c r="N2204" t="str">
        <f t="shared" si="307"/>
        <v>HOLDING REGISTER</v>
      </c>
      <c r="O2204" t="str">
        <f t="shared" si="308"/>
        <v>BOOL</v>
      </c>
      <c r="P2204" t="str">
        <f t="shared" si="309"/>
        <v>TELECAMERA T06S</v>
      </c>
      <c r="R2204" t="str">
        <f t="shared" si="310"/>
        <v>disponibile</v>
      </c>
      <c r="U2204" t="str">
        <f t="shared" si="311"/>
        <v>disponibile</v>
      </c>
      <c r="V2204" t="str">
        <f t="shared" si="312"/>
        <v>DIREZIONE SUD</v>
      </c>
      <c r="W2204" t="str">
        <f t="shared" si="313"/>
        <v>GALLERIA CASOLA</v>
      </c>
      <c r="Z2204" t="str">
        <f t="shared" si="314"/>
        <v>10.220.80.16</v>
      </c>
    </row>
    <row r="2205" spans="1:26" x14ac:dyDescent="0.25">
      <c r="A2205" t="s">
        <v>10</v>
      </c>
      <c r="B2205" t="s">
        <v>1206</v>
      </c>
      <c r="C2205" t="s">
        <v>1618</v>
      </c>
      <c r="D2205" t="s">
        <v>1619</v>
      </c>
      <c r="E2205" t="s">
        <v>3067</v>
      </c>
      <c r="F2205" t="s">
        <v>14</v>
      </c>
      <c r="G2205" t="s">
        <v>21</v>
      </c>
      <c r="H2205" t="s">
        <v>22</v>
      </c>
      <c r="I2205" t="s">
        <v>3068</v>
      </c>
      <c r="J2205" t="s">
        <v>1622</v>
      </c>
      <c r="K2205" t="str">
        <f t="shared" si="306"/>
        <v>5019.0</v>
      </c>
      <c r="N2205" t="str">
        <f t="shared" si="307"/>
        <v>HOLDING REGISTER</v>
      </c>
      <c r="O2205" t="str">
        <f t="shared" si="308"/>
        <v>BOOL</v>
      </c>
      <c r="P2205" t="str">
        <f t="shared" si="309"/>
        <v>TELECAMERA T09S</v>
      </c>
      <c r="R2205" t="str">
        <f t="shared" si="310"/>
        <v>ALLARMI TELECAMERA ESCLUSI</v>
      </c>
      <c r="U2205" t="str">
        <f t="shared" si="311"/>
        <v>Stato</v>
      </c>
      <c r="V2205" t="str">
        <f t="shared" si="312"/>
        <v>DIREZIONE SUD</v>
      </c>
      <c r="W2205" t="str">
        <f t="shared" si="313"/>
        <v>GALLERIA CASOLA</v>
      </c>
      <c r="Z2205" t="str">
        <f t="shared" si="314"/>
        <v>10.220.80.16</v>
      </c>
    </row>
    <row r="2206" spans="1:26" x14ac:dyDescent="0.25">
      <c r="A2206" t="s">
        <v>10</v>
      </c>
      <c r="B2206" t="s">
        <v>1206</v>
      </c>
      <c r="C2206" t="s">
        <v>1618</v>
      </c>
      <c r="D2206" t="s">
        <v>1619</v>
      </c>
      <c r="E2206" t="s">
        <v>3067</v>
      </c>
      <c r="F2206" t="s">
        <v>14</v>
      </c>
      <c r="G2206" t="s">
        <v>21</v>
      </c>
      <c r="H2206" t="s">
        <v>22</v>
      </c>
      <c r="I2206" t="s">
        <v>3069</v>
      </c>
      <c r="J2206" t="s">
        <v>1624</v>
      </c>
      <c r="K2206" t="str">
        <f t="shared" si="306"/>
        <v>5019.1</v>
      </c>
      <c r="N2206" t="str">
        <f t="shared" si="307"/>
        <v>HOLDING REGISTER</v>
      </c>
      <c r="O2206" t="str">
        <f t="shared" si="308"/>
        <v>BOOL</v>
      </c>
      <c r="P2206" t="str">
        <f t="shared" si="309"/>
        <v>TELECAMERA T09S</v>
      </c>
      <c r="R2206" t="str">
        <f t="shared" si="310"/>
        <v>IN MANUTENZIONE ALLARME FUMO</v>
      </c>
      <c r="U2206" t="str">
        <f t="shared" si="311"/>
        <v>Stato</v>
      </c>
      <c r="V2206" t="str">
        <f t="shared" si="312"/>
        <v>DIREZIONE SUD</v>
      </c>
      <c r="W2206" t="str">
        <f t="shared" si="313"/>
        <v>GALLERIA CASOLA</v>
      </c>
      <c r="Z2206" t="str">
        <f t="shared" si="314"/>
        <v>10.220.80.16</v>
      </c>
    </row>
    <row r="2207" spans="1:26" x14ac:dyDescent="0.25">
      <c r="A2207" t="s">
        <v>10</v>
      </c>
      <c r="B2207" t="s">
        <v>1206</v>
      </c>
      <c r="C2207" t="s">
        <v>1618</v>
      </c>
      <c r="D2207" t="s">
        <v>1619</v>
      </c>
      <c r="E2207" t="s">
        <v>3067</v>
      </c>
      <c r="F2207" t="s">
        <v>14</v>
      </c>
      <c r="G2207" t="s">
        <v>21</v>
      </c>
      <c r="H2207" t="s">
        <v>22</v>
      </c>
      <c r="I2207" t="s">
        <v>3070</v>
      </c>
      <c r="J2207" t="s">
        <v>1626</v>
      </c>
      <c r="K2207" t="str">
        <f t="shared" si="306"/>
        <v>5019.2</v>
      </c>
      <c r="N2207" t="str">
        <f t="shared" si="307"/>
        <v>HOLDING REGISTER</v>
      </c>
      <c r="O2207" t="str">
        <f t="shared" si="308"/>
        <v>BOOL</v>
      </c>
      <c r="P2207" t="str">
        <f t="shared" si="309"/>
        <v>TELECAMERA T09S</v>
      </c>
      <c r="R2207" t="str">
        <f t="shared" si="310"/>
        <v>IN MANUTENZIONE ALLARMI TRAFFICO</v>
      </c>
      <c r="U2207" t="str">
        <f t="shared" si="311"/>
        <v>Stato</v>
      </c>
      <c r="V2207" t="str">
        <f t="shared" si="312"/>
        <v>DIREZIONE SUD</v>
      </c>
      <c r="W2207" t="str">
        <f t="shared" si="313"/>
        <v>GALLERIA CASOLA</v>
      </c>
      <c r="Z2207" t="str">
        <f t="shared" si="314"/>
        <v>10.220.80.16</v>
      </c>
    </row>
    <row r="2208" spans="1:26" x14ac:dyDescent="0.25">
      <c r="A2208" t="s">
        <v>10</v>
      </c>
      <c r="B2208" t="s">
        <v>1206</v>
      </c>
      <c r="C2208" t="s">
        <v>1618</v>
      </c>
      <c r="D2208" t="s">
        <v>1619</v>
      </c>
      <c r="E2208" t="s">
        <v>3067</v>
      </c>
      <c r="F2208" t="s">
        <v>14</v>
      </c>
      <c r="G2208" t="s">
        <v>1375</v>
      </c>
      <c r="H2208" t="s">
        <v>22</v>
      </c>
      <c r="I2208" t="s">
        <v>3071</v>
      </c>
      <c r="J2208" t="s">
        <v>1375</v>
      </c>
      <c r="K2208" t="str">
        <f t="shared" si="306"/>
        <v>5019.3</v>
      </c>
      <c r="N2208" t="str">
        <f t="shared" si="307"/>
        <v>HOLDING REGISTER</v>
      </c>
      <c r="O2208" t="str">
        <f t="shared" si="308"/>
        <v>BOOL</v>
      </c>
      <c r="P2208" t="str">
        <f t="shared" si="309"/>
        <v>TELECAMERA T09S</v>
      </c>
      <c r="R2208" t="str">
        <f t="shared" si="310"/>
        <v>disponibile</v>
      </c>
      <c r="U2208" t="str">
        <f t="shared" si="311"/>
        <v>disponibile</v>
      </c>
      <c r="V2208" t="str">
        <f t="shared" si="312"/>
        <v>DIREZIONE SUD</v>
      </c>
      <c r="W2208" t="str">
        <f t="shared" si="313"/>
        <v>GALLERIA CASOLA</v>
      </c>
      <c r="Z2208" t="str">
        <f t="shared" si="314"/>
        <v>10.220.80.16</v>
      </c>
    </row>
    <row r="2209" spans="1:26" x14ac:dyDescent="0.25">
      <c r="A2209" t="s">
        <v>10</v>
      </c>
      <c r="B2209" t="s">
        <v>1206</v>
      </c>
      <c r="C2209" t="s">
        <v>1618</v>
      </c>
      <c r="D2209" t="s">
        <v>1619</v>
      </c>
      <c r="E2209" t="s">
        <v>3067</v>
      </c>
      <c r="F2209" t="s">
        <v>14</v>
      </c>
      <c r="G2209" t="s">
        <v>1375</v>
      </c>
      <c r="H2209" t="s">
        <v>22</v>
      </c>
      <c r="I2209" t="s">
        <v>3072</v>
      </c>
      <c r="J2209" t="s">
        <v>1375</v>
      </c>
      <c r="K2209" t="str">
        <f t="shared" si="306"/>
        <v>5019.4</v>
      </c>
      <c r="N2209" t="str">
        <f t="shared" si="307"/>
        <v>HOLDING REGISTER</v>
      </c>
      <c r="O2209" t="str">
        <f t="shared" si="308"/>
        <v>BOOL</v>
      </c>
      <c r="P2209" t="str">
        <f t="shared" si="309"/>
        <v>TELECAMERA T09S</v>
      </c>
      <c r="R2209" t="str">
        <f t="shared" si="310"/>
        <v>disponibile</v>
      </c>
      <c r="U2209" t="str">
        <f t="shared" si="311"/>
        <v>disponibile</v>
      </c>
      <c r="V2209" t="str">
        <f t="shared" si="312"/>
        <v>DIREZIONE SUD</v>
      </c>
      <c r="W2209" t="str">
        <f t="shared" si="313"/>
        <v>GALLERIA CASOLA</v>
      </c>
      <c r="Z2209" t="str">
        <f t="shared" si="314"/>
        <v>10.220.80.16</v>
      </c>
    </row>
    <row r="2210" spans="1:26" x14ac:dyDescent="0.25">
      <c r="A2210" t="s">
        <v>10</v>
      </c>
      <c r="B2210" t="s">
        <v>1206</v>
      </c>
      <c r="C2210" t="s">
        <v>1618</v>
      </c>
      <c r="D2210" t="s">
        <v>1619</v>
      </c>
      <c r="E2210" t="s">
        <v>3067</v>
      </c>
      <c r="F2210" t="s">
        <v>14</v>
      </c>
      <c r="G2210" t="s">
        <v>1375</v>
      </c>
      <c r="H2210" t="s">
        <v>22</v>
      </c>
      <c r="I2210" t="s">
        <v>3073</v>
      </c>
      <c r="J2210" t="s">
        <v>1375</v>
      </c>
      <c r="K2210" t="str">
        <f t="shared" si="306"/>
        <v>5019.5</v>
      </c>
      <c r="N2210" t="str">
        <f t="shared" si="307"/>
        <v>HOLDING REGISTER</v>
      </c>
      <c r="O2210" t="str">
        <f t="shared" si="308"/>
        <v>BOOL</v>
      </c>
      <c r="P2210" t="str">
        <f t="shared" si="309"/>
        <v>TELECAMERA T09S</v>
      </c>
      <c r="R2210" t="str">
        <f t="shared" si="310"/>
        <v>disponibile</v>
      </c>
      <c r="U2210" t="str">
        <f t="shared" si="311"/>
        <v>disponibile</v>
      </c>
      <c r="V2210" t="str">
        <f t="shared" si="312"/>
        <v>DIREZIONE SUD</v>
      </c>
      <c r="W2210" t="str">
        <f t="shared" si="313"/>
        <v>GALLERIA CASOLA</v>
      </c>
      <c r="Z2210" t="str">
        <f t="shared" si="314"/>
        <v>10.220.80.16</v>
      </c>
    </row>
    <row r="2211" spans="1:26" x14ac:dyDescent="0.25">
      <c r="A2211" t="s">
        <v>10</v>
      </c>
      <c r="B2211" t="s">
        <v>1206</v>
      </c>
      <c r="C2211" t="s">
        <v>1618</v>
      </c>
      <c r="D2211" t="s">
        <v>1619</v>
      </c>
      <c r="E2211" t="s">
        <v>3067</v>
      </c>
      <c r="F2211" t="s">
        <v>14</v>
      </c>
      <c r="G2211" t="s">
        <v>1375</v>
      </c>
      <c r="H2211" t="s">
        <v>22</v>
      </c>
      <c r="I2211" t="s">
        <v>3074</v>
      </c>
      <c r="J2211" t="s">
        <v>1375</v>
      </c>
      <c r="K2211" t="str">
        <f t="shared" si="306"/>
        <v>5019.6</v>
      </c>
      <c r="N2211" t="str">
        <f t="shared" si="307"/>
        <v>HOLDING REGISTER</v>
      </c>
      <c r="O2211" t="str">
        <f t="shared" si="308"/>
        <v>BOOL</v>
      </c>
      <c r="P2211" t="str">
        <f t="shared" si="309"/>
        <v>TELECAMERA T09S</v>
      </c>
      <c r="R2211" t="str">
        <f t="shared" si="310"/>
        <v>disponibile</v>
      </c>
      <c r="U2211" t="str">
        <f t="shared" si="311"/>
        <v>disponibile</v>
      </c>
      <c r="V2211" t="str">
        <f t="shared" si="312"/>
        <v>DIREZIONE SUD</v>
      </c>
      <c r="W2211" t="str">
        <f t="shared" si="313"/>
        <v>GALLERIA CASOLA</v>
      </c>
      <c r="Z2211" t="str">
        <f t="shared" si="314"/>
        <v>10.220.80.16</v>
      </c>
    </row>
    <row r="2212" spans="1:26" x14ac:dyDescent="0.25">
      <c r="A2212" t="s">
        <v>10</v>
      </c>
      <c r="B2212" t="s">
        <v>1206</v>
      </c>
      <c r="C2212" t="s">
        <v>1618</v>
      </c>
      <c r="D2212" t="s">
        <v>1619</v>
      </c>
      <c r="E2212" t="s">
        <v>3067</v>
      </c>
      <c r="F2212" t="s">
        <v>14</v>
      </c>
      <c r="G2212" t="s">
        <v>1375</v>
      </c>
      <c r="H2212" t="s">
        <v>22</v>
      </c>
      <c r="I2212" t="s">
        <v>3075</v>
      </c>
      <c r="J2212" t="s">
        <v>1375</v>
      </c>
      <c r="K2212" t="str">
        <f t="shared" si="306"/>
        <v>5019.7</v>
      </c>
      <c r="N2212" t="str">
        <f t="shared" si="307"/>
        <v>HOLDING REGISTER</v>
      </c>
      <c r="O2212" t="str">
        <f t="shared" si="308"/>
        <v>BOOL</v>
      </c>
      <c r="P2212" t="str">
        <f t="shared" si="309"/>
        <v>TELECAMERA T09S</v>
      </c>
      <c r="R2212" t="str">
        <f t="shared" si="310"/>
        <v>disponibile</v>
      </c>
      <c r="U2212" t="str">
        <f t="shared" si="311"/>
        <v>disponibile</v>
      </c>
      <c r="V2212" t="str">
        <f t="shared" si="312"/>
        <v>DIREZIONE SUD</v>
      </c>
      <c r="W2212" t="str">
        <f t="shared" si="313"/>
        <v>GALLERIA CASOLA</v>
      </c>
      <c r="Z2212" t="str">
        <f t="shared" si="314"/>
        <v>10.220.80.16</v>
      </c>
    </row>
    <row r="2213" spans="1:26" x14ac:dyDescent="0.25">
      <c r="A2213" t="s">
        <v>10</v>
      </c>
      <c r="B2213" t="s">
        <v>1206</v>
      </c>
      <c r="C2213" t="s">
        <v>1618</v>
      </c>
      <c r="D2213" t="s">
        <v>1619</v>
      </c>
      <c r="E2213" t="s">
        <v>3067</v>
      </c>
      <c r="F2213" t="s">
        <v>14</v>
      </c>
      <c r="G2213" t="s">
        <v>1375</v>
      </c>
      <c r="H2213" t="s">
        <v>22</v>
      </c>
      <c r="I2213" t="s">
        <v>3076</v>
      </c>
      <c r="J2213" t="s">
        <v>1375</v>
      </c>
      <c r="K2213" t="str">
        <f t="shared" si="306"/>
        <v>5019.8</v>
      </c>
      <c r="N2213" t="str">
        <f t="shared" si="307"/>
        <v>HOLDING REGISTER</v>
      </c>
      <c r="O2213" t="str">
        <f t="shared" si="308"/>
        <v>BOOL</v>
      </c>
      <c r="P2213" t="str">
        <f t="shared" si="309"/>
        <v>TELECAMERA T09S</v>
      </c>
      <c r="R2213" t="str">
        <f t="shared" si="310"/>
        <v>disponibile</v>
      </c>
      <c r="U2213" t="str">
        <f t="shared" si="311"/>
        <v>disponibile</v>
      </c>
      <c r="V2213" t="str">
        <f t="shared" si="312"/>
        <v>DIREZIONE SUD</v>
      </c>
      <c r="W2213" t="str">
        <f t="shared" si="313"/>
        <v>GALLERIA CASOLA</v>
      </c>
      <c r="Z2213" t="str">
        <f t="shared" si="314"/>
        <v>10.220.80.16</v>
      </c>
    </row>
    <row r="2214" spans="1:26" x14ac:dyDescent="0.25">
      <c r="A2214" t="s">
        <v>10</v>
      </c>
      <c r="B2214" t="s">
        <v>1206</v>
      </c>
      <c r="C2214" t="s">
        <v>1618</v>
      </c>
      <c r="D2214" t="s">
        <v>1619</v>
      </c>
      <c r="E2214" t="s">
        <v>3067</v>
      </c>
      <c r="F2214" t="s">
        <v>14</v>
      </c>
      <c r="G2214" t="s">
        <v>1375</v>
      </c>
      <c r="H2214" t="s">
        <v>22</v>
      </c>
      <c r="I2214" t="s">
        <v>3077</v>
      </c>
      <c r="J2214" t="s">
        <v>1375</v>
      </c>
      <c r="K2214" t="str">
        <f t="shared" si="306"/>
        <v>5019.9</v>
      </c>
      <c r="N2214" t="str">
        <f t="shared" si="307"/>
        <v>HOLDING REGISTER</v>
      </c>
      <c r="O2214" t="str">
        <f t="shared" si="308"/>
        <v>BOOL</v>
      </c>
      <c r="P2214" t="str">
        <f t="shared" si="309"/>
        <v>TELECAMERA T09S</v>
      </c>
      <c r="R2214" t="str">
        <f t="shared" si="310"/>
        <v>disponibile</v>
      </c>
      <c r="U2214" t="str">
        <f t="shared" si="311"/>
        <v>disponibile</v>
      </c>
      <c r="V2214" t="str">
        <f t="shared" si="312"/>
        <v>DIREZIONE SUD</v>
      </c>
      <c r="W2214" t="str">
        <f t="shared" si="313"/>
        <v>GALLERIA CASOLA</v>
      </c>
      <c r="Z2214" t="str">
        <f t="shared" si="314"/>
        <v>10.220.80.16</v>
      </c>
    </row>
    <row r="2215" spans="1:26" x14ac:dyDescent="0.25">
      <c r="A2215" t="s">
        <v>10</v>
      </c>
      <c r="B2215" t="s">
        <v>1206</v>
      </c>
      <c r="C2215" t="s">
        <v>1618</v>
      </c>
      <c r="D2215" t="s">
        <v>1619</v>
      </c>
      <c r="E2215" t="s">
        <v>3067</v>
      </c>
      <c r="F2215" t="s">
        <v>14</v>
      </c>
      <c r="G2215" t="s">
        <v>1375</v>
      </c>
      <c r="H2215" t="s">
        <v>22</v>
      </c>
      <c r="I2215" t="s">
        <v>3078</v>
      </c>
      <c r="J2215" t="s">
        <v>1375</v>
      </c>
      <c r="K2215" t="str">
        <f t="shared" si="306"/>
        <v>5019.10</v>
      </c>
      <c r="N2215" t="str">
        <f t="shared" si="307"/>
        <v>HOLDING REGISTER</v>
      </c>
      <c r="O2215" t="str">
        <f t="shared" si="308"/>
        <v>BOOL</v>
      </c>
      <c r="P2215" t="str">
        <f t="shared" si="309"/>
        <v>TELECAMERA T09S</v>
      </c>
      <c r="R2215" t="str">
        <f t="shared" si="310"/>
        <v>disponibile</v>
      </c>
      <c r="U2215" t="str">
        <f t="shared" si="311"/>
        <v>disponibile</v>
      </c>
      <c r="V2215" t="str">
        <f t="shared" si="312"/>
        <v>DIREZIONE SUD</v>
      </c>
      <c r="W2215" t="str">
        <f t="shared" si="313"/>
        <v>GALLERIA CASOLA</v>
      </c>
      <c r="Z2215" t="str">
        <f t="shared" si="314"/>
        <v>10.220.80.16</v>
      </c>
    </row>
    <row r="2216" spans="1:26" x14ac:dyDescent="0.25">
      <c r="A2216" t="s">
        <v>10</v>
      </c>
      <c r="B2216" t="s">
        <v>1206</v>
      </c>
      <c r="C2216" t="s">
        <v>1618</v>
      </c>
      <c r="D2216" t="s">
        <v>1619</v>
      </c>
      <c r="E2216" t="s">
        <v>3067</v>
      </c>
      <c r="F2216" t="s">
        <v>14</v>
      </c>
      <c r="G2216" t="s">
        <v>1375</v>
      </c>
      <c r="H2216" t="s">
        <v>22</v>
      </c>
      <c r="I2216" t="s">
        <v>3079</v>
      </c>
      <c r="J2216" t="s">
        <v>1375</v>
      </c>
      <c r="K2216" t="str">
        <f t="shared" si="306"/>
        <v>5019.11</v>
      </c>
      <c r="N2216" t="str">
        <f t="shared" si="307"/>
        <v>HOLDING REGISTER</v>
      </c>
      <c r="O2216" t="str">
        <f t="shared" si="308"/>
        <v>BOOL</v>
      </c>
      <c r="P2216" t="str">
        <f t="shared" si="309"/>
        <v>TELECAMERA T09S</v>
      </c>
      <c r="R2216" t="str">
        <f t="shared" si="310"/>
        <v>disponibile</v>
      </c>
      <c r="U2216" t="str">
        <f t="shared" si="311"/>
        <v>disponibile</v>
      </c>
      <c r="V2216" t="str">
        <f t="shared" si="312"/>
        <v>DIREZIONE SUD</v>
      </c>
      <c r="W2216" t="str">
        <f t="shared" si="313"/>
        <v>GALLERIA CASOLA</v>
      </c>
      <c r="Z2216" t="str">
        <f t="shared" si="314"/>
        <v>10.220.80.16</v>
      </c>
    </row>
    <row r="2217" spans="1:26" x14ac:dyDescent="0.25">
      <c r="A2217" t="s">
        <v>10</v>
      </c>
      <c r="B2217" t="s">
        <v>1206</v>
      </c>
      <c r="C2217" t="s">
        <v>1618</v>
      </c>
      <c r="D2217" t="s">
        <v>1619</v>
      </c>
      <c r="E2217" t="s">
        <v>3067</v>
      </c>
      <c r="F2217" t="s">
        <v>14</v>
      </c>
      <c r="G2217" t="s">
        <v>1375</v>
      </c>
      <c r="H2217" t="s">
        <v>22</v>
      </c>
      <c r="I2217" t="s">
        <v>3080</v>
      </c>
      <c r="J2217" t="s">
        <v>1375</v>
      </c>
      <c r="K2217" t="str">
        <f t="shared" si="306"/>
        <v>5019.12</v>
      </c>
      <c r="N2217" t="str">
        <f t="shared" si="307"/>
        <v>HOLDING REGISTER</v>
      </c>
      <c r="O2217" t="str">
        <f t="shared" si="308"/>
        <v>BOOL</v>
      </c>
      <c r="P2217" t="str">
        <f t="shared" si="309"/>
        <v>TELECAMERA T09S</v>
      </c>
      <c r="R2217" t="str">
        <f t="shared" si="310"/>
        <v>disponibile</v>
      </c>
      <c r="U2217" t="str">
        <f t="shared" si="311"/>
        <v>disponibile</v>
      </c>
      <c r="V2217" t="str">
        <f t="shared" si="312"/>
        <v>DIREZIONE SUD</v>
      </c>
      <c r="W2217" t="str">
        <f t="shared" si="313"/>
        <v>GALLERIA CASOLA</v>
      </c>
      <c r="Z2217" t="str">
        <f t="shared" si="314"/>
        <v>10.220.80.16</v>
      </c>
    </row>
    <row r="2218" spans="1:26" x14ac:dyDescent="0.25">
      <c r="A2218" t="s">
        <v>10</v>
      </c>
      <c r="B2218" t="s">
        <v>1206</v>
      </c>
      <c r="C2218" t="s">
        <v>1618</v>
      </c>
      <c r="D2218" t="s">
        <v>1619</v>
      </c>
      <c r="E2218" t="s">
        <v>3067</v>
      </c>
      <c r="F2218" t="s">
        <v>14</v>
      </c>
      <c r="G2218" t="s">
        <v>1375</v>
      </c>
      <c r="H2218" t="s">
        <v>22</v>
      </c>
      <c r="I2218" t="s">
        <v>3081</v>
      </c>
      <c r="J2218" t="s">
        <v>1375</v>
      </c>
      <c r="K2218" t="str">
        <f t="shared" si="306"/>
        <v>5019.13</v>
      </c>
      <c r="N2218" t="str">
        <f t="shared" si="307"/>
        <v>HOLDING REGISTER</v>
      </c>
      <c r="O2218" t="str">
        <f t="shared" si="308"/>
        <v>BOOL</v>
      </c>
      <c r="P2218" t="str">
        <f t="shared" si="309"/>
        <v>TELECAMERA T09S</v>
      </c>
      <c r="R2218" t="str">
        <f t="shared" si="310"/>
        <v>disponibile</v>
      </c>
      <c r="U2218" t="str">
        <f t="shared" si="311"/>
        <v>disponibile</v>
      </c>
      <c r="V2218" t="str">
        <f t="shared" si="312"/>
        <v>DIREZIONE SUD</v>
      </c>
      <c r="W2218" t="str">
        <f t="shared" si="313"/>
        <v>GALLERIA CASOLA</v>
      </c>
      <c r="Z2218" t="str">
        <f t="shared" si="314"/>
        <v>10.220.80.16</v>
      </c>
    </row>
    <row r="2219" spans="1:26" x14ac:dyDescent="0.25">
      <c r="A2219" t="s">
        <v>10</v>
      </c>
      <c r="B2219" t="s">
        <v>1206</v>
      </c>
      <c r="C2219" t="s">
        <v>1618</v>
      </c>
      <c r="D2219" t="s">
        <v>1619</v>
      </c>
      <c r="E2219" t="s">
        <v>3067</v>
      </c>
      <c r="F2219" t="s">
        <v>14</v>
      </c>
      <c r="G2219" t="s">
        <v>1375</v>
      </c>
      <c r="H2219" t="s">
        <v>22</v>
      </c>
      <c r="I2219" t="s">
        <v>3082</v>
      </c>
      <c r="J2219" t="s">
        <v>1375</v>
      </c>
      <c r="K2219" t="str">
        <f t="shared" si="306"/>
        <v>5019.14</v>
      </c>
      <c r="N2219" t="str">
        <f t="shared" si="307"/>
        <v>HOLDING REGISTER</v>
      </c>
      <c r="O2219" t="str">
        <f t="shared" si="308"/>
        <v>BOOL</v>
      </c>
      <c r="P2219" t="str">
        <f t="shared" si="309"/>
        <v>TELECAMERA T09S</v>
      </c>
      <c r="R2219" t="str">
        <f t="shared" si="310"/>
        <v>disponibile</v>
      </c>
      <c r="U2219" t="str">
        <f t="shared" si="311"/>
        <v>disponibile</v>
      </c>
      <c r="V2219" t="str">
        <f t="shared" si="312"/>
        <v>DIREZIONE SUD</v>
      </c>
      <c r="W2219" t="str">
        <f t="shared" si="313"/>
        <v>GALLERIA CASOLA</v>
      </c>
      <c r="Z2219" t="str">
        <f t="shared" si="314"/>
        <v>10.220.80.16</v>
      </c>
    </row>
    <row r="2220" spans="1:26" x14ac:dyDescent="0.25">
      <c r="A2220" t="s">
        <v>10</v>
      </c>
      <c r="B2220" t="s">
        <v>1206</v>
      </c>
      <c r="C2220" t="s">
        <v>1618</v>
      </c>
      <c r="D2220" t="s">
        <v>1619</v>
      </c>
      <c r="E2220" t="s">
        <v>3067</v>
      </c>
      <c r="F2220" t="s">
        <v>14</v>
      </c>
      <c r="G2220" t="s">
        <v>1375</v>
      </c>
      <c r="H2220" t="s">
        <v>22</v>
      </c>
      <c r="I2220" t="s">
        <v>3083</v>
      </c>
      <c r="J2220" t="s">
        <v>1375</v>
      </c>
      <c r="K2220" t="str">
        <f t="shared" si="306"/>
        <v>5019.15</v>
      </c>
      <c r="N2220" t="str">
        <f t="shared" si="307"/>
        <v>HOLDING REGISTER</v>
      </c>
      <c r="O2220" t="str">
        <f t="shared" si="308"/>
        <v>BOOL</v>
      </c>
      <c r="P2220" t="str">
        <f t="shared" si="309"/>
        <v>TELECAMERA T09S</v>
      </c>
      <c r="R2220" t="str">
        <f t="shared" si="310"/>
        <v>disponibile</v>
      </c>
      <c r="U2220" t="str">
        <f t="shared" si="311"/>
        <v>disponibile</v>
      </c>
      <c r="V2220" t="str">
        <f t="shared" si="312"/>
        <v>DIREZIONE SUD</v>
      </c>
      <c r="W2220" t="str">
        <f t="shared" si="313"/>
        <v>GALLERIA CASOLA</v>
      </c>
      <c r="Z2220" t="str">
        <f t="shared" si="314"/>
        <v>10.220.80.16</v>
      </c>
    </row>
    <row r="2221" spans="1:26" x14ac:dyDescent="0.25">
      <c r="A2221" t="s">
        <v>10</v>
      </c>
      <c r="B2221" t="s">
        <v>1206</v>
      </c>
      <c r="C2221" t="s">
        <v>1618</v>
      </c>
      <c r="D2221" t="s">
        <v>1619</v>
      </c>
      <c r="E2221" t="s">
        <v>1708</v>
      </c>
      <c r="F2221" t="s">
        <v>14</v>
      </c>
      <c r="G2221" t="s">
        <v>21</v>
      </c>
      <c r="H2221" t="s">
        <v>22</v>
      </c>
      <c r="I2221" t="s">
        <v>3084</v>
      </c>
      <c r="J2221" t="s">
        <v>1622</v>
      </c>
      <c r="K2221" t="str">
        <f t="shared" si="306"/>
        <v>5020.0</v>
      </c>
      <c r="N2221" t="str">
        <f t="shared" si="307"/>
        <v>HOLDING REGISTER</v>
      </c>
      <c r="O2221" t="str">
        <f t="shared" si="308"/>
        <v>BOOL</v>
      </c>
      <c r="P2221" t="str">
        <f t="shared" si="309"/>
        <v>TELECAMERA T10S</v>
      </c>
      <c r="R2221" t="str">
        <f t="shared" si="310"/>
        <v>ALLARMI TELECAMERA ESCLUSI</v>
      </c>
      <c r="U2221" t="str">
        <f t="shared" si="311"/>
        <v>Stato</v>
      </c>
      <c r="V2221" t="str">
        <f t="shared" si="312"/>
        <v>DIREZIONE SUD</v>
      </c>
      <c r="W2221" t="str">
        <f t="shared" si="313"/>
        <v>GALLERIA CASOLA</v>
      </c>
      <c r="Z2221" t="str">
        <f t="shared" si="314"/>
        <v>10.220.80.16</v>
      </c>
    </row>
    <row r="2222" spans="1:26" x14ac:dyDescent="0.25">
      <c r="A2222" t="s">
        <v>10</v>
      </c>
      <c r="B2222" t="s">
        <v>1206</v>
      </c>
      <c r="C2222" t="s">
        <v>1618</v>
      </c>
      <c r="D2222" t="s">
        <v>1619</v>
      </c>
      <c r="E2222" t="s">
        <v>1708</v>
      </c>
      <c r="F2222" t="s">
        <v>14</v>
      </c>
      <c r="G2222" t="s">
        <v>21</v>
      </c>
      <c r="H2222" t="s">
        <v>22</v>
      </c>
      <c r="I2222" t="s">
        <v>3085</v>
      </c>
      <c r="J2222" t="s">
        <v>1624</v>
      </c>
      <c r="K2222" t="str">
        <f t="shared" si="306"/>
        <v>5020.1</v>
      </c>
      <c r="N2222" t="str">
        <f t="shared" si="307"/>
        <v>HOLDING REGISTER</v>
      </c>
      <c r="O2222" t="str">
        <f t="shared" si="308"/>
        <v>BOOL</v>
      </c>
      <c r="P2222" t="str">
        <f t="shared" si="309"/>
        <v>TELECAMERA T10S</v>
      </c>
      <c r="R2222" t="str">
        <f t="shared" si="310"/>
        <v>IN MANUTENZIONE ALLARME FUMO</v>
      </c>
      <c r="U2222" t="str">
        <f t="shared" si="311"/>
        <v>Stato</v>
      </c>
      <c r="V2222" t="str">
        <f t="shared" si="312"/>
        <v>DIREZIONE SUD</v>
      </c>
      <c r="W2222" t="str">
        <f t="shared" si="313"/>
        <v>GALLERIA CASOLA</v>
      </c>
      <c r="Z2222" t="str">
        <f t="shared" si="314"/>
        <v>10.220.80.16</v>
      </c>
    </row>
    <row r="2223" spans="1:26" x14ac:dyDescent="0.25">
      <c r="A2223" t="s">
        <v>10</v>
      </c>
      <c r="B2223" t="s">
        <v>1206</v>
      </c>
      <c r="C2223" t="s">
        <v>1618</v>
      </c>
      <c r="D2223" t="s">
        <v>1619</v>
      </c>
      <c r="E2223" t="s">
        <v>1708</v>
      </c>
      <c r="F2223" t="s">
        <v>14</v>
      </c>
      <c r="G2223" t="s">
        <v>21</v>
      </c>
      <c r="H2223" t="s">
        <v>22</v>
      </c>
      <c r="I2223" t="s">
        <v>3086</v>
      </c>
      <c r="J2223" t="s">
        <v>1626</v>
      </c>
      <c r="K2223" t="str">
        <f t="shared" si="306"/>
        <v>5020.2</v>
      </c>
      <c r="N2223" t="str">
        <f t="shared" si="307"/>
        <v>HOLDING REGISTER</v>
      </c>
      <c r="O2223" t="str">
        <f t="shared" si="308"/>
        <v>BOOL</v>
      </c>
      <c r="P2223" t="str">
        <f t="shared" si="309"/>
        <v>TELECAMERA T10S</v>
      </c>
      <c r="R2223" t="str">
        <f t="shared" si="310"/>
        <v>IN MANUTENZIONE ALLARMI TRAFFICO</v>
      </c>
      <c r="U2223" t="str">
        <f t="shared" si="311"/>
        <v>Stato</v>
      </c>
      <c r="V2223" t="str">
        <f t="shared" si="312"/>
        <v>DIREZIONE SUD</v>
      </c>
      <c r="W2223" t="str">
        <f t="shared" si="313"/>
        <v>GALLERIA CASOLA</v>
      </c>
      <c r="Z2223" t="str">
        <f t="shared" si="314"/>
        <v>10.220.80.16</v>
      </c>
    </row>
    <row r="2224" spans="1:26" x14ac:dyDescent="0.25">
      <c r="A2224" t="s">
        <v>10</v>
      </c>
      <c r="B2224" t="s">
        <v>1206</v>
      </c>
      <c r="C2224" t="s">
        <v>1618</v>
      </c>
      <c r="D2224" t="s">
        <v>1619</v>
      </c>
      <c r="E2224" t="s">
        <v>1708</v>
      </c>
      <c r="F2224" t="s">
        <v>14</v>
      </c>
      <c r="G2224" t="s">
        <v>1375</v>
      </c>
      <c r="H2224" t="s">
        <v>22</v>
      </c>
      <c r="I2224" t="s">
        <v>3087</v>
      </c>
      <c r="J2224" t="s">
        <v>1375</v>
      </c>
      <c r="K2224" t="str">
        <f t="shared" si="306"/>
        <v>5020.3</v>
      </c>
      <c r="N2224" t="str">
        <f t="shared" si="307"/>
        <v>HOLDING REGISTER</v>
      </c>
      <c r="O2224" t="str">
        <f t="shared" si="308"/>
        <v>BOOL</v>
      </c>
      <c r="P2224" t="str">
        <f t="shared" si="309"/>
        <v>TELECAMERA T10S</v>
      </c>
      <c r="R2224" t="str">
        <f t="shared" si="310"/>
        <v>disponibile</v>
      </c>
      <c r="U2224" t="str">
        <f t="shared" si="311"/>
        <v>disponibile</v>
      </c>
      <c r="V2224" t="str">
        <f t="shared" si="312"/>
        <v>DIREZIONE SUD</v>
      </c>
      <c r="W2224" t="str">
        <f t="shared" si="313"/>
        <v>GALLERIA CASOLA</v>
      </c>
      <c r="Z2224" t="str">
        <f t="shared" si="314"/>
        <v>10.220.80.16</v>
      </c>
    </row>
    <row r="2225" spans="1:26" x14ac:dyDescent="0.25">
      <c r="A2225" t="s">
        <v>10</v>
      </c>
      <c r="B2225" t="s">
        <v>1206</v>
      </c>
      <c r="C2225" t="s">
        <v>1618</v>
      </c>
      <c r="D2225" t="s">
        <v>1619</v>
      </c>
      <c r="E2225" t="s">
        <v>1708</v>
      </c>
      <c r="F2225" t="s">
        <v>14</v>
      </c>
      <c r="G2225" t="s">
        <v>1375</v>
      </c>
      <c r="H2225" t="s">
        <v>22</v>
      </c>
      <c r="I2225" t="s">
        <v>3088</v>
      </c>
      <c r="J2225" t="s">
        <v>1375</v>
      </c>
      <c r="K2225" t="str">
        <f t="shared" si="306"/>
        <v>5020.4</v>
      </c>
      <c r="N2225" t="str">
        <f t="shared" si="307"/>
        <v>HOLDING REGISTER</v>
      </c>
      <c r="O2225" t="str">
        <f t="shared" si="308"/>
        <v>BOOL</v>
      </c>
      <c r="P2225" t="str">
        <f t="shared" si="309"/>
        <v>TELECAMERA T10S</v>
      </c>
      <c r="R2225" t="str">
        <f t="shared" si="310"/>
        <v>disponibile</v>
      </c>
      <c r="U2225" t="str">
        <f t="shared" si="311"/>
        <v>disponibile</v>
      </c>
      <c r="V2225" t="str">
        <f t="shared" si="312"/>
        <v>DIREZIONE SUD</v>
      </c>
      <c r="W2225" t="str">
        <f t="shared" si="313"/>
        <v>GALLERIA CASOLA</v>
      </c>
      <c r="Z2225" t="str">
        <f t="shared" si="314"/>
        <v>10.220.80.16</v>
      </c>
    </row>
    <row r="2226" spans="1:26" x14ac:dyDescent="0.25">
      <c r="A2226" t="s">
        <v>10</v>
      </c>
      <c r="B2226" t="s">
        <v>1206</v>
      </c>
      <c r="C2226" t="s">
        <v>1618</v>
      </c>
      <c r="D2226" t="s">
        <v>1619</v>
      </c>
      <c r="E2226" t="s">
        <v>1708</v>
      </c>
      <c r="F2226" t="s">
        <v>14</v>
      </c>
      <c r="G2226" t="s">
        <v>1375</v>
      </c>
      <c r="H2226" t="s">
        <v>22</v>
      </c>
      <c r="I2226" t="s">
        <v>3089</v>
      </c>
      <c r="J2226" t="s">
        <v>1375</v>
      </c>
      <c r="K2226" t="str">
        <f t="shared" si="306"/>
        <v>5020.5</v>
      </c>
      <c r="N2226" t="str">
        <f t="shared" si="307"/>
        <v>HOLDING REGISTER</v>
      </c>
      <c r="O2226" t="str">
        <f t="shared" si="308"/>
        <v>BOOL</v>
      </c>
      <c r="P2226" t="str">
        <f t="shared" si="309"/>
        <v>TELECAMERA T10S</v>
      </c>
      <c r="R2226" t="str">
        <f t="shared" si="310"/>
        <v>disponibile</v>
      </c>
      <c r="U2226" t="str">
        <f t="shared" si="311"/>
        <v>disponibile</v>
      </c>
      <c r="V2226" t="str">
        <f t="shared" si="312"/>
        <v>DIREZIONE SUD</v>
      </c>
      <c r="W2226" t="str">
        <f t="shared" si="313"/>
        <v>GALLERIA CASOLA</v>
      </c>
      <c r="Z2226" t="str">
        <f t="shared" si="314"/>
        <v>10.220.80.16</v>
      </c>
    </row>
    <row r="2227" spans="1:26" x14ac:dyDescent="0.25">
      <c r="A2227" t="s">
        <v>10</v>
      </c>
      <c r="B2227" t="s">
        <v>1206</v>
      </c>
      <c r="C2227" t="s">
        <v>1618</v>
      </c>
      <c r="D2227" t="s">
        <v>1619</v>
      </c>
      <c r="E2227" t="s">
        <v>1708</v>
      </c>
      <c r="F2227" t="s">
        <v>14</v>
      </c>
      <c r="G2227" t="s">
        <v>1375</v>
      </c>
      <c r="H2227" t="s">
        <v>22</v>
      </c>
      <c r="I2227" t="s">
        <v>3090</v>
      </c>
      <c r="J2227" t="s">
        <v>1375</v>
      </c>
      <c r="K2227" t="str">
        <f t="shared" si="306"/>
        <v>5020.6</v>
      </c>
      <c r="N2227" t="str">
        <f t="shared" si="307"/>
        <v>HOLDING REGISTER</v>
      </c>
      <c r="O2227" t="str">
        <f t="shared" si="308"/>
        <v>BOOL</v>
      </c>
      <c r="P2227" t="str">
        <f t="shared" si="309"/>
        <v>TELECAMERA T10S</v>
      </c>
      <c r="R2227" t="str">
        <f t="shared" si="310"/>
        <v>disponibile</v>
      </c>
      <c r="U2227" t="str">
        <f t="shared" si="311"/>
        <v>disponibile</v>
      </c>
      <c r="V2227" t="str">
        <f t="shared" si="312"/>
        <v>DIREZIONE SUD</v>
      </c>
      <c r="W2227" t="str">
        <f t="shared" si="313"/>
        <v>GALLERIA CASOLA</v>
      </c>
      <c r="Z2227" t="str">
        <f t="shared" si="314"/>
        <v>10.220.80.16</v>
      </c>
    </row>
    <row r="2228" spans="1:26" x14ac:dyDescent="0.25">
      <c r="A2228" t="s">
        <v>10</v>
      </c>
      <c r="B2228" t="s">
        <v>1206</v>
      </c>
      <c r="C2228" t="s">
        <v>1618</v>
      </c>
      <c r="D2228" t="s">
        <v>1619</v>
      </c>
      <c r="E2228" t="s">
        <v>1708</v>
      </c>
      <c r="F2228" t="s">
        <v>14</v>
      </c>
      <c r="G2228" t="s">
        <v>1375</v>
      </c>
      <c r="H2228" t="s">
        <v>22</v>
      </c>
      <c r="I2228" t="s">
        <v>3091</v>
      </c>
      <c r="J2228" t="s">
        <v>1375</v>
      </c>
      <c r="K2228" t="str">
        <f t="shared" si="306"/>
        <v>5020.7</v>
      </c>
      <c r="N2228" t="str">
        <f t="shared" si="307"/>
        <v>HOLDING REGISTER</v>
      </c>
      <c r="O2228" t="str">
        <f t="shared" si="308"/>
        <v>BOOL</v>
      </c>
      <c r="P2228" t="str">
        <f t="shared" si="309"/>
        <v>TELECAMERA T10S</v>
      </c>
      <c r="R2228" t="str">
        <f t="shared" si="310"/>
        <v>disponibile</v>
      </c>
      <c r="U2228" t="str">
        <f t="shared" si="311"/>
        <v>disponibile</v>
      </c>
      <c r="V2228" t="str">
        <f t="shared" si="312"/>
        <v>DIREZIONE SUD</v>
      </c>
      <c r="W2228" t="str">
        <f t="shared" si="313"/>
        <v>GALLERIA CASOLA</v>
      </c>
      <c r="Z2228" t="str">
        <f t="shared" si="314"/>
        <v>10.220.80.16</v>
      </c>
    </row>
    <row r="2229" spans="1:26" x14ac:dyDescent="0.25">
      <c r="A2229" t="s">
        <v>10</v>
      </c>
      <c r="B2229" t="s">
        <v>1206</v>
      </c>
      <c r="C2229" t="s">
        <v>1618</v>
      </c>
      <c r="D2229" t="s">
        <v>1619</v>
      </c>
      <c r="E2229" t="s">
        <v>1708</v>
      </c>
      <c r="F2229" t="s">
        <v>14</v>
      </c>
      <c r="G2229" t="s">
        <v>1375</v>
      </c>
      <c r="H2229" t="s">
        <v>22</v>
      </c>
      <c r="I2229" t="s">
        <v>3092</v>
      </c>
      <c r="J2229" t="s">
        <v>1375</v>
      </c>
      <c r="K2229" t="str">
        <f t="shared" si="306"/>
        <v>5020.8</v>
      </c>
      <c r="N2229" t="str">
        <f t="shared" si="307"/>
        <v>HOLDING REGISTER</v>
      </c>
      <c r="O2229" t="str">
        <f t="shared" si="308"/>
        <v>BOOL</v>
      </c>
      <c r="P2229" t="str">
        <f t="shared" si="309"/>
        <v>TELECAMERA T10S</v>
      </c>
      <c r="R2229" t="str">
        <f t="shared" si="310"/>
        <v>disponibile</v>
      </c>
      <c r="U2229" t="str">
        <f t="shared" si="311"/>
        <v>disponibile</v>
      </c>
      <c r="V2229" t="str">
        <f t="shared" si="312"/>
        <v>DIREZIONE SUD</v>
      </c>
      <c r="W2229" t="str">
        <f t="shared" si="313"/>
        <v>GALLERIA CASOLA</v>
      </c>
      <c r="Z2229" t="str">
        <f t="shared" si="314"/>
        <v>10.220.80.16</v>
      </c>
    </row>
    <row r="2230" spans="1:26" x14ac:dyDescent="0.25">
      <c r="A2230" t="s">
        <v>10</v>
      </c>
      <c r="B2230" t="s">
        <v>1206</v>
      </c>
      <c r="C2230" t="s">
        <v>1618</v>
      </c>
      <c r="D2230" t="s">
        <v>1619</v>
      </c>
      <c r="E2230" t="s">
        <v>1708</v>
      </c>
      <c r="F2230" t="s">
        <v>14</v>
      </c>
      <c r="G2230" t="s">
        <v>1375</v>
      </c>
      <c r="H2230" t="s">
        <v>22</v>
      </c>
      <c r="I2230" t="s">
        <v>3093</v>
      </c>
      <c r="J2230" t="s">
        <v>1375</v>
      </c>
      <c r="K2230" t="str">
        <f t="shared" si="306"/>
        <v>5020.9</v>
      </c>
      <c r="N2230" t="str">
        <f t="shared" si="307"/>
        <v>HOLDING REGISTER</v>
      </c>
      <c r="O2230" t="str">
        <f t="shared" si="308"/>
        <v>BOOL</v>
      </c>
      <c r="P2230" t="str">
        <f t="shared" si="309"/>
        <v>TELECAMERA T10S</v>
      </c>
      <c r="R2230" t="str">
        <f t="shared" si="310"/>
        <v>disponibile</v>
      </c>
      <c r="U2230" t="str">
        <f t="shared" si="311"/>
        <v>disponibile</v>
      </c>
      <c r="V2230" t="str">
        <f t="shared" si="312"/>
        <v>DIREZIONE SUD</v>
      </c>
      <c r="W2230" t="str">
        <f t="shared" si="313"/>
        <v>GALLERIA CASOLA</v>
      </c>
      <c r="Z2230" t="str">
        <f t="shared" si="314"/>
        <v>10.220.80.16</v>
      </c>
    </row>
    <row r="2231" spans="1:26" x14ac:dyDescent="0.25">
      <c r="A2231" t="s">
        <v>10</v>
      </c>
      <c r="B2231" t="s">
        <v>1206</v>
      </c>
      <c r="C2231" t="s">
        <v>1618</v>
      </c>
      <c r="D2231" t="s">
        <v>1619</v>
      </c>
      <c r="E2231" t="s">
        <v>1708</v>
      </c>
      <c r="F2231" t="s">
        <v>14</v>
      </c>
      <c r="G2231" t="s">
        <v>1375</v>
      </c>
      <c r="H2231" t="s">
        <v>22</v>
      </c>
      <c r="I2231" t="s">
        <v>3094</v>
      </c>
      <c r="J2231" t="s">
        <v>1375</v>
      </c>
      <c r="K2231" t="str">
        <f t="shared" si="306"/>
        <v>5020.10</v>
      </c>
      <c r="N2231" t="str">
        <f t="shared" si="307"/>
        <v>HOLDING REGISTER</v>
      </c>
      <c r="O2231" t="str">
        <f t="shared" si="308"/>
        <v>BOOL</v>
      </c>
      <c r="P2231" t="str">
        <f t="shared" si="309"/>
        <v>TELECAMERA T10S</v>
      </c>
      <c r="R2231" t="str">
        <f t="shared" si="310"/>
        <v>disponibile</v>
      </c>
      <c r="U2231" t="str">
        <f t="shared" si="311"/>
        <v>disponibile</v>
      </c>
      <c r="V2231" t="str">
        <f t="shared" si="312"/>
        <v>DIREZIONE SUD</v>
      </c>
      <c r="W2231" t="str">
        <f t="shared" si="313"/>
        <v>GALLERIA CASOLA</v>
      </c>
      <c r="Z2231" t="str">
        <f t="shared" si="314"/>
        <v>10.220.80.16</v>
      </c>
    </row>
    <row r="2232" spans="1:26" x14ac:dyDescent="0.25">
      <c r="A2232" t="s">
        <v>10</v>
      </c>
      <c r="B2232" t="s">
        <v>1206</v>
      </c>
      <c r="C2232" t="s">
        <v>1618</v>
      </c>
      <c r="D2232" t="s">
        <v>1619</v>
      </c>
      <c r="E2232" t="s">
        <v>1708</v>
      </c>
      <c r="F2232" t="s">
        <v>14</v>
      </c>
      <c r="G2232" t="s">
        <v>1375</v>
      </c>
      <c r="H2232" t="s">
        <v>22</v>
      </c>
      <c r="I2232" t="s">
        <v>3095</v>
      </c>
      <c r="J2232" t="s">
        <v>1375</v>
      </c>
      <c r="K2232" t="str">
        <f t="shared" si="306"/>
        <v>5020.11</v>
      </c>
      <c r="N2232" t="str">
        <f t="shared" si="307"/>
        <v>HOLDING REGISTER</v>
      </c>
      <c r="O2232" t="str">
        <f t="shared" si="308"/>
        <v>BOOL</v>
      </c>
      <c r="P2232" t="str">
        <f t="shared" si="309"/>
        <v>TELECAMERA T10S</v>
      </c>
      <c r="R2232" t="str">
        <f t="shared" si="310"/>
        <v>disponibile</v>
      </c>
      <c r="U2232" t="str">
        <f t="shared" si="311"/>
        <v>disponibile</v>
      </c>
      <c r="V2232" t="str">
        <f t="shared" si="312"/>
        <v>DIREZIONE SUD</v>
      </c>
      <c r="W2232" t="str">
        <f t="shared" si="313"/>
        <v>GALLERIA CASOLA</v>
      </c>
      <c r="Z2232" t="str">
        <f t="shared" si="314"/>
        <v>10.220.80.16</v>
      </c>
    </row>
    <row r="2233" spans="1:26" x14ac:dyDescent="0.25">
      <c r="A2233" t="s">
        <v>10</v>
      </c>
      <c r="B2233" t="s">
        <v>1206</v>
      </c>
      <c r="C2233" t="s">
        <v>1618</v>
      </c>
      <c r="D2233" t="s">
        <v>1619</v>
      </c>
      <c r="E2233" t="s">
        <v>1708</v>
      </c>
      <c r="F2233" t="s">
        <v>14</v>
      </c>
      <c r="G2233" t="s">
        <v>1375</v>
      </c>
      <c r="H2233" t="s">
        <v>22</v>
      </c>
      <c r="I2233" t="s">
        <v>3096</v>
      </c>
      <c r="J2233" t="s">
        <v>1375</v>
      </c>
      <c r="K2233" t="str">
        <f t="shared" si="306"/>
        <v>5020.12</v>
      </c>
      <c r="N2233" t="str">
        <f t="shared" si="307"/>
        <v>HOLDING REGISTER</v>
      </c>
      <c r="O2233" t="str">
        <f t="shared" si="308"/>
        <v>BOOL</v>
      </c>
      <c r="P2233" t="str">
        <f t="shared" si="309"/>
        <v>TELECAMERA T10S</v>
      </c>
      <c r="R2233" t="str">
        <f t="shared" si="310"/>
        <v>disponibile</v>
      </c>
      <c r="U2233" t="str">
        <f t="shared" si="311"/>
        <v>disponibile</v>
      </c>
      <c r="V2233" t="str">
        <f t="shared" si="312"/>
        <v>DIREZIONE SUD</v>
      </c>
      <c r="W2233" t="str">
        <f t="shared" si="313"/>
        <v>GALLERIA CASOLA</v>
      </c>
      <c r="Z2233" t="str">
        <f t="shared" si="314"/>
        <v>10.220.80.16</v>
      </c>
    </row>
    <row r="2234" spans="1:26" x14ac:dyDescent="0.25">
      <c r="A2234" t="s">
        <v>10</v>
      </c>
      <c r="B2234" t="s">
        <v>1206</v>
      </c>
      <c r="C2234" t="s">
        <v>1618</v>
      </c>
      <c r="D2234" t="s">
        <v>1619</v>
      </c>
      <c r="E2234" t="s">
        <v>1708</v>
      </c>
      <c r="F2234" t="s">
        <v>14</v>
      </c>
      <c r="G2234" t="s">
        <v>1375</v>
      </c>
      <c r="H2234" t="s">
        <v>22</v>
      </c>
      <c r="I2234" t="s">
        <v>3097</v>
      </c>
      <c r="J2234" t="s">
        <v>1375</v>
      </c>
      <c r="K2234" t="str">
        <f t="shared" si="306"/>
        <v>5020.13</v>
      </c>
      <c r="N2234" t="str">
        <f t="shared" si="307"/>
        <v>HOLDING REGISTER</v>
      </c>
      <c r="O2234" t="str">
        <f t="shared" si="308"/>
        <v>BOOL</v>
      </c>
      <c r="P2234" t="str">
        <f t="shared" si="309"/>
        <v>TELECAMERA T10S</v>
      </c>
      <c r="R2234" t="str">
        <f t="shared" si="310"/>
        <v>disponibile</v>
      </c>
      <c r="U2234" t="str">
        <f t="shared" si="311"/>
        <v>disponibile</v>
      </c>
      <c r="V2234" t="str">
        <f t="shared" si="312"/>
        <v>DIREZIONE SUD</v>
      </c>
      <c r="W2234" t="str">
        <f t="shared" si="313"/>
        <v>GALLERIA CASOLA</v>
      </c>
      <c r="Z2234" t="str">
        <f t="shared" si="314"/>
        <v>10.220.80.16</v>
      </c>
    </row>
    <row r="2235" spans="1:26" x14ac:dyDescent="0.25">
      <c r="A2235" t="s">
        <v>10</v>
      </c>
      <c r="B2235" t="s">
        <v>1206</v>
      </c>
      <c r="C2235" t="s">
        <v>1618</v>
      </c>
      <c r="D2235" t="s">
        <v>1619</v>
      </c>
      <c r="E2235" t="s">
        <v>1708</v>
      </c>
      <c r="F2235" t="s">
        <v>14</v>
      </c>
      <c r="G2235" t="s">
        <v>1375</v>
      </c>
      <c r="H2235" t="s">
        <v>22</v>
      </c>
      <c r="I2235" t="s">
        <v>3098</v>
      </c>
      <c r="J2235" t="s">
        <v>1375</v>
      </c>
      <c r="K2235" t="str">
        <f t="shared" si="306"/>
        <v>5020.14</v>
      </c>
      <c r="N2235" t="str">
        <f t="shared" si="307"/>
        <v>HOLDING REGISTER</v>
      </c>
      <c r="O2235" t="str">
        <f t="shared" si="308"/>
        <v>BOOL</v>
      </c>
      <c r="P2235" t="str">
        <f t="shared" si="309"/>
        <v>TELECAMERA T10S</v>
      </c>
      <c r="R2235" t="str">
        <f t="shared" si="310"/>
        <v>disponibile</v>
      </c>
      <c r="U2235" t="str">
        <f t="shared" si="311"/>
        <v>disponibile</v>
      </c>
      <c r="V2235" t="str">
        <f t="shared" si="312"/>
        <v>DIREZIONE SUD</v>
      </c>
      <c r="W2235" t="str">
        <f t="shared" si="313"/>
        <v>GALLERIA CASOLA</v>
      </c>
      <c r="Z2235" t="str">
        <f t="shared" si="314"/>
        <v>10.220.80.16</v>
      </c>
    </row>
    <row r="2236" spans="1:26" x14ac:dyDescent="0.25">
      <c r="A2236" t="s">
        <v>10</v>
      </c>
      <c r="B2236" t="s">
        <v>1206</v>
      </c>
      <c r="C2236" t="s">
        <v>1618</v>
      </c>
      <c r="D2236" t="s">
        <v>1619</v>
      </c>
      <c r="E2236" t="s">
        <v>1708</v>
      </c>
      <c r="F2236" t="s">
        <v>14</v>
      </c>
      <c r="G2236" t="s">
        <v>1375</v>
      </c>
      <c r="H2236" t="s">
        <v>22</v>
      </c>
      <c r="I2236" t="s">
        <v>3099</v>
      </c>
      <c r="J2236" t="s">
        <v>1375</v>
      </c>
      <c r="K2236" t="str">
        <f t="shared" si="306"/>
        <v>5020.15</v>
      </c>
      <c r="N2236" t="str">
        <f t="shared" si="307"/>
        <v>HOLDING REGISTER</v>
      </c>
      <c r="O2236" t="str">
        <f t="shared" si="308"/>
        <v>BOOL</v>
      </c>
      <c r="P2236" t="str">
        <f t="shared" si="309"/>
        <v>TELECAMERA T10S</v>
      </c>
      <c r="R2236" t="str">
        <f t="shared" si="310"/>
        <v>disponibile</v>
      </c>
      <c r="U2236" t="str">
        <f t="shared" si="311"/>
        <v>disponibile</v>
      </c>
      <c r="V2236" t="str">
        <f t="shared" si="312"/>
        <v>DIREZIONE SUD</v>
      </c>
      <c r="W2236" t="str">
        <f t="shared" si="313"/>
        <v>GALLERIA CASOLA</v>
      </c>
      <c r="Z2236" t="str">
        <f t="shared" si="314"/>
        <v>10.220.80.16</v>
      </c>
    </row>
    <row r="2237" spans="1:26" x14ac:dyDescent="0.25">
      <c r="A2237" t="s">
        <v>10</v>
      </c>
      <c r="B2237" t="s">
        <v>1206</v>
      </c>
      <c r="C2237" t="s">
        <v>1618</v>
      </c>
      <c r="D2237" t="s">
        <v>1619</v>
      </c>
      <c r="E2237" t="s">
        <v>3100</v>
      </c>
      <c r="F2237" t="s">
        <v>14</v>
      </c>
      <c r="G2237" t="s">
        <v>21</v>
      </c>
      <c r="H2237" t="s">
        <v>22</v>
      </c>
      <c r="I2237" t="s">
        <v>3101</v>
      </c>
      <c r="J2237" t="s">
        <v>1622</v>
      </c>
      <c r="K2237" t="str">
        <f t="shared" si="306"/>
        <v>5021.0</v>
      </c>
      <c r="N2237" t="str">
        <f t="shared" si="307"/>
        <v>HOLDING REGISTER</v>
      </c>
      <c r="O2237" t="str">
        <f t="shared" si="308"/>
        <v>BOOL</v>
      </c>
      <c r="P2237" t="str">
        <f t="shared" si="309"/>
        <v>TELECAMERA T11N</v>
      </c>
      <c r="R2237" t="str">
        <f t="shared" si="310"/>
        <v>ALLARMI TELECAMERA ESCLUSI</v>
      </c>
      <c r="U2237" t="str">
        <f t="shared" si="311"/>
        <v>Stato</v>
      </c>
      <c r="V2237" t="str">
        <f t="shared" si="312"/>
        <v>DIREZIONE SUD</v>
      </c>
      <c r="W2237" t="str">
        <f t="shared" si="313"/>
        <v>GALLERIA CASOLA</v>
      </c>
      <c r="Z2237" t="str">
        <f t="shared" si="314"/>
        <v>10.220.80.16</v>
      </c>
    </row>
    <row r="2238" spans="1:26" x14ac:dyDescent="0.25">
      <c r="A2238" t="s">
        <v>10</v>
      </c>
      <c r="B2238" t="s">
        <v>1206</v>
      </c>
      <c r="C2238" t="s">
        <v>1618</v>
      </c>
      <c r="D2238" t="s">
        <v>1619</v>
      </c>
      <c r="E2238" t="s">
        <v>3100</v>
      </c>
      <c r="F2238" t="s">
        <v>14</v>
      </c>
      <c r="G2238" t="s">
        <v>21</v>
      </c>
      <c r="H2238" t="s">
        <v>22</v>
      </c>
      <c r="I2238" t="s">
        <v>3102</v>
      </c>
      <c r="J2238" t="s">
        <v>1624</v>
      </c>
      <c r="K2238" t="str">
        <f t="shared" si="306"/>
        <v>5021.1</v>
      </c>
      <c r="N2238" t="str">
        <f t="shared" si="307"/>
        <v>HOLDING REGISTER</v>
      </c>
      <c r="O2238" t="str">
        <f t="shared" si="308"/>
        <v>BOOL</v>
      </c>
      <c r="P2238" t="str">
        <f t="shared" si="309"/>
        <v>TELECAMERA T11N</v>
      </c>
      <c r="R2238" t="str">
        <f t="shared" si="310"/>
        <v>IN MANUTENZIONE ALLARME FUMO</v>
      </c>
      <c r="U2238" t="str">
        <f t="shared" si="311"/>
        <v>Stato</v>
      </c>
      <c r="V2238" t="str">
        <f t="shared" si="312"/>
        <v>DIREZIONE SUD</v>
      </c>
      <c r="W2238" t="str">
        <f t="shared" si="313"/>
        <v>GALLERIA CASOLA</v>
      </c>
      <c r="Z2238" t="str">
        <f t="shared" si="314"/>
        <v>10.220.80.16</v>
      </c>
    </row>
    <row r="2239" spans="1:26" x14ac:dyDescent="0.25">
      <c r="A2239" t="s">
        <v>10</v>
      </c>
      <c r="B2239" t="s">
        <v>1206</v>
      </c>
      <c r="C2239" t="s">
        <v>1618</v>
      </c>
      <c r="D2239" t="s">
        <v>1619</v>
      </c>
      <c r="E2239" t="s">
        <v>3100</v>
      </c>
      <c r="F2239" t="s">
        <v>14</v>
      </c>
      <c r="G2239" t="s">
        <v>21</v>
      </c>
      <c r="H2239" t="s">
        <v>22</v>
      </c>
      <c r="I2239" t="s">
        <v>3103</v>
      </c>
      <c r="J2239" t="s">
        <v>1626</v>
      </c>
      <c r="K2239" t="str">
        <f t="shared" si="306"/>
        <v>5021.2</v>
      </c>
      <c r="N2239" t="str">
        <f t="shared" si="307"/>
        <v>HOLDING REGISTER</v>
      </c>
      <c r="O2239" t="str">
        <f t="shared" si="308"/>
        <v>BOOL</v>
      </c>
      <c r="P2239" t="str">
        <f t="shared" si="309"/>
        <v>TELECAMERA T11N</v>
      </c>
      <c r="R2239" t="str">
        <f t="shared" si="310"/>
        <v>IN MANUTENZIONE ALLARMI TRAFFICO</v>
      </c>
      <c r="U2239" t="str">
        <f t="shared" si="311"/>
        <v>Stato</v>
      </c>
      <c r="V2239" t="str">
        <f t="shared" si="312"/>
        <v>DIREZIONE SUD</v>
      </c>
      <c r="W2239" t="str">
        <f t="shared" si="313"/>
        <v>GALLERIA CASOLA</v>
      </c>
      <c r="Z2239" t="str">
        <f t="shared" si="314"/>
        <v>10.220.80.16</v>
      </c>
    </row>
    <row r="2240" spans="1:26" x14ac:dyDescent="0.25">
      <c r="A2240" t="s">
        <v>10</v>
      </c>
      <c r="B2240" t="s">
        <v>1206</v>
      </c>
      <c r="C2240" t="s">
        <v>1618</v>
      </c>
      <c r="D2240" t="s">
        <v>1619</v>
      </c>
      <c r="E2240" t="s">
        <v>3100</v>
      </c>
      <c r="F2240" t="s">
        <v>14</v>
      </c>
      <c r="G2240" t="s">
        <v>1375</v>
      </c>
      <c r="H2240" t="s">
        <v>22</v>
      </c>
      <c r="I2240" t="s">
        <v>3104</v>
      </c>
      <c r="J2240" t="s">
        <v>1375</v>
      </c>
      <c r="K2240" t="str">
        <f t="shared" si="306"/>
        <v>5021.3</v>
      </c>
      <c r="N2240" t="str">
        <f t="shared" si="307"/>
        <v>HOLDING REGISTER</v>
      </c>
      <c r="O2240" t="str">
        <f t="shared" si="308"/>
        <v>BOOL</v>
      </c>
      <c r="P2240" t="str">
        <f t="shared" si="309"/>
        <v>TELECAMERA T11N</v>
      </c>
      <c r="R2240" t="str">
        <f t="shared" si="310"/>
        <v>disponibile</v>
      </c>
      <c r="U2240" t="str">
        <f t="shared" si="311"/>
        <v>disponibile</v>
      </c>
      <c r="V2240" t="str">
        <f t="shared" si="312"/>
        <v>DIREZIONE SUD</v>
      </c>
      <c r="W2240" t="str">
        <f t="shared" si="313"/>
        <v>GALLERIA CASOLA</v>
      </c>
      <c r="Z2240" t="str">
        <f t="shared" si="314"/>
        <v>10.220.80.16</v>
      </c>
    </row>
    <row r="2241" spans="1:26" x14ac:dyDescent="0.25">
      <c r="A2241" t="s">
        <v>10</v>
      </c>
      <c r="B2241" t="s">
        <v>1206</v>
      </c>
      <c r="C2241" t="s">
        <v>1618</v>
      </c>
      <c r="D2241" t="s">
        <v>1619</v>
      </c>
      <c r="E2241" t="s">
        <v>3100</v>
      </c>
      <c r="F2241" t="s">
        <v>14</v>
      </c>
      <c r="G2241" t="s">
        <v>1375</v>
      </c>
      <c r="H2241" t="s">
        <v>22</v>
      </c>
      <c r="I2241" t="s">
        <v>3105</v>
      </c>
      <c r="J2241" t="s">
        <v>1375</v>
      </c>
      <c r="K2241" t="str">
        <f t="shared" si="306"/>
        <v>5021.4</v>
      </c>
      <c r="N2241" t="str">
        <f t="shared" si="307"/>
        <v>HOLDING REGISTER</v>
      </c>
      <c r="O2241" t="str">
        <f t="shared" si="308"/>
        <v>BOOL</v>
      </c>
      <c r="P2241" t="str">
        <f t="shared" si="309"/>
        <v>TELECAMERA T11N</v>
      </c>
      <c r="R2241" t="str">
        <f t="shared" si="310"/>
        <v>disponibile</v>
      </c>
      <c r="U2241" t="str">
        <f t="shared" si="311"/>
        <v>disponibile</v>
      </c>
      <c r="V2241" t="str">
        <f t="shared" si="312"/>
        <v>DIREZIONE SUD</v>
      </c>
      <c r="W2241" t="str">
        <f t="shared" si="313"/>
        <v>GALLERIA CASOLA</v>
      </c>
      <c r="Z2241" t="str">
        <f t="shared" si="314"/>
        <v>10.220.80.16</v>
      </c>
    </row>
    <row r="2242" spans="1:26" x14ac:dyDescent="0.25">
      <c r="A2242" t="s">
        <v>10</v>
      </c>
      <c r="B2242" t="s">
        <v>1206</v>
      </c>
      <c r="C2242" t="s">
        <v>1618</v>
      </c>
      <c r="D2242" t="s">
        <v>1619</v>
      </c>
      <c r="E2242" t="s">
        <v>3100</v>
      </c>
      <c r="F2242" t="s">
        <v>14</v>
      </c>
      <c r="G2242" t="s">
        <v>1375</v>
      </c>
      <c r="H2242" t="s">
        <v>22</v>
      </c>
      <c r="I2242" t="s">
        <v>3106</v>
      </c>
      <c r="J2242" t="s">
        <v>1375</v>
      </c>
      <c r="K2242" t="str">
        <f t="shared" si="306"/>
        <v>5021.5</v>
      </c>
      <c r="N2242" t="str">
        <f t="shared" si="307"/>
        <v>HOLDING REGISTER</v>
      </c>
      <c r="O2242" t="str">
        <f t="shared" si="308"/>
        <v>BOOL</v>
      </c>
      <c r="P2242" t="str">
        <f t="shared" si="309"/>
        <v>TELECAMERA T11N</v>
      </c>
      <c r="R2242" t="str">
        <f t="shared" si="310"/>
        <v>disponibile</v>
      </c>
      <c r="U2242" t="str">
        <f t="shared" si="311"/>
        <v>disponibile</v>
      </c>
      <c r="V2242" t="str">
        <f t="shared" si="312"/>
        <v>DIREZIONE SUD</v>
      </c>
      <c r="W2242" t="str">
        <f t="shared" si="313"/>
        <v>GALLERIA CASOLA</v>
      </c>
      <c r="Z2242" t="str">
        <f t="shared" si="314"/>
        <v>10.220.80.16</v>
      </c>
    </row>
    <row r="2243" spans="1:26" x14ac:dyDescent="0.25">
      <c r="A2243" t="s">
        <v>10</v>
      </c>
      <c r="B2243" t="s">
        <v>1206</v>
      </c>
      <c r="C2243" t="s">
        <v>1618</v>
      </c>
      <c r="D2243" t="s">
        <v>1619</v>
      </c>
      <c r="E2243" t="s">
        <v>3100</v>
      </c>
      <c r="F2243" t="s">
        <v>14</v>
      </c>
      <c r="G2243" t="s">
        <v>1375</v>
      </c>
      <c r="H2243" t="s">
        <v>22</v>
      </c>
      <c r="I2243" t="s">
        <v>3107</v>
      </c>
      <c r="J2243" t="s">
        <v>1375</v>
      </c>
      <c r="K2243" t="str">
        <f t="shared" ref="K2243:K2306" si="315">IF(I2243="","",I2243)</f>
        <v>5021.6</v>
      </c>
      <c r="N2243" t="str">
        <f t="shared" ref="N2243:N2306" si="316">IF(F2243="","",F2243)</f>
        <v>HOLDING REGISTER</v>
      </c>
      <c r="O2243" t="str">
        <f t="shared" ref="O2243:O2306" si="317">IF(H2243="","",H2243)</f>
        <v>BOOL</v>
      </c>
      <c r="P2243" t="str">
        <f t="shared" ref="P2243:P2306" si="318">_xlfn.CONCAT(D2243," ",E2243)</f>
        <v>TELECAMERA T11N</v>
      </c>
      <c r="R2243" t="str">
        <f t="shared" ref="R2243:R2306" si="319">IF(J2243="","",J2243)</f>
        <v>disponibile</v>
      </c>
      <c r="U2243" t="str">
        <f t="shared" ref="U2243:U2306" si="320">IF(G2243="","",G2243)</f>
        <v>disponibile</v>
      </c>
      <c r="V2243" t="str">
        <f t="shared" ref="V2243:V2306" si="321">IF(C2243="","",C2243)</f>
        <v>DIREZIONE SUD</v>
      </c>
      <c r="W2243" t="str">
        <f t="shared" ref="W2243:W2306" si="322">IF(B2243="","",B2243)</f>
        <v>GALLERIA CASOLA</v>
      </c>
      <c r="Z2243" t="str">
        <f t="shared" ref="Z2243:Z2306" si="323">IF(A2243="","",A2243)</f>
        <v>10.220.80.16</v>
      </c>
    </row>
    <row r="2244" spans="1:26" x14ac:dyDescent="0.25">
      <c r="A2244" t="s">
        <v>10</v>
      </c>
      <c r="B2244" t="s">
        <v>1206</v>
      </c>
      <c r="C2244" t="s">
        <v>1618</v>
      </c>
      <c r="D2244" t="s">
        <v>1619</v>
      </c>
      <c r="E2244" t="s">
        <v>3100</v>
      </c>
      <c r="F2244" t="s">
        <v>14</v>
      </c>
      <c r="G2244" t="s">
        <v>1375</v>
      </c>
      <c r="H2244" t="s">
        <v>22</v>
      </c>
      <c r="I2244" t="s">
        <v>3108</v>
      </c>
      <c r="J2244" t="s">
        <v>1375</v>
      </c>
      <c r="K2244" t="str">
        <f t="shared" si="315"/>
        <v>5021.7</v>
      </c>
      <c r="N2244" t="str">
        <f t="shared" si="316"/>
        <v>HOLDING REGISTER</v>
      </c>
      <c r="O2244" t="str">
        <f t="shared" si="317"/>
        <v>BOOL</v>
      </c>
      <c r="P2244" t="str">
        <f t="shared" si="318"/>
        <v>TELECAMERA T11N</v>
      </c>
      <c r="R2244" t="str">
        <f t="shared" si="319"/>
        <v>disponibile</v>
      </c>
      <c r="U2244" t="str">
        <f t="shared" si="320"/>
        <v>disponibile</v>
      </c>
      <c r="V2244" t="str">
        <f t="shared" si="321"/>
        <v>DIREZIONE SUD</v>
      </c>
      <c r="W2244" t="str">
        <f t="shared" si="322"/>
        <v>GALLERIA CASOLA</v>
      </c>
      <c r="Z2244" t="str">
        <f t="shared" si="323"/>
        <v>10.220.80.16</v>
      </c>
    </row>
    <row r="2245" spans="1:26" x14ac:dyDescent="0.25">
      <c r="A2245" t="s">
        <v>10</v>
      </c>
      <c r="B2245" t="s">
        <v>1206</v>
      </c>
      <c r="C2245" t="s">
        <v>1618</v>
      </c>
      <c r="D2245" t="s">
        <v>1619</v>
      </c>
      <c r="E2245" t="s">
        <v>3100</v>
      </c>
      <c r="F2245" t="s">
        <v>14</v>
      </c>
      <c r="G2245" t="s">
        <v>1375</v>
      </c>
      <c r="H2245" t="s">
        <v>22</v>
      </c>
      <c r="I2245" t="s">
        <v>3109</v>
      </c>
      <c r="J2245" t="s">
        <v>1375</v>
      </c>
      <c r="K2245" t="str">
        <f t="shared" si="315"/>
        <v>5021.8</v>
      </c>
      <c r="N2245" t="str">
        <f t="shared" si="316"/>
        <v>HOLDING REGISTER</v>
      </c>
      <c r="O2245" t="str">
        <f t="shared" si="317"/>
        <v>BOOL</v>
      </c>
      <c r="P2245" t="str">
        <f t="shared" si="318"/>
        <v>TELECAMERA T11N</v>
      </c>
      <c r="R2245" t="str">
        <f t="shared" si="319"/>
        <v>disponibile</v>
      </c>
      <c r="U2245" t="str">
        <f t="shared" si="320"/>
        <v>disponibile</v>
      </c>
      <c r="V2245" t="str">
        <f t="shared" si="321"/>
        <v>DIREZIONE SUD</v>
      </c>
      <c r="W2245" t="str">
        <f t="shared" si="322"/>
        <v>GALLERIA CASOLA</v>
      </c>
      <c r="Z2245" t="str">
        <f t="shared" si="323"/>
        <v>10.220.80.16</v>
      </c>
    </row>
    <row r="2246" spans="1:26" x14ac:dyDescent="0.25">
      <c r="A2246" t="s">
        <v>10</v>
      </c>
      <c r="B2246" t="s">
        <v>1206</v>
      </c>
      <c r="C2246" t="s">
        <v>1618</v>
      </c>
      <c r="D2246" t="s">
        <v>1619</v>
      </c>
      <c r="E2246" t="s">
        <v>3100</v>
      </c>
      <c r="F2246" t="s">
        <v>14</v>
      </c>
      <c r="G2246" t="s">
        <v>1375</v>
      </c>
      <c r="H2246" t="s">
        <v>22</v>
      </c>
      <c r="I2246" t="s">
        <v>3110</v>
      </c>
      <c r="J2246" t="s">
        <v>1375</v>
      </c>
      <c r="K2246" t="str">
        <f t="shared" si="315"/>
        <v>5021.9</v>
      </c>
      <c r="N2246" t="str">
        <f t="shared" si="316"/>
        <v>HOLDING REGISTER</v>
      </c>
      <c r="O2246" t="str">
        <f t="shared" si="317"/>
        <v>BOOL</v>
      </c>
      <c r="P2246" t="str">
        <f t="shared" si="318"/>
        <v>TELECAMERA T11N</v>
      </c>
      <c r="R2246" t="str">
        <f t="shared" si="319"/>
        <v>disponibile</v>
      </c>
      <c r="U2246" t="str">
        <f t="shared" si="320"/>
        <v>disponibile</v>
      </c>
      <c r="V2246" t="str">
        <f t="shared" si="321"/>
        <v>DIREZIONE SUD</v>
      </c>
      <c r="W2246" t="str">
        <f t="shared" si="322"/>
        <v>GALLERIA CASOLA</v>
      </c>
      <c r="Z2246" t="str">
        <f t="shared" si="323"/>
        <v>10.220.80.16</v>
      </c>
    </row>
    <row r="2247" spans="1:26" x14ac:dyDescent="0.25">
      <c r="A2247" t="s">
        <v>10</v>
      </c>
      <c r="B2247" t="s">
        <v>1206</v>
      </c>
      <c r="C2247" t="s">
        <v>1618</v>
      </c>
      <c r="D2247" t="s">
        <v>1619</v>
      </c>
      <c r="E2247" t="s">
        <v>3100</v>
      </c>
      <c r="F2247" t="s">
        <v>14</v>
      </c>
      <c r="G2247" t="s">
        <v>1375</v>
      </c>
      <c r="H2247" t="s">
        <v>22</v>
      </c>
      <c r="I2247" t="s">
        <v>3111</v>
      </c>
      <c r="J2247" t="s">
        <v>1375</v>
      </c>
      <c r="K2247" t="str">
        <f t="shared" si="315"/>
        <v>5021.10</v>
      </c>
      <c r="N2247" t="str">
        <f t="shared" si="316"/>
        <v>HOLDING REGISTER</v>
      </c>
      <c r="O2247" t="str">
        <f t="shared" si="317"/>
        <v>BOOL</v>
      </c>
      <c r="P2247" t="str">
        <f t="shared" si="318"/>
        <v>TELECAMERA T11N</v>
      </c>
      <c r="R2247" t="str">
        <f t="shared" si="319"/>
        <v>disponibile</v>
      </c>
      <c r="U2247" t="str">
        <f t="shared" si="320"/>
        <v>disponibile</v>
      </c>
      <c r="V2247" t="str">
        <f t="shared" si="321"/>
        <v>DIREZIONE SUD</v>
      </c>
      <c r="W2247" t="str">
        <f t="shared" si="322"/>
        <v>GALLERIA CASOLA</v>
      </c>
      <c r="Z2247" t="str">
        <f t="shared" si="323"/>
        <v>10.220.80.16</v>
      </c>
    </row>
    <row r="2248" spans="1:26" x14ac:dyDescent="0.25">
      <c r="A2248" t="s">
        <v>10</v>
      </c>
      <c r="B2248" t="s">
        <v>1206</v>
      </c>
      <c r="C2248" t="s">
        <v>1618</v>
      </c>
      <c r="D2248" t="s">
        <v>1619</v>
      </c>
      <c r="E2248" t="s">
        <v>3100</v>
      </c>
      <c r="F2248" t="s">
        <v>14</v>
      </c>
      <c r="G2248" t="s">
        <v>1375</v>
      </c>
      <c r="H2248" t="s">
        <v>22</v>
      </c>
      <c r="I2248" t="s">
        <v>3112</v>
      </c>
      <c r="J2248" t="s">
        <v>1375</v>
      </c>
      <c r="K2248" t="str">
        <f t="shared" si="315"/>
        <v>5021.11</v>
      </c>
      <c r="N2248" t="str">
        <f t="shared" si="316"/>
        <v>HOLDING REGISTER</v>
      </c>
      <c r="O2248" t="str">
        <f t="shared" si="317"/>
        <v>BOOL</v>
      </c>
      <c r="P2248" t="str">
        <f t="shared" si="318"/>
        <v>TELECAMERA T11N</v>
      </c>
      <c r="R2248" t="str">
        <f t="shared" si="319"/>
        <v>disponibile</v>
      </c>
      <c r="U2248" t="str">
        <f t="shared" si="320"/>
        <v>disponibile</v>
      </c>
      <c r="V2248" t="str">
        <f t="shared" si="321"/>
        <v>DIREZIONE SUD</v>
      </c>
      <c r="W2248" t="str">
        <f t="shared" si="322"/>
        <v>GALLERIA CASOLA</v>
      </c>
      <c r="Z2248" t="str">
        <f t="shared" si="323"/>
        <v>10.220.80.16</v>
      </c>
    </row>
    <row r="2249" spans="1:26" x14ac:dyDescent="0.25">
      <c r="A2249" t="s">
        <v>10</v>
      </c>
      <c r="B2249" t="s">
        <v>1206</v>
      </c>
      <c r="C2249" t="s">
        <v>1618</v>
      </c>
      <c r="D2249" t="s">
        <v>1619</v>
      </c>
      <c r="E2249" t="s">
        <v>3100</v>
      </c>
      <c r="F2249" t="s">
        <v>14</v>
      </c>
      <c r="G2249" t="s">
        <v>1375</v>
      </c>
      <c r="H2249" t="s">
        <v>22</v>
      </c>
      <c r="I2249" t="s">
        <v>3113</v>
      </c>
      <c r="J2249" t="s">
        <v>1375</v>
      </c>
      <c r="K2249" t="str">
        <f t="shared" si="315"/>
        <v>5021.12</v>
      </c>
      <c r="N2249" t="str">
        <f t="shared" si="316"/>
        <v>HOLDING REGISTER</v>
      </c>
      <c r="O2249" t="str">
        <f t="shared" si="317"/>
        <v>BOOL</v>
      </c>
      <c r="P2249" t="str">
        <f t="shared" si="318"/>
        <v>TELECAMERA T11N</v>
      </c>
      <c r="R2249" t="str">
        <f t="shared" si="319"/>
        <v>disponibile</v>
      </c>
      <c r="U2249" t="str">
        <f t="shared" si="320"/>
        <v>disponibile</v>
      </c>
      <c r="V2249" t="str">
        <f t="shared" si="321"/>
        <v>DIREZIONE SUD</v>
      </c>
      <c r="W2249" t="str">
        <f t="shared" si="322"/>
        <v>GALLERIA CASOLA</v>
      </c>
      <c r="Z2249" t="str">
        <f t="shared" si="323"/>
        <v>10.220.80.16</v>
      </c>
    </row>
    <row r="2250" spans="1:26" x14ac:dyDescent="0.25">
      <c r="A2250" t="s">
        <v>10</v>
      </c>
      <c r="B2250" t="s">
        <v>1206</v>
      </c>
      <c r="C2250" t="s">
        <v>1618</v>
      </c>
      <c r="D2250" t="s">
        <v>1619</v>
      </c>
      <c r="E2250" t="s">
        <v>3100</v>
      </c>
      <c r="F2250" t="s">
        <v>14</v>
      </c>
      <c r="G2250" t="s">
        <v>1375</v>
      </c>
      <c r="H2250" t="s">
        <v>22</v>
      </c>
      <c r="I2250" t="s">
        <v>3114</v>
      </c>
      <c r="J2250" t="s">
        <v>1375</v>
      </c>
      <c r="K2250" t="str">
        <f t="shared" si="315"/>
        <v>5021.13</v>
      </c>
      <c r="N2250" t="str">
        <f t="shared" si="316"/>
        <v>HOLDING REGISTER</v>
      </c>
      <c r="O2250" t="str">
        <f t="shared" si="317"/>
        <v>BOOL</v>
      </c>
      <c r="P2250" t="str">
        <f t="shared" si="318"/>
        <v>TELECAMERA T11N</v>
      </c>
      <c r="R2250" t="str">
        <f t="shared" si="319"/>
        <v>disponibile</v>
      </c>
      <c r="U2250" t="str">
        <f t="shared" si="320"/>
        <v>disponibile</v>
      </c>
      <c r="V2250" t="str">
        <f t="shared" si="321"/>
        <v>DIREZIONE SUD</v>
      </c>
      <c r="W2250" t="str">
        <f t="shared" si="322"/>
        <v>GALLERIA CASOLA</v>
      </c>
      <c r="Z2250" t="str">
        <f t="shared" si="323"/>
        <v>10.220.80.16</v>
      </c>
    </row>
    <row r="2251" spans="1:26" x14ac:dyDescent="0.25">
      <c r="A2251" t="s">
        <v>10</v>
      </c>
      <c r="B2251" t="s">
        <v>1206</v>
      </c>
      <c r="C2251" t="s">
        <v>1618</v>
      </c>
      <c r="D2251" t="s">
        <v>1619</v>
      </c>
      <c r="E2251" t="s">
        <v>3100</v>
      </c>
      <c r="F2251" t="s">
        <v>14</v>
      </c>
      <c r="G2251" t="s">
        <v>1375</v>
      </c>
      <c r="H2251" t="s">
        <v>22</v>
      </c>
      <c r="I2251" t="s">
        <v>3115</v>
      </c>
      <c r="J2251" t="s">
        <v>1375</v>
      </c>
      <c r="K2251" t="str">
        <f t="shared" si="315"/>
        <v>5021.14</v>
      </c>
      <c r="N2251" t="str">
        <f t="shared" si="316"/>
        <v>HOLDING REGISTER</v>
      </c>
      <c r="O2251" t="str">
        <f t="shared" si="317"/>
        <v>BOOL</v>
      </c>
      <c r="P2251" t="str">
        <f t="shared" si="318"/>
        <v>TELECAMERA T11N</v>
      </c>
      <c r="R2251" t="str">
        <f t="shared" si="319"/>
        <v>disponibile</v>
      </c>
      <c r="U2251" t="str">
        <f t="shared" si="320"/>
        <v>disponibile</v>
      </c>
      <c r="V2251" t="str">
        <f t="shared" si="321"/>
        <v>DIREZIONE SUD</v>
      </c>
      <c r="W2251" t="str">
        <f t="shared" si="322"/>
        <v>GALLERIA CASOLA</v>
      </c>
      <c r="Z2251" t="str">
        <f t="shared" si="323"/>
        <v>10.220.80.16</v>
      </c>
    </row>
    <row r="2252" spans="1:26" x14ac:dyDescent="0.25">
      <c r="A2252" t="s">
        <v>10</v>
      </c>
      <c r="B2252" t="s">
        <v>1206</v>
      </c>
      <c r="C2252" t="s">
        <v>1618</v>
      </c>
      <c r="D2252" t="s">
        <v>1619</v>
      </c>
      <c r="E2252" t="s">
        <v>3100</v>
      </c>
      <c r="F2252" t="s">
        <v>14</v>
      </c>
      <c r="G2252" t="s">
        <v>1375</v>
      </c>
      <c r="H2252" t="s">
        <v>22</v>
      </c>
      <c r="I2252" t="s">
        <v>3116</v>
      </c>
      <c r="J2252" t="s">
        <v>1375</v>
      </c>
      <c r="K2252" t="str">
        <f t="shared" si="315"/>
        <v>5021.15</v>
      </c>
      <c r="N2252" t="str">
        <f t="shared" si="316"/>
        <v>HOLDING REGISTER</v>
      </c>
      <c r="O2252" t="str">
        <f t="shared" si="317"/>
        <v>BOOL</v>
      </c>
      <c r="P2252" t="str">
        <f t="shared" si="318"/>
        <v>TELECAMERA T11N</v>
      </c>
      <c r="R2252" t="str">
        <f t="shared" si="319"/>
        <v>disponibile</v>
      </c>
      <c r="U2252" t="str">
        <f t="shared" si="320"/>
        <v>disponibile</v>
      </c>
      <c r="V2252" t="str">
        <f t="shared" si="321"/>
        <v>DIREZIONE SUD</v>
      </c>
      <c r="W2252" t="str">
        <f t="shared" si="322"/>
        <v>GALLERIA CASOLA</v>
      </c>
      <c r="Z2252" t="str">
        <f t="shared" si="323"/>
        <v>10.220.80.16</v>
      </c>
    </row>
    <row r="2253" spans="1:26" x14ac:dyDescent="0.25">
      <c r="A2253" t="s">
        <v>10</v>
      </c>
      <c r="B2253" t="s">
        <v>1206</v>
      </c>
      <c r="C2253" t="s">
        <v>1618</v>
      </c>
      <c r="D2253" t="s">
        <v>1619</v>
      </c>
      <c r="E2253" t="s">
        <v>3117</v>
      </c>
      <c r="F2253" t="s">
        <v>14</v>
      </c>
      <c r="G2253" t="s">
        <v>21</v>
      </c>
      <c r="H2253" t="s">
        <v>22</v>
      </c>
      <c r="I2253" t="s">
        <v>3118</v>
      </c>
      <c r="J2253" t="s">
        <v>1622</v>
      </c>
      <c r="K2253" t="str">
        <f t="shared" si="315"/>
        <v>5022.0</v>
      </c>
      <c r="N2253" t="str">
        <f t="shared" si="316"/>
        <v>HOLDING REGISTER</v>
      </c>
      <c r="O2253" t="str">
        <f t="shared" si="317"/>
        <v>BOOL</v>
      </c>
      <c r="P2253" t="str">
        <f t="shared" si="318"/>
        <v>TELECAMERA T12N</v>
      </c>
      <c r="R2253" t="str">
        <f t="shared" si="319"/>
        <v>ALLARMI TELECAMERA ESCLUSI</v>
      </c>
      <c r="U2253" t="str">
        <f t="shared" si="320"/>
        <v>Stato</v>
      </c>
      <c r="V2253" t="str">
        <f t="shared" si="321"/>
        <v>DIREZIONE SUD</v>
      </c>
      <c r="W2253" t="str">
        <f t="shared" si="322"/>
        <v>GALLERIA CASOLA</v>
      </c>
      <c r="Z2253" t="str">
        <f t="shared" si="323"/>
        <v>10.220.80.16</v>
      </c>
    </row>
    <row r="2254" spans="1:26" x14ac:dyDescent="0.25">
      <c r="A2254" t="s">
        <v>10</v>
      </c>
      <c r="B2254" t="s">
        <v>1206</v>
      </c>
      <c r="C2254" t="s">
        <v>1618</v>
      </c>
      <c r="D2254" t="s">
        <v>1619</v>
      </c>
      <c r="E2254" t="s">
        <v>3117</v>
      </c>
      <c r="F2254" t="s">
        <v>14</v>
      </c>
      <c r="G2254" t="s">
        <v>21</v>
      </c>
      <c r="H2254" t="s">
        <v>22</v>
      </c>
      <c r="I2254" t="s">
        <v>3119</v>
      </c>
      <c r="J2254" t="s">
        <v>1624</v>
      </c>
      <c r="K2254" t="str">
        <f t="shared" si="315"/>
        <v>5022.1</v>
      </c>
      <c r="N2254" t="str">
        <f t="shared" si="316"/>
        <v>HOLDING REGISTER</v>
      </c>
      <c r="O2254" t="str">
        <f t="shared" si="317"/>
        <v>BOOL</v>
      </c>
      <c r="P2254" t="str">
        <f t="shared" si="318"/>
        <v>TELECAMERA T12N</v>
      </c>
      <c r="R2254" t="str">
        <f t="shared" si="319"/>
        <v>IN MANUTENZIONE ALLARME FUMO</v>
      </c>
      <c r="U2254" t="str">
        <f t="shared" si="320"/>
        <v>Stato</v>
      </c>
      <c r="V2254" t="str">
        <f t="shared" si="321"/>
        <v>DIREZIONE SUD</v>
      </c>
      <c r="W2254" t="str">
        <f t="shared" si="322"/>
        <v>GALLERIA CASOLA</v>
      </c>
      <c r="Z2254" t="str">
        <f t="shared" si="323"/>
        <v>10.220.80.16</v>
      </c>
    </row>
    <row r="2255" spans="1:26" x14ac:dyDescent="0.25">
      <c r="A2255" t="s">
        <v>10</v>
      </c>
      <c r="B2255" t="s">
        <v>1206</v>
      </c>
      <c r="C2255" t="s">
        <v>1618</v>
      </c>
      <c r="D2255" t="s">
        <v>1619</v>
      </c>
      <c r="E2255" t="s">
        <v>3117</v>
      </c>
      <c r="F2255" t="s">
        <v>14</v>
      </c>
      <c r="G2255" t="s">
        <v>21</v>
      </c>
      <c r="H2255" t="s">
        <v>22</v>
      </c>
      <c r="I2255" t="s">
        <v>3120</v>
      </c>
      <c r="J2255" t="s">
        <v>1626</v>
      </c>
      <c r="K2255" t="str">
        <f t="shared" si="315"/>
        <v>5022.2</v>
      </c>
      <c r="N2255" t="str">
        <f t="shared" si="316"/>
        <v>HOLDING REGISTER</v>
      </c>
      <c r="O2255" t="str">
        <f t="shared" si="317"/>
        <v>BOOL</v>
      </c>
      <c r="P2255" t="str">
        <f t="shared" si="318"/>
        <v>TELECAMERA T12N</v>
      </c>
      <c r="R2255" t="str">
        <f t="shared" si="319"/>
        <v>IN MANUTENZIONE ALLARMI TRAFFICO</v>
      </c>
      <c r="U2255" t="str">
        <f t="shared" si="320"/>
        <v>Stato</v>
      </c>
      <c r="V2255" t="str">
        <f t="shared" si="321"/>
        <v>DIREZIONE SUD</v>
      </c>
      <c r="W2255" t="str">
        <f t="shared" si="322"/>
        <v>GALLERIA CASOLA</v>
      </c>
      <c r="Z2255" t="str">
        <f t="shared" si="323"/>
        <v>10.220.80.16</v>
      </c>
    </row>
    <row r="2256" spans="1:26" x14ac:dyDescent="0.25">
      <c r="A2256" t="s">
        <v>10</v>
      </c>
      <c r="B2256" t="s">
        <v>1206</v>
      </c>
      <c r="C2256" t="s">
        <v>1618</v>
      </c>
      <c r="D2256" t="s">
        <v>1619</v>
      </c>
      <c r="E2256" t="s">
        <v>3117</v>
      </c>
      <c r="F2256" t="s">
        <v>14</v>
      </c>
      <c r="G2256" t="s">
        <v>1375</v>
      </c>
      <c r="H2256" t="s">
        <v>22</v>
      </c>
      <c r="I2256" t="s">
        <v>3121</v>
      </c>
      <c r="J2256" t="s">
        <v>1375</v>
      </c>
      <c r="K2256" t="str">
        <f t="shared" si="315"/>
        <v>5022.3</v>
      </c>
      <c r="N2256" t="str">
        <f t="shared" si="316"/>
        <v>HOLDING REGISTER</v>
      </c>
      <c r="O2256" t="str">
        <f t="shared" si="317"/>
        <v>BOOL</v>
      </c>
      <c r="P2256" t="str">
        <f t="shared" si="318"/>
        <v>TELECAMERA T12N</v>
      </c>
      <c r="R2256" t="str">
        <f t="shared" si="319"/>
        <v>disponibile</v>
      </c>
      <c r="U2256" t="str">
        <f t="shared" si="320"/>
        <v>disponibile</v>
      </c>
      <c r="V2256" t="str">
        <f t="shared" si="321"/>
        <v>DIREZIONE SUD</v>
      </c>
      <c r="W2256" t="str">
        <f t="shared" si="322"/>
        <v>GALLERIA CASOLA</v>
      </c>
      <c r="Z2256" t="str">
        <f t="shared" si="323"/>
        <v>10.220.80.16</v>
      </c>
    </row>
    <row r="2257" spans="1:26" x14ac:dyDescent="0.25">
      <c r="A2257" t="s">
        <v>10</v>
      </c>
      <c r="B2257" t="s">
        <v>1206</v>
      </c>
      <c r="C2257" t="s">
        <v>1618</v>
      </c>
      <c r="D2257" t="s">
        <v>1619</v>
      </c>
      <c r="E2257" t="s">
        <v>3117</v>
      </c>
      <c r="F2257" t="s">
        <v>14</v>
      </c>
      <c r="G2257" t="s">
        <v>1375</v>
      </c>
      <c r="H2257" t="s">
        <v>22</v>
      </c>
      <c r="I2257" t="s">
        <v>3122</v>
      </c>
      <c r="J2257" t="s">
        <v>1375</v>
      </c>
      <c r="K2257" t="str">
        <f t="shared" si="315"/>
        <v>5022.4</v>
      </c>
      <c r="N2257" t="str">
        <f t="shared" si="316"/>
        <v>HOLDING REGISTER</v>
      </c>
      <c r="O2257" t="str">
        <f t="shared" si="317"/>
        <v>BOOL</v>
      </c>
      <c r="P2257" t="str">
        <f t="shared" si="318"/>
        <v>TELECAMERA T12N</v>
      </c>
      <c r="R2257" t="str">
        <f t="shared" si="319"/>
        <v>disponibile</v>
      </c>
      <c r="U2257" t="str">
        <f t="shared" si="320"/>
        <v>disponibile</v>
      </c>
      <c r="V2257" t="str">
        <f t="shared" si="321"/>
        <v>DIREZIONE SUD</v>
      </c>
      <c r="W2257" t="str">
        <f t="shared" si="322"/>
        <v>GALLERIA CASOLA</v>
      </c>
      <c r="Z2257" t="str">
        <f t="shared" si="323"/>
        <v>10.220.80.16</v>
      </c>
    </row>
    <row r="2258" spans="1:26" x14ac:dyDescent="0.25">
      <c r="A2258" t="s">
        <v>10</v>
      </c>
      <c r="B2258" t="s">
        <v>1206</v>
      </c>
      <c r="C2258" t="s">
        <v>1618</v>
      </c>
      <c r="D2258" t="s">
        <v>1619</v>
      </c>
      <c r="E2258" t="s">
        <v>3117</v>
      </c>
      <c r="F2258" t="s">
        <v>14</v>
      </c>
      <c r="G2258" t="s">
        <v>1375</v>
      </c>
      <c r="H2258" t="s">
        <v>22</v>
      </c>
      <c r="I2258" t="s">
        <v>3123</v>
      </c>
      <c r="J2258" t="s">
        <v>1375</v>
      </c>
      <c r="K2258" t="str">
        <f t="shared" si="315"/>
        <v>5022.5</v>
      </c>
      <c r="N2258" t="str">
        <f t="shared" si="316"/>
        <v>HOLDING REGISTER</v>
      </c>
      <c r="O2258" t="str">
        <f t="shared" si="317"/>
        <v>BOOL</v>
      </c>
      <c r="P2258" t="str">
        <f t="shared" si="318"/>
        <v>TELECAMERA T12N</v>
      </c>
      <c r="R2258" t="str">
        <f t="shared" si="319"/>
        <v>disponibile</v>
      </c>
      <c r="U2258" t="str">
        <f t="shared" si="320"/>
        <v>disponibile</v>
      </c>
      <c r="V2258" t="str">
        <f t="shared" si="321"/>
        <v>DIREZIONE SUD</v>
      </c>
      <c r="W2258" t="str">
        <f t="shared" si="322"/>
        <v>GALLERIA CASOLA</v>
      </c>
      <c r="Z2258" t="str">
        <f t="shared" si="323"/>
        <v>10.220.80.16</v>
      </c>
    </row>
    <row r="2259" spans="1:26" x14ac:dyDescent="0.25">
      <c r="A2259" t="s">
        <v>10</v>
      </c>
      <c r="B2259" t="s">
        <v>1206</v>
      </c>
      <c r="C2259" t="s">
        <v>1618</v>
      </c>
      <c r="D2259" t="s">
        <v>1619</v>
      </c>
      <c r="E2259" t="s">
        <v>3117</v>
      </c>
      <c r="F2259" t="s">
        <v>14</v>
      </c>
      <c r="G2259" t="s">
        <v>1375</v>
      </c>
      <c r="H2259" t="s">
        <v>22</v>
      </c>
      <c r="I2259" t="s">
        <v>3124</v>
      </c>
      <c r="J2259" t="s">
        <v>1375</v>
      </c>
      <c r="K2259" t="str">
        <f t="shared" si="315"/>
        <v>5022.6</v>
      </c>
      <c r="N2259" t="str">
        <f t="shared" si="316"/>
        <v>HOLDING REGISTER</v>
      </c>
      <c r="O2259" t="str">
        <f t="shared" si="317"/>
        <v>BOOL</v>
      </c>
      <c r="P2259" t="str">
        <f t="shared" si="318"/>
        <v>TELECAMERA T12N</v>
      </c>
      <c r="R2259" t="str">
        <f t="shared" si="319"/>
        <v>disponibile</v>
      </c>
      <c r="U2259" t="str">
        <f t="shared" si="320"/>
        <v>disponibile</v>
      </c>
      <c r="V2259" t="str">
        <f t="shared" si="321"/>
        <v>DIREZIONE SUD</v>
      </c>
      <c r="W2259" t="str">
        <f t="shared" si="322"/>
        <v>GALLERIA CASOLA</v>
      </c>
      <c r="Z2259" t="str">
        <f t="shared" si="323"/>
        <v>10.220.80.16</v>
      </c>
    </row>
    <row r="2260" spans="1:26" x14ac:dyDescent="0.25">
      <c r="A2260" t="s">
        <v>10</v>
      </c>
      <c r="B2260" t="s">
        <v>1206</v>
      </c>
      <c r="C2260" t="s">
        <v>1618</v>
      </c>
      <c r="D2260" t="s">
        <v>1619</v>
      </c>
      <c r="E2260" t="s">
        <v>3117</v>
      </c>
      <c r="F2260" t="s">
        <v>14</v>
      </c>
      <c r="G2260" t="s">
        <v>1375</v>
      </c>
      <c r="H2260" t="s">
        <v>22</v>
      </c>
      <c r="I2260" t="s">
        <v>3125</v>
      </c>
      <c r="J2260" t="s">
        <v>1375</v>
      </c>
      <c r="K2260" t="str">
        <f t="shared" si="315"/>
        <v>5022.7</v>
      </c>
      <c r="N2260" t="str">
        <f t="shared" si="316"/>
        <v>HOLDING REGISTER</v>
      </c>
      <c r="O2260" t="str">
        <f t="shared" si="317"/>
        <v>BOOL</v>
      </c>
      <c r="P2260" t="str">
        <f t="shared" si="318"/>
        <v>TELECAMERA T12N</v>
      </c>
      <c r="R2260" t="str">
        <f t="shared" si="319"/>
        <v>disponibile</v>
      </c>
      <c r="U2260" t="str">
        <f t="shared" si="320"/>
        <v>disponibile</v>
      </c>
      <c r="V2260" t="str">
        <f t="shared" si="321"/>
        <v>DIREZIONE SUD</v>
      </c>
      <c r="W2260" t="str">
        <f t="shared" si="322"/>
        <v>GALLERIA CASOLA</v>
      </c>
      <c r="Z2260" t="str">
        <f t="shared" si="323"/>
        <v>10.220.80.16</v>
      </c>
    </row>
    <row r="2261" spans="1:26" x14ac:dyDescent="0.25">
      <c r="A2261" t="s">
        <v>10</v>
      </c>
      <c r="B2261" t="s">
        <v>1206</v>
      </c>
      <c r="C2261" t="s">
        <v>1618</v>
      </c>
      <c r="D2261" t="s">
        <v>1619</v>
      </c>
      <c r="E2261" t="s">
        <v>3117</v>
      </c>
      <c r="F2261" t="s">
        <v>14</v>
      </c>
      <c r="G2261" t="s">
        <v>1375</v>
      </c>
      <c r="H2261" t="s">
        <v>22</v>
      </c>
      <c r="I2261" t="s">
        <v>3126</v>
      </c>
      <c r="J2261" t="s">
        <v>1375</v>
      </c>
      <c r="K2261" t="str">
        <f t="shared" si="315"/>
        <v>5022.8</v>
      </c>
      <c r="N2261" t="str">
        <f t="shared" si="316"/>
        <v>HOLDING REGISTER</v>
      </c>
      <c r="O2261" t="str">
        <f t="shared" si="317"/>
        <v>BOOL</v>
      </c>
      <c r="P2261" t="str">
        <f t="shared" si="318"/>
        <v>TELECAMERA T12N</v>
      </c>
      <c r="R2261" t="str">
        <f t="shared" si="319"/>
        <v>disponibile</v>
      </c>
      <c r="U2261" t="str">
        <f t="shared" si="320"/>
        <v>disponibile</v>
      </c>
      <c r="V2261" t="str">
        <f t="shared" si="321"/>
        <v>DIREZIONE SUD</v>
      </c>
      <c r="W2261" t="str">
        <f t="shared" si="322"/>
        <v>GALLERIA CASOLA</v>
      </c>
      <c r="Z2261" t="str">
        <f t="shared" si="323"/>
        <v>10.220.80.16</v>
      </c>
    </row>
    <row r="2262" spans="1:26" x14ac:dyDescent="0.25">
      <c r="A2262" t="s">
        <v>10</v>
      </c>
      <c r="B2262" t="s">
        <v>1206</v>
      </c>
      <c r="C2262" t="s">
        <v>1618</v>
      </c>
      <c r="D2262" t="s">
        <v>1619</v>
      </c>
      <c r="E2262" t="s">
        <v>3117</v>
      </c>
      <c r="F2262" t="s">
        <v>14</v>
      </c>
      <c r="G2262" t="s">
        <v>1375</v>
      </c>
      <c r="H2262" t="s">
        <v>22</v>
      </c>
      <c r="I2262" t="s">
        <v>3127</v>
      </c>
      <c r="J2262" t="s">
        <v>1375</v>
      </c>
      <c r="K2262" t="str">
        <f t="shared" si="315"/>
        <v>5022.9</v>
      </c>
      <c r="N2262" t="str">
        <f t="shared" si="316"/>
        <v>HOLDING REGISTER</v>
      </c>
      <c r="O2262" t="str">
        <f t="shared" si="317"/>
        <v>BOOL</v>
      </c>
      <c r="P2262" t="str">
        <f t="shared" si="318"/>
        <v>TELECAMERA T12N</v>
      </c>
      <c r="R2262" t="str">
        <f t="shared" si="319"/>
        <v>disponibile</v>
      </c>
      <c r="U2262" t="str">
        <f t="shared" si="320"/>
        <v>disponibile</v>
      </c>
      <c r="V2262" t="str">
        <f t="shared" si="321"/>
        <v>DIREZIONE SUD</v>
      </c>
      <c r="W2262" t="str">
        <f t="shared" si="322"/>
        <v>GALLERIA CASOLA</v>
      </c>
      <c r="Z2262" t="str">
        <f t="shared" si="323"/>
        <v>10.220.80.16</v>
      </c>
    </row>
    <row r="2263" spans="1:26" x14ac:dyDescent="0.25">
      <c r="A2263" t="s">
        <v>10</v>
      </c>
      <c r="B2263" t="s">
        <v>1206</v>
      </c>
      <c r="C2263" t="s">
        <v>1618</v>
      </c>
      <c r="D2263" t="s">
        <v>1619</v>
      </c>
      <c r="E2263" t="s">
        <v>3117</v>
      </c>
      <c r="F2263" t="s">
        <v>14</v>
      </c>
      <c r="G2263" t="s">
        <v>1375</v>
      </c>
      <c r="H2263" t="s">
        <v>22</v>
      </c>
      <c r="I2263" t="s">
        <v>3128</v>
      </c>
      <c r="J2263" t="s">
        <v>1375</v>
      </c>
      <c r="K2263" t="str">
        <f t="shared" si="315"/>
        <v>5022.10</v>
      </c>
      <c r="N2263" t="str">
        <f t="shared" si="316"/>
        <v>HOLDING REGISTER</v>
      </c>
      <c r="O2263" t="str">
        <f t="shared" si="317"/>
        <v>BOOL</v>
      </c>
      <c r="P2263" t="str">
        <f t="shared" si="318"/>
        <v>TELECAMERA T12N</v>
      </c>
      <c r="R2263" t="str">
        <f t="shared" si="319"/>
        <v>disponibile</v>
      </c>
      <c r="U2263" t="str">
        <f t="shared" si="320"/>
        <v>disponibile</v>
      </c>
      <c r="V2263" t="str">
        <f t="shared" si="321"/>
        <v>DIREZIONE SUD</v>
      </c>
      <c r="W2263" t="str">
        <f t="shared" si="322"/>
        <v>GALLERIA CASOLA</v>
      </c>
      <c r="Z2263" t="str">
        <f t="shared" si="323"/>
        <v>10.220.80.16</v>
      </c>
    </row>
    <row r="2264" spans="1:26" x14ac:dyDescent="0.25">
      <c r="A2264" t="s">
        <v>10</v>
      </c>
      <c r="B2264" t="s">
        <v>1206</v>
      </c>
      <c r="C2264" t="s">
        <v>1618</v>
      </c>
      <c r="D2264" t="s">
        <v>1619</v>
      </c>
      <c r="E2264" t="s">
        <v>3117</v>
      </c>
      <c r="F2264" t="s">
        <v>14</v>
      </c>
      <c r="G2264" t="s">
        <v>1375</v>
      </c>
      <c r="H2264" t="s">
        <v>22</v>
      </c>
      <c r="I2264" t="s">
        <v>3129</v>
      </c>
      <c r="J2264" t="s">
        <v>1375</v>
      </c>
      <c r="K2264" t="str">
        <f t="shared" si="315"/>
        <v>5022.11</v>
      </c>
      <c r="N2264" t="str">
        <f t="shared" si="316"/>
        <v>HOLDING REGISTER</v>
      </c>
      <c r="O2264" t="str">
        <f t="shared" si="317"/>
        <v>BOOL</v>
      </c>
      <c r="P2264" t="str">
        <f t="shared" si="318"/>
        <v>TELECAMERA T12N</v>
      </c>
      <c r="R2264" t="str">
        <f t="shared" si="319"/>
        <v>disponibile</v>
      </c>
      <c r="U2264" t="str">
        <f t="shared" si="320"/>
        <v>disponibile</v>
      </c>
      <c r="V2264" t="str">
        <f t="shared" si="321"/>
        <v>DIREZIONE SUD</v>
      </c>
      <c r="W2264" t="str">
        <f t="shared" si="322"/>
        <v>GALLERIA CASOLA</v>
      </c>
      <c r="Z2264" t="str">
        <f t="shared" si="323"/>
        <v>10.220.80.16</v>
      </c>
    </row>
    <row r="2265" spans="1:26" x14ac:dyDescent="0.25">
      <c r="A2265" t="s">
        <v>10</v>
      </c>
      <c r="B2265" t="s">
        <v>1206</v>
      </c>
      <c r="C2265" t="s">
        <v>1618</v>
      </c>
      <c r="D2265" t="s">
        <v>1619</v>
      </c>
      <c r="E2265" t="s">
        <v>3117</v>
      </c>
      <c r="F2265" t="s">
        <v>14</v>
      </c>
      <c r="G2265" t="s">
        <v>1375</v>
      </c>
      <c r="H2265" t="s">
        <v>22</v>
      </c>
      <c r="I2265" t="s">
        <v>3130</v>
      </c>
      <c r="J2265" t="s">
        <v>1375</v>
      </c>
      <c r="K2265" t="str">
        <f t="shared" si="315"/>
        <v>5022.12</v>
      </c>
      <c r="N2265" t="str">
        <f t="shared" si="316"/>
        <v>HOLDING REGISTER</v>
      </c>
      <c r="O2265" t="str">
        <f t="shared" si="317"/>
        <v>BOOL</v>
      </c>
      <c r="P2265" t="str">
        <f t="shared" si="318"/>
        <v>TELECAMERA T12N</v>
      </c>
      <c r="R2265" t="str">
        <f t="shared" si="319"/>
        <v>disponibile</v>
      </c>
      <c r="U2265" t="str">
        <f t="shared" si="320"/>
        <v>disponibile</v>
      </c>
      <c r="V2265" t="str">
        <f t="shared" si="321"/>
        <v>DIREZIONE SUD</v>
      </c>
      <c r="W2265" t="str">
        <f t="shared" si="322"/>
        <v>GALLERIA CASOLA</v>
      </c>
      <c r="Z2265" t="str">
        <f t="shared" si="323"/>
        <v>10.220.80.16</v>
      </c>
    </row>
    <row r="2266" spans="1:26" x14ac:dyDescent="0.25">
      <c r="A2266" t="s">
        <v>10</v>
      </c>
      <c r="B2266" t="s">
        <v>1206</v>
      </c>
      <c r="C2266" t="s">
        <v>1618</v>
      </c>
      <c r="D2266" t="s">
        <v>1619</v>
      </c>
      <c r="E2266" t="s">
        <v>3117</v>
      </c>
      <c r="F2266" t="s">
        <v>14</v>
      </c>
      <c r="G2266" t="s">
        <v>1375</v>
      </c>
      <c r="H2266" t="s">
        <v>22</v>
      </c>
      <c r="I2266" t="s">
        <v>3131</v>
      </c>
      <c r="J2266" t="s">
        <v>1375</v>
      </c>
      <c r="K2266" t="str">
        <f t="shared" si="315"/>
        <v>5022.13</v>
      </c>
      <c r="N2266" t="str">
        <f t="shared" si="316"/>
        <v>HOLDING REGISTER</v>
      </c>
      <c r="O2266" t="str">
        <f t="shared" si="317"/>
        <v>BOOL</v>
      </c>
      <c r="P2266" t="str">
        <f t="shared" si="318"/>
        <v>TELECAMERA T12N</v>
      </c>
      <c r="R2266" t="str">
        <f t="shared" si="319"/>
        <v>disponibile</v>
      </c>
      <c r="U2266" t="str">
        <f t="shared" si="320"/>
        <v>disponibile</v>
      </c>
      <c r="V2266" t="str">
        <f t="shared" si="321"/>
        <v>DIREZIONE SUD</v>
      </c>
      <c r="W2266" t="str">
        <f t="shared" si="322"/>
        <v>GALLERIA CASOLA</v>
      </c>
      <c r="Z2266" t="str">
        <f t="shared" si="323"/>
        <v>10.220.80.16</v>
      </c>
    </row>
    <row r="2267" spans="1:26" x14ac:dyDescent="0.25">
      <c r="A2267" t="s">
        <v>10</v>
      </c>
      <c r="B2267" t="s">
        <v>1206</v>
      </c>
      <c r="C2267" t="s">
        <v>1618</v>
      </c>
      <c r="D2267" t="s">
        <v>1619</v>
      </c>
      <c r="E2267" t="s">
        <v>3117</v>
      </c>
      <c r="F2267" t="s">
        <v>14</v>
      </c>
      <c r="G2267" t="s">
        <v>1375</v>
      </c>
      <c r="H2267" t="s">
        <v>22</v>
      </c>
      <c r="I2267" t="s">
        <v>3132</v>
      </c>
      <c r="J2267" t="s">
        <v>1375</v>
      </c>
      <c r="K2267" t="str">
        <f t="shared" si="315"/>
        <v>5022.14</v>
      </c>
      <c r="N2267" t="str">
        <f t="shared" si="316"/>
        <v>HOLDING REGISTER</v>
      </c>
      <c r="O2267" t="str">
        <f t="shared" si="317"/>
        <v>BOOL</v>
      </c>
      <c r="P2267" t="str">
        <f t="shared" si="318"/>
        <v>TELECAMERA T12N</v>
      </c>
      <c r="R2267" t="str">
        <f t="shared" si="319"/>
        <v>disponibile</v>
      </c>
      <c r="U2267" t="str">
        <f t="shared" si="320"/>
        <v>disponibile</v>
      </c>
      <c r="V2267" t="str">
        <f t="shared" si="321"/>
        <v>DIREZIONE SUD</v>
      </c>
      <c r="W2267" t="str">
        <f t="shared" si="322"/>
        <v>GALLERIA CASOLA</v>
      </c>
      <c r="Z2267" t="str">
        <f t="shared" si="323"/>
        <v>10.220.80.16</v>
      </c>
    </row>
    <row r="2268" spans="1:26" x14ac:dyDescent="0.25">
      <c r="A2268" t="s">
        <v>10</v>
      </c>
      <c r="B2268" t="s">
        <v>1206</v>
      </c>
      <c r="C2268" t="s">
        <v>1618</v>
      </c>
      <c r="D2268" t="s">
        <v>1619</v>
      </c>
      <c r="E2268" t="s">
        <v>3117</v>
      </c>
      <c r="F2268" t="s">
        <v>14</v>
      </c>
      <c r="G2268" t="s">
        <v>1375</v>
      </c>
      <c r="H2268" t="s">
        <v>22</v>
      </c>
      <c r="I2268" t="s">
        <v>3133</v>
      </c>
      <c r="J2268" t="s">
        <v>1375</v>
      </c>
      <c r="K2268" t="str">
        <f t="shared" si="315"/>
        <v>5022.15</v>
      </c>
      <c r="N2268" t="str">
        <f t="shared" si="316"/>
        <v>HOLDING REGISTER</v>
      </c>
      <c r="O2268" t="str">
        <f t="shared" si="317"/>
        <v>BOOL</v>
      </c>
      <c r="P2268" t="str">
        <f t="shared" si="318"/>
        <v>TELECAMERA T12N</v>
      </c>
      <c r="R2268" t="str">
        <f t="shared" si="319"/>
        <v>disponibile</v>
      </c>
      <c r="U2268" t="str">
        <f t="shared" si="320"/>
        <v>disponibile</v>
      </c>
      <c r="V2268" t="str">
        <f t="shared" si="321"/>
        <v>DIREZIONE SUD</v>
      </c>
      <c r="W2268" t="str">
        <f t="shared" si="322"/>
        <v>GALLERIA CASOLA</v>
      </c>
      <c r="Z2268" t="str">
        <f t="shared" si="323"/>
        <v>10.220.80.16</v>
      </c>
    </row>
    <row r="2269" spans="1:26" x14ac:dyDescent="0.25">
      <c r="A2269" t="s">
        <v>10</v>
      </c>
      <c r="B2269" t="s">
        <v>1206</v>
      </c>
      <c r="C2269" t="s">
        <v>1618</v>
      </c>
      <c r="D2269" t="s">
        <v>1619</v>
      </c>
      <c r="E2269" t="s">
        <v>1759</v>
      </c>
      <c r="F2269" t="s">
        <v>14</v>
      </c>
      <c r="G2269" t="s">
        <v>28</v>
      </c>
      <c r="H2269" t="s">
        <v>22</v>
      </c>
      <c r="I2269" t="s">
        <v>3134</v>
      </c>
      <c r="J2269" t="s">
        <v>1622</v>
      </c>
      <c r="K2269" t="str">
        <f t="shared" si="315"/>
        <v>5023.0</v>
      </c>
      <c r="N2269" t="str">
        <f t="shared" si="316"/>
        <v>HOLDING REGISTER</v>
      </c>
      <c r="O2269" t="str">
        <f t="shared" si="317"/>
        <v>BOOL</v>
      </c>
      <c r="P2269" t="str">
        <f t="shared" si="318"/>
        <v>TELECAMERA T13N</v>
      </c>
      <c r="R2269" t="str">
        <f t="shared" si="319"/>
        <v>ALLARMI TELECAMERA ESCLUSI</v>
      </c>
      <c r="U2269" t="str">
        <f t="shared" si="320"/>
        <v>Allarme</v>
      </c>
      <c r="V2269" t="str">
        <f t="shared" si="321"/>
        <v>DIREZIONE SUD</v>
      </c>
      <c r="W2269" t="str">
        <f t="shared" si="322"/>
        <v>GALLERIA CASOLA</v>
      </c>
      <c r="Z2269" t="str">
        <f t="shared" si="323"/>
        <v>10.220.80.16</v>
      </c>
    </row>
    <row r="2270" spans="1:26" x14ac:dyDescent="0.25">
      <c r="A2270" t="s">
        <v>10</v>
      </c>
      <c r="B2270" t="s">
        <v>1206</v>
      </c>
      <c r="C2270" t="s">
        <v>1761</v>
      </c>
      <c r="D2270" t="s">
        <v>1619</v>
      </c>
      <c r="E2270" t="s">
        <v>1759</v>
      </c>
      <c r="F2270" t="s">
        <v>14</v>
      </c>
      <c r="G2270" t="s">
        <v>28</v>
      </c>
      <c r="H2270" t="s">
        <v>22</v>
      </c>
      <c r="I2270" t="s">
        <v>3135</v>
      </c>
      <c r="J2270" t="s">
        <v>1624</v>
      </c>
      <c r="K2270" t="str">
        <f t="shared" si="315"/>
        <v>5023.1</v>
      </c>
      <c r="N2270" t="str">
        <f t="shared" si="316"/>
        <v>HOLDING REGISTER</v>
      </c>
      <c r="O2270" t="str">
        <f t="shared" si="317"/>
        <v>BOOL</v>
      </c>
      <c r="P2270" t="str">
        <f t="shared" si="318"/>
        <v>TELECAMERA T13N</v>
      </c>
      <c r="R2270" t="str">
        <f t="shared" si="319"/>
        <v>IN MANUTENZIONE ALLARME FUMO</v>
      </c>
      <c r="U2270" t="str">
        <f t="shared" si="320"/>
        <v>Allarme</v>
      </c>
      <c r="V2270" t="str">
        <f t="shared" si="321"/>
        <v>DIREZIONE NORD</v>
      </c>
      <c r="W2270" t="str">
        <f t="shared" si="322"/>
        <v>GALLERIA CASOLA</v>
      </c>
      <c r="Z2270" t="str">
        <f t="shared" si="323"/>
        <v>10.220.80.16</v>
      </c>
    </row>
    <row r="2271" spans="1:26" x14ac:dyDescent="0.25">
      <c r="A2271" t="s">
        <v>10</v>
      </c>
      <c r="B2271" t="s">
        <v>1206</v>
      </c>
      <c r="C2271" t="s">
        <v>1761</v>
      </c>
      <c r="D2271" t="s">
        <v>1619</v>
      </c>
      <c r="E2271" t="s">
        <v>1759</v>
      </c>
      <c r="F2271" t="s">
        <v>14</v>
      </c>
      <c r="G2271" t="s">
        <v>28</v>
      </c>
      <c r="H2271" t="s">
        <v>22</v>
      </c>
      <c r="I2271" t="s">
        <v>3136</v>
      </c>
      <c r="J2271" t="s">
        <v>1626</v>
      </c>
      <c r="K2271" t="str">
        <f t="shared" si="315"/>
        <v>5023.2</v>
      </c>
      <c r="N2271" t="str">
        <f t="shared" si="316"/>
        <v>HOLDING REGISTER</v>
      </c>
      <c r="O2271" t="str">
        <f t="shared" si="317"/>
        <v>BOOL</v>
      </c>
      <c r="P2271" t="str">
        <f t="shared" si="318"/>
        <v>TELECAMERA T13N</v>
      </c>
      <c r="R2271" t="str">
        <f t="shared" si="319"/>
        <v>IN MANUTENZIONE ALLARMI TRAFFICO</v>
      </c>
      <c r="U2271" t="str">
        <f t="shared" si="320"/>
        <v>Allarme</v>
      </c>
      <c r="V2271" t="str">
        <f t="shared" si="321"/>
        <v>DIREZIONE NORD</v>
      </c>
      <c r="W2271" t="str">
        <f t="shared" si="322"/>
        <v>GALLERIA CASOLA</v>
      </c>
      <c r="Z2271" t="str">
        <f t="shared" si="323"/>
        <v>10.220.80.16</v>
      </c>
    </row>
    <row r="2272" spans="1:26" x14ac:dyDescent="0.25">
      <c r="A2272" t="s">
        <v>10</v>
      </c>
      <c r="B2272" t="s">
        <v>1206</v>
      </c>
      <c r="C2272" t="s">
        <v>1761</v>
      </c>
      <c r="D2272" t="s">
        <v>1619</v>
      </c>
      <c r="E2272" t="s">
        <v>1759</v>
      </c>
      <c r="F2272" t="s">
        <v>14</v>
      </c>
      <c r="G2272" t="s">
        <v>1375</v>
      </c>
      <c r="H2272" t="s">
        <v>22</v>
      </c>
      <c r="I2272" t="s">
        <v>3137</v>
      </c>
      <c r="J2272" t="s">
        <v>1375</v>
      </c>
      <c r="K2272" t="str">
        <f t="shared" si="315"/>
        <v>5023.3</v>
      </c>
      <c r="N2272" t="str">
        <f t="shared" si="316"/>
        <v>HOLDING REGISTER</v>
      </c>
      <c r="O2272" t="str">
        <f t="shared" si="317"/>
        <v>BOOL</v>
      </c>
      <c r="P2272" t="str">
        <f t="shared" si="318"/>
        <v>TELECAMERA T13N</v>
      </c>
      <c r="R2272" t="str">
        <f t="shared" si="319"/>
        <v>disponibile</v>
      </c>
      <c r="U2272" t="str">
        <f t="shared" si="320"/>
        <v>disponibile</v>
      </c>
      <c r="V2272" t="str">
        <f t="shared" si="321"/>
        <v>DIREZIONE NORD</v>
      </c>
      <c r="W2272" t="str">
        <f t="shared" si="322"/>
        <v>GALLERIA CASOLA</v>
      </c>
      <c r="Z2272" t="str">
        <f t="shared" si="323"/>
        <v>10.220.80.16</v>
      </c>
    </row>
    <row r="2273" spans="1:26" x14ac:dyDescent="0.25">
      <c r="A2273" t="s">
        <v>10</v>
      </c>
      <c r="B2273" t="s">
        <v>1206</v>
      </c>
      <c r="C2273" t="s">
        <v>1761</v>
      </c>
      <c r="D2273" t="s">
        <v>1619</v>
      </c>
      <c r="E2273" t="s">
        <v>1759</v>
      </c>
      <c r="F2273" t="s">
        <v>14</v>
      </c>
      <c r="G2273" t="s">
        <v>1375</v>
      </c>
      <c r="H2273" t="s">
        <v>22</v>
      </c>
      <c r="I2273" t="s">
        <v>3138</v>
      </c>
      <c r="J2273" t="s">
        <v>1375</v>
      </c>
      <c r="K2273" t="str">
        <f t="shared" si="315"/>
        <v>5023.4</v>
      </c>
      <c r="N2273" t="str">
        <f t="shared" si="316"/>
        <v>HOLDING REGISTER</v>
      </c>
      <c r="O2273" t="str">
        <f t="shared" si="317"/>
        <v>BOOL</v>
      </c>
      <c r="P2273" t="str">
        <f t="shared" si="318"/>
        <v>TELECAMERA T13N</v>
      </c>
      <c r="R2273" t="str">
        <f t="shared" si="319"/>
        <v>disponibile</v>
      </c>
      <c r="U2273" t="str">
        <f t="shared" si="320"/>
        <v>disponibile</v>
      </c>
      <c r="V2273" t="str">
        <f t="shared" si="321"/>
        <v>DIREZIONE NORD</v>
      </c>
      <c r="W2273" t="str">
        <f t="shared" si="322"/>
        <v>GALLERIA CASOLA</v>
      </c>
      <c r="Z2273" t="str">
        <f t="shared" si="323"/>
        <v>10.220.80.16</v>
      </c>
    </row>
    <row r="2274" spans="1:26" x14ac:dyDescent="0.25">
      <c r="A2274" t="s">
        <v>10</v>
      </c>
      <c r="B2274" t="s">
        <v>1206</v>
      </c>
      <c r="C2274" t="s">
        <v>1761</v>
      </c>
      <c r="D2274" t="s">
        <v>1619</v>
      </c>
      <c r="E2274" t="s">
        <v>1759</v>
      </c>
      <c r="F2274" t="s">
        <v>14</v>
      </c>
      <c r="G2274" t="s">
        <v>1375</v>
      </c>
      <c r="H2274" t="s">
        <v>22</v>
      </c>
      <c r="I2274" t="s">
        <v>3139</v>
      </c>
      <c r="J2274" t="s">
        <v>1375</v>
      </c>
      <c r="K2274" t="str">
        <f t="shared" si="315"/>
        <v>5023.5</v>
      </c>
      <c r="N2274" t="str">
        <f t="shared" si="316"/>
        <v>HOLDING REGISTER</v>
      </c>
      <c r="O2274" t="str">
        <f t="shared" si="317"/>
        <v>BOOL</v>
      </c>
      <c r="P2274" t="str">
        <f t="shared" si="318"/>
        <v>TELECAMERA T13N</v>
      </c>
      <c r="R2274" t="str">
        <f t="shared" si="319"/>
        <v>disponibile</v>
      </c>
      <c r="U2274" t="str">
        <f t="shared" si="320"/>
        <v>disponibile</v>
      </c>
      <c r="V2274" t="str">
        <f t="shared" si="321"/>
        <v>DIREZIONE NORD</v>
      </c>
      <c r="W2274" t="str">
        <f t="shared" si="322"/>
        <v>GALLERIA CASOLA</v>
      </c>
      <c r="Z2274" t="str">
        <f t="shared" si="323"/>
        <v>10.220.80.16</v>
      </c>
    </row>
    <row r="2275" spans="1:26" x14ac:dyDescent="0.25">
      <c r="A2275" t="s">
        <v>10</v>
      </c>
      <c r="B2275" t="s">
        <v>1206</v>
      </c>
      <c r="C2275" t="s">
        <v>1761</v>
      </c>
      <c r="D2275" t="s">
        <v>1619</v>
      </c>
      <c r="E2275" t="s">
        <v>1759</v>
      </c>
      <c r="F2275" t="s">
        <v>14</v>
      </c>
      <c r="G2275" t="s">
        <v>1375</v>
      </c>
      <c r="H2275" t="s">
        <v>22</v>
      </c>
      <c r="I2275" t="s">
        <v>3140</v>
      </c>
      <c r="J2275" t="s">
        <v>1375</v>
      </c>
      <c r="K2275" t="str">
        <f t="shared" si="315"/>
        <v>5023.6</v>
      </c>
      <c r="N2275" t="str">
        <f t="shared" si="316"/>
        <v>HOLDING REGISTER</v>
      </c>
      <c r="O2275" t="str">
        <f t="shared" si="317"/>
        <v>BOOL</v>
      </c>
      <c r="P2275" t="str">
        <f t="shared" si="318"/>
        <v>TELECAMERA T13N</v>
      </c>
      <c r="R2275" t="str">
        <f t="shared" si="319"/>
        <v>disponibile</v>
      </c>
      <c r="U2275" t="str">
        <f t="shared" si="320"/>
        <v>disponibile</v>
      </c>
      <c r="V2275" t="str">
        <f t="shared" si="321"/>
        <v>DIREZIONE NORD</v>
      </c>
      <c r="W2275" t="str">
        <f t="shared" si="322"/>
        <v>GALLERIA CASOLA</v>
      </c>
      <c r="Z2275" t="str">
        <f t="shared" si="323"/>
        <v>10.220.80.16</v>
      </c>
    </row>
    <row r="2276" spans="1:26" x14ac:dyDescent="0.25">
      <c r="A2276" t="s">
        <v>10</v>
      </c>
      <c r="B2276" t="s">
        <v>1206</v>
      </c>
      <c r="C2276" t="s">
        <v>1761</v>
      </c>
      <c r="D2276" t="s">
        <v>1619</v>
      </c>
      <c r="E2276" t="s">
        <v>1759</v>
      </c>
      <c r="F2276" t="s">
        <v>14</v>
      </c>
      <c r="G2276" t="s">
        <v>1375</v>
      </c>
      <c r="H2276" t="s">
        <v>22</v>
      </c>
      <c r="I2276" t="s">
        <v>3141</v>
      </c>
      <c r="J2276" t="s">
        <v>1375</v>
      </c>
      <c r="K2276" t="str">
        <f t="shared" si="315"/>
        <v>5023.7</v>
      </c>
      <c r="N2276" t="str">
        <f t="shared" si="316"/>
        <v>HOLDING REGISTER</v>
      </c>
      <c r="O2276" t="str">
        <f t="shared" si="317"/>
        <v>BOOL</v>
      </c>
      <c r="P2276" t="str">
        <f t="shared" si="318"/>
        <v>TELECAMERA T13N</v>
      </c>
      <c r="R2276" t="str">
        <f t="shared" si="319"/>
        <v>disponibile</v>
      </c>
      <c r="U2276" t="str">
        <f t="shared" si="320"/>
        <v>disponibile</v>
      </c>
      <c r="V2276" t="str">
        <f t="shared" si="321"/>
        <v>DIREZIONE NORD</v>
      </c>
      <c r="W2276" t="str">
        <f t="shared" si="322"/>
        <v>GALLERIA CASOLA</v>
      </c>
      <c r="Z2276" t="str">
        <f t="shared" si="323"/>
        <v>10.220.80.16</v>
      </c>
    </row>
    <row r="2277" spans="1:26" x14ac:dyDescent="0.25">
      <c r="A2277" t="s">
        <v>10</v>
      </c>
      <c r="B2277" t="s">
        <v>1206</v>
      </c>
      <c r="C2277" t="s">
        <v>1761</v>
      </c>
      <c r="D2277" t="s">
        <v>1619</v>
      </c>
      <c r="E2277" t="s">
        <v>1759</v>
      </c>
      <c r="F2277" t="s">
        <v>14</v>
      </c>
      <c r="G2277" t="s">
        <v>1375</v>
      </c>
      <c r="H2277" t="s">
        <v>22</v>
      </c>
      <c r="I2277" t="s">
        <v>3142</v>
      </c>
      <c r="J2277" t="s">
        <v>1375</v>
      </c>
      <c r="K2277" t="str">
        <f t="shared" si="315"/>
        <v>5023.8</v>
      </c>
      <c r="N2277" t="str">
        <f t="shared" si="316"/>
        <v>HOLDING REGISTER</v>
      </c>
      <c r="O2277" t="str">
        <f t="shared" si="317"/>
        <v>BOOL</v>
      </c>
      <c r="P2277" t="str">
        <f t="shared" si="318"/>
        <v>TELECAMERA T13N</v>
      </c>
      <c r="R2277" t="str">
        <f t="shared" si="319"/>
        <v>disponibile</v>
      </c>
      <c r="U2277" t="str">
        <f t="shared" si="320"/>
        <v>disponibile</v>
      </c>
      <c r="V2277" t="str">
        <f t="shared" si="321"/>
        <v>DIREZIONE NORD</v>
      </c>
      <c r="W2277" t="str">
        <f t="shared" si="322"/>
        <v>GALLERIA CASOLA</v>
      </c>
      <c r="Z2277" t="str">
        <f t="shared" si="323"/>
        <v>10.220.80.16</v>
      </c>
    </row>
    <row r="2278" spans="1:26" x14ac:dyDescent="0.25">
      <c r="A2278" t="s">
        <v>10</v>
      </c>
      <c r="B2278" t="s">
        <v>1206</v>
      </c>
      <c r="C2278" t="s">
        <v>1761</v>
      </c>
      <c r="D2278" t="s">
        <v>1619</v>
      </c>
      <c r="E2278" t="s">
        <v>1759</v>
      </c>
      <c r="F2278" t="s">
        <v>14</v>
      </c>
      <c r="G2278" t="s">
        <v>1375</v>
      </c>
      <c r="H2278" t="s">
        <v>22</v>
      </c>
      <c r="I2278" t="s">
        <v>3143</v>
      </c>
      <c r="J2278" t="s">
        <v>1375</v>
      </c>
      <c r="K2278" t="str">
        <f t="shared" si="315"/>
        <v>5023.9</v>
      </c>
      <c r="N2278" t="str">
        <f t="shared" si="316"/>
        <v>HOLDING REGISTER</v>
      </c>
      <c r="O2278" t="str">
        <f t="shared" si="317"/>
        <v>BOOL</v>
      </c>
      <c r="P2278" t="str">
        <f t="shared" si="318"/>
        <v>TELECAMERA T13N</v>
      </c>
      <c r="R2278" t="str">
        <f t="shared" si="319"/>
        <v>disponibile</v>
      </c>
      <c r="U2278" t="str">
        <f t="shared" si="320"/>
        <v>disponibile</v>
      </c>
      <c r="V2278" t="str">
        <f t="shared" si="321"/>
        <v>DIREZIONE NORD</v>
      </c>
      <c r="W2278" t="str">
        <f t="shared" si="322"/>
        <v>GALLERIA CASOLA</v>
      </c>
      <c r="Z2278" t="str">
        <f t="shared" si="323"/>
        <v>10.220.80.16</v>
      </c>
    </row>
    <row r="2279" spans="1:26" x14ac:dyDescent="0.25">
      <c r="A2279" t="s">
        <v>10</v>
      </c>
      <c r="B2279" t="s">
        <v>1206</v>
      </c>
      <c r="C2279" t="s">
        <v>1761</v>
      </c>
      <c r="D2279" t="s">
        <v>1619</v>
      </c>
      <c r="E2279" t="s">
        <v>1759</v>
      </c>
      <c r="F2279" t="s">
        <v>14</v>
      </c>
      <c r="G2279" t="s">
        <v>1375</v>
      </c>
      <c r="H2279" t="s">
        <v>22</v>
      </c>
      <c r="I2279" t="s">
        <v>3144</v>
      </c>
      <c r="J2279" t="s">
        <v>1375</v>
      </c>
      <c r="K2279" t="str">
        <f t="shared" si="315"/>
        <v>5023.10</v>
      </c>
      <c r="N2279" t="str">
        <f t="shared" si="316"/>
        <v>HOLDING REGISTER</v>
      </c>
      <c r="O2279" t="str">
        <f t="shared" si="317"/>
        <v>BOOL</v>
      </c>
      <c r="P2279" t="str">
        <f t="shared" si="318"/>
        <v>TELECAMERA T13N</v>
      </c>
      <c r="R2279" t="str">
        <f t="shared" si="319"/>
        <v>disponibile</v>
      </c>
      <c r="U2279" t="str">
        <f t="shared" si="320"/>
        <v>disponibile</v>
      </c>
      <c r="V2279" t="str">
        <f t="shared" si="321"/>
        <v>DIREZIONE NORD</v>
      </c>
      <c r="W2279" t="str">
        <f t="shared" si="322"/>
        <v>GALLERIA CASOLA</v>
      </c>
      <c r="Z2279" t="str">
        <f t="shared" si="323"/>
        <v>10.220.80.16</v>
      </c>
    </row>
    <row r="2280" spans="1:26" x14ac:dyDescent="0.25">
      <c r="A2280" t="s">
        <v>10</v>
      </c>
      <c r="B2280" t="s">
        <v>1206</v>
      </c>
      <c r="C2280" t="s">
        <v>1761</v>
      </c>
      <c r="D2280" t="s">
        <v>1619</v>
      </c>
      <c r="E2280" t="s">
        <v>1759</v>
      </c>
      <c r="F2280" t="s">
        <v>14</v>
      </c>
      <c r="G2280" t="s">
        <v>1375</v>
      </c>
      <c r="H2280" t="s">
        <v>22</v>
      </c>
      <c r="I2280" t="s">
        <v>3145</v>
      </c>
      <c r="J2280" t="s">
        <v>1375</v>
      </c>
      <c r="K2280" t="str">
        <f t="shared" si="315"/>
        <v>5023.11</v>
      </c>
      <c r="N2280" t="str">
        <f t="shared" si="316"/>
        <v>HOLDING REGISTER</v>
      </c>
      <c r="O2280" t="str">
        <f t="shared" si="317"/>
        <v>BOOL</v>
      </c>
      <c r="P2280" t="str">
        <f t="shared" si="318"/>
        <v>TELECAMERA T13N</v>
      </c>
      <c r="R2280" t="str">
        <f t="shared" si="319"/>
        <v>disponibile</v>
      </c>
      <c r="U2280" t="str">
        <f t="shared" si="320"/>
        <v>disponibile</v>
      </c>
      <c r="V2280" t="str">
        <f t="shared" si="321"/>
        <v>DIREZIONE NORD</v>
      </c>
      <c r="W2280" t="str">
        <f t="shared" si="322"/>
        <v>GALLERIA CASOLA</v>
      </c>
      <c r="Z2280" t="str">
        <f t="shared" si="323"/>
        <v>10.220.80.16</v>
      </c>
    </row>
    <row r="2281" spans="1:26" x14ac:dyDescent="0.25">
      <c r="A2281" t="s">
        <v>10</v>
      </c>
      <c r="B2281" t="s">
        <v>1206</v>
      </c>
      <c r="C2281" t="s">
        <v>1761</v>
      </c>
      <c r="D2281" t="s">
        <v>1619</v>
      </c>
      <c r="E2281" t="s">
        <v>1759</v>
      </c>
      <c r="F2281" t="s">
        <v>14</v>
      </c>
      <c r="G2281" t="s">
        <v>1375</v>
      </c>
      <c r="H2281" t="s">
        <v>22</v>
      </c>
      <c r="I2281" t="s">
        <v>3146</v>
      </c>
      <c r="J2281" t="s">
        <v>1375</v>
      </c>
      <c r="K2281" t="str">
        <f t="shared" si="315"/>
        <v>5023.12</v>
      </c>
      <c r="N2281" t="str">
        <f t="shared" si="316"/>
        <v>HOLDING REGISTER</v>
      </c>
      <c r="O2281" t="str">
        <f t="shared" si="317"/>
        <v>BOOL</v>
      </c>
      <c r="P2281" t="str">
        <f t="shared" si="318"/>
        <v>TELECAMERA T13N</v>
      </c>
      <c r="R2281" t="str">
        <f t="shared" si="319"/>
        <v>disponibile</v>
      </c>
      <c r="U2281" t="str">
        <f t="shared" si="320"/>
        <v>disponibile</v>
      </c>
      <c r="V2281" t="str">
        <f t="shared" si="321"/>
        <v>DIREZIONE NORD</v>
      </c>
      <c r="W2281" t="str">
        <f t="shared" si="322"/>
        <v>GALLERIA CASOLA</v>
      </c>
      <c r="Z2281" t="str">
        <f t="shared" si="323"/>
        <v>10.220.80.16</v>
      </c>
    </row>
    <row r="2282" spans="1:26" x14ac:dyDescent="0.25">
      <c r="A2282" t="s">
        <v>10</v>
      </c>
      <c r="B2282" t="s">
        <v>1206</v>
      </c>
      <c r="C2282" t="s">
        <v>1761</v>
      </c>
      <c r="D2282" t="s">
        <v>1619</v>
      </c>
      <c r="E2282" t="s">
        <v>1759</v>
      </c>
      <c r="F2282" t="s">
        <v>14</v>
      </c>
      <c r="G2282" t="s">
        <v>1375</v>
      </c>
      <c r="H2282" t="s">
        <v>22</v>
      </c>
      <c r="I2282" t="s">
        <v>3147</v>
      </c>
      <c r="J2282" t="s">
        <v>1375</v>
      </c>
      <c r="K2282" t="str">
        <f t="shared" si="315"/>
        <v>5023.13</v>
      </c>
      <c r="N2282" t="str">
        <f t="shared" si="316"/>
        <v>HOLDING REGISTER</v>
      </c>
      <c r="O2282" t="str">
        <f t="shared" si="317"/>
        <v>BOOL</v>
      </c>
      <c r="P2282" t="str">
        <f t="shared" si="318"/>
        <v>TELECAMERA T13N</v>
      </c>
      <c r="R2282" t="str">
        <f t="shared" si="319"/>
        <v>disponibile</v>
      </c>
      <c r="U2282" t="str">
        <f t="shared" si="320"/>
        <v>disponibile</v>
      </c>
      <c r="V2282" t="str">
        <f t="shared" si="321"/>
        <v>DIREZIONE NORD</v>
      </c>
      <c r="W2282" t="str">
        <f t="shared" si="322"/>
        <v>GALLERIA CASOLA</v>
      </c>
      <c r="Z2282" t="str">
        <f t="shared" si="323"/>
        <v>10.220.80.16</v>
      </c>
    </row>
    <row r="2283" spans="1:26" x14ac:dyDescent="0.25">
      <c r="A2283" t="s">
        <v>10</v>
      </c>
      <c r="B2283" t="s">
        <v>1206</v>
      </c>
      <c r="C2283" t="s">
        <v>1761</v>
      </c>
      <c r="D2283" t="s">
        <v>1619</v>
      </c>
      <c r="E2283" t="s">
        <v>1759</v>
      </c>
      <c r="F2283" t="s">
        <v>14</v>
      </c>
      <c r="G2283" t="s">
        <v>1375</v>
      </c>
      <c r="H2283" t="s">
        <v>22</v>
      </c>
      <c r="I2283" t="s">
        <v>3148</v>
      </c>
      <c r="J2283" t="s">
        <v>1375</v>
      </c>
      <c r="K2283" t="str">
        <f t="shared" si="315"/>
        <v>5023.14</v>
      </c>
      <c r="N2283" t="str">
        <f t="shared" si="316"/>
        <v>HOLDING REGISTER</v>
      </c>
      <c r="O2283" t="str">
        <f t="shared" si="317"/>
        <v>BOOL</v>
      </c>
      <c r="P2283" t="str">
        <f t="shared" si="318"/>
        <v>TELECAMERA T13N</v>
      </c>
      <c r="R2283" t="str">
        <f t="shared" si="319"/>
        <v>disponibile</v>
      </c>
      <c r="U2283" t="str">
        <f t="shared" si="320"/>
        <v>disponibile</v>
      </c>
      <c r="V2283" t="str">
        <f t="shared" si="321"/>
        <v>DIREZIONE NORD</v>
      </c>
      <c r="W2283" t="str">
        <f t="shared" si="322"/>
        <v>GALLERIA CASOLA</v>
      </c>
      <c r="Z2283" t="str">
        <f t="shared" si="323"/>
        <v>10.220.80.16</v>
      </c>
    </row>
    <row r="2284" spans="1:26" x14ac:dyDescent="0.25">
      <c r="A2284" t="s">
        <v>10</v>
      </c>
      <c r="B2284" t="s">
        <v>1206</v>
      </c>
      <c r="C2284" t="s">
        <v>1761</v>
      </c>
      <c r="D2284" t="s">
        <v>1619</v>
      </c>
      <c r="E2284" t="s">
        <v>1759</v>
      </c>
      <c r="F2284" t="s">
        <v>14</v>
      </c>
      <c r="G2284" t="s">
        <v>1375</v>
      </c>
      <c r="H2284" t="s">
        <v>22</v>
      </c>
      <c r="I2284" t="s">
        <v>3149</v>
      </c>
      <c r="J2284" t="s">
        <v>1375</v>
      </c>
      <c r="K2284" t="str">
        <f t="shared" si="315"/>
        <v>5023.15</v>
      </c>
      <c r="N2284" t="str">
        <f t="shared" si="316"/>
        <v>HOLDING REGISTER</v>
      </c>
      <c r="O2284" t="str">
        <f t="shared" si="317"/>
        <v>BOOL</v>
      </c>
      <c r="P2284" t="str">
        <f t="shared" si="318"/>
        <v>TELECAMERA T13N</v>
      </c>
      <c r="R2284" t="str">
        <f t="shared" si="319"/>
        <v>disponibile</v>
      </c>
      <c r="U2284" t="str">
        <f t="shared" si="320"/>
        <v>disponibile</v>
      </c>
      <c r="V2284" t="str">
        <f t="shared" si="321"/>
        <v>DIREZIONE NORD</v>
      </c>
      <c r="W2284" t="str">
        <f t="shared" si="322"/>
        <v>GALLERIA CASOLA</v>
      </c>
      <c r="Z2284" t="str">
        <f t="shared" si="323"/>
        <v>10.220.80.16</v>
      </c>
    </row>
    <row r="2285" spans="1:26" x14ac:dyDescent="0.25">
      <c r="A2285" t="s">
        <v>10</v>
      </c>
      <c r="B2285" t="s">
        <v>1206</v>
      </c>
      <c r="C2285" t="s">
        <v>1761</v>
      </c>
      <c r="D2285" t="s">
        <v>1619</v>
      </c>
      <c r="E2285" t="s">
        <v>1777</v>
      </c>
      <c r="F2285" t="s">
        <v>14</v>
      </c>
      <c r="G2285" t="s">
        <v>28</v>
      </c>
      <c r="H2285" t="s">
        <v>22</v>
      </c>
      <c r="I2285" t="s">
        <v>3150</v>
      </c>
      <c r="J2285" t="s">
        <v>1622</v>
      </c>
      <c r="K2285" t="str">
        <f t="shared" si="315"/>
        <v>5024.0</v>
      </c>
      <c r="N2285" t="str">
        <f t="shared" si="316"/>
        <v>HOLDING REGISTER</v>
      </c>
      <c r="O2285" t="str">
        <f t="shared" si="317"/>
        <v>BOOL</v>
      </c>
      <c r="P2285" t="str">
        <f t="shared" si="318"/>
        <v>TELECAMERA T14N</v>
      </c>
      <c r="R2285" t="str">
        <f t="shared" si="319"/>
        <v>ALLARMI TELECAMERA ESCLUSI</v>
      </c>
      <c r="U2285" t="str">
        <f t="shared" si="320"/>
        <v>Allarme</v>
      </c>
      <c r="V2285" t="str">
        <f t="shared" si="321"/>
        <v>DIREZIONE NORD</v>
      </c>
      <c r="W2285" t="str">
        <f t="shared" si="322"/>
        <v>GALLERIA CASOLA</v>
      </c>
      <c r="Z2285" t="str">
        <f t="shared" si="323"/>
        <v>10.220.80.16</v>
      </c>
    </row>
    <row r="2286" spans="1:26" x14ac:dyDescent="0.25">
      <c r="A2286" t="s">
        <v>10</v>
      </c>
      <c r="B2286" t="s">
        <v>1206</v>
      </c>
      <c r="C2286" t="s">
        <v>1761</v>
      </c>
      <c r="D2286" t="s">
        <v>1619</v>
      </c>
      <c r="E2286" t="s">
        <v>1777</v>
      </c>
      <c r="F2286" t="s">
        <v>14</v>
      </c>
      <c r="G2286" t="s">
        <v>28</v>
      </c>
      <c r="H2286" t="s">
        <v>22</v>
      </c>
      <c r="I2286" t="s">
        <v>3151</v>
      </c>
      <c r="J2286" t="s">
        <v>1624</v>
      </c>
      <c r="K2286" t="str">
        <f t="shared" si="315"/>
        <v>5024.1</v>
      </c>
      <c r="N2286" t="str">
        <f t="shared" si="316"/>
        <v>HOLDING REGISTER</v>
      </c>
      <c r="O2286" t="str">
        <f t="shared" si="317"/>
        <v>BOOL</v>
      </c>
      <c r="P2286" t="str">
        <f t="shared" si="318"/>
        <v>TELECAMERA T14N</v>
      </c>
      <c r="R2286" t="str">
        <f t="shared" si="319"/>
        <v>IN MANUTENZIONE ALLARME FUMO</v>
      </c>
      <c r="U2286" t="str">
        <f t="shared" si="320"/>
        <v>Allarme</v>
      </c>
      <c r="V2286" t="str">
        <f t="shared" si="321"/>
        <v>DIREZIONE NORD</v>
      </c>
      <c r="W2286" t="str">
        <f t="shared" si="322"/>
        <v>GALLERIA CASOLA</v>
      </c>
      <c r="Z2286" t="str">
        <f t="shared" si="323"/>
        <v>10.220.80.16</v>
      </c>
    </row>
    <row r="2287" spans="1:26" x14ac:dyDescent="0.25">
      <c r="A2287" t="s">
        <v>10</v>
      </c>
      <c r="B2287" t="s">
        <v>1206</v>
      </c>
      <c r="C2287" t="s">
        <v>1761</v>
      </c>
      <c r="D2287" t="s">
        <v>1619</v>
      </c>
      <c r="E2287" t="s">
        <v>1777</v>
      </c>
      <c r="F2287" t="s">
        <v>14</v>
      </c>
      <c r="G2287" t="s">
        <v>28</v>
      </c>
      <c r="H2287" t="s">
        <v>22</v>
      </c>
      <c r="I2287" t="s">
        <v>3152</v>
      </c>
      <c r="J2287" t="s">
        <v>1626</v>
      </c>
      <c r="K2287" t="str">
        <f t="shared" si="315"/>
        <v>5024.2</v>
      </c>
      <c r="N2287" t="str">
        <f t="shared" si="316"/>
        <v>HOLDING REGISTER</v>
      </c>
      <c r="O2287" t="str">
        <f t="shared" si="317"/>
        <v>BOOL</v>
      </c>
      <c r="P2287" t="str">
        <f t="shared" si="318"/>
        <v>TELECAMERA T14N</v>
      </c>
      <c r="R2287" t="str">
        <f t="shared" si="319"/>
        <v>IN MANUTENZIONE ALLARMI TRAFFICO</v>
      </c>
      <c r="U2287" t="str">
        <f t="shared" si="320"/>
        <v>Allarme</v>
      </c>
      <c r="V2287" t="str">
        <f t="shared" si="321"/>
        <v>DIREZIONE NORD</v>
      </c>
      <c r="W2287" t="str">
        <f t="shared" si="322"/>
        <v>GALLERIA CASOLA</v>
      </c>
      <c r="Z2287" t="str">
        <f t="shared" si="323"/>
        <v>10.220.80.16</v>
      </c>
    </row>
    <row r="2288" spans="1:26" x14ac:dyDescent="0.25">
      <c r="A2288" t="s">
        <v>10</v>
      </c>
      <c r="B2288" t="s">
        <v>1206</v>
      </c>
      <c r="C2288" t="s">
        <v>1761</v>
      </c>
      <c r="D2288" t="s">
        <v>1619</v>
      </c>
      <c r="E2288" t="s">
        <v>1777</v>
      </c>
      <c r="F2288" t="s">
        <v>14</v>
      </c>
      <c r="G2288" t="s">
        <v>1375</v>
      </c>
      <c r="H2288" t="s">
        <v>22</v>
      </c>
      <c r="I2288" t="s">
        <v>3153</v>
      </c>
      <c r="J2288" t="s">
        <v>1375</v>
      </c>
      <c r="K2288" t="str">
        <f t="shared" si="315"/>
        <v>5024.3</v>
      </c>
      <c r="N2288" t="str">
        <f t="shared" si="316"/>
        <v>HOLDING REGISTER</v>
      </c>
      <c r="O2288" t="str">
        <f t="shared" si="317"/>
        <v>BOOL</v>
      </c>
      <c r="P2288" t="str">
        <f t="shared" si="318"/>
        <v>TELECAMERA T14N</v>
      </c>
      <c r="R2288" t="str">
        <f t="shared" si="319"/>
        <v>disponibile</v>
      </c>
      <c r="U2288" t="str">
        <f t="shared" si="320"/>
        <v>disponibile</v>
      </c>
      <c r="V2288" t="str">
        <f t="shared" si="321"/>
        <v>DIREZIONE NORD</v>
      </c>
      <c r="W2288" t="str">
        <f t="shared" si="322"/>
        <v>GALLERIA CASOLA</v>
      </c>
      <c r="Z2288" t="str">
        <f t="shared" si="323"/>
        <v>10.220.80.16</v>
      </c>
    </row>
    <row r="2289" spans="1:26" x14ac:dyDescent="0.25">
      <c r="A2289" t="s">
        <v>10</v>
      </c>
      <c r="B2289" t="s">
        <v>1206</v>
      </c>
      <c r="C2289" t="s">
        <v>1761</v>
      </c>
      <c r="D2289" t="s">
        <v>1619</v>
      </c>
      <c r="E2289" t="s">
        <v>1777</v>
      </c>
      <c r="F2289" t="s">
        <v>14</v>
      </c>
      <c r="G2289" t="s">
        <v>1375</v>
      </c>
      <c r="H2289" t="s">
        <v>22</v>
      </c>
      <c r="I2289" t="s">
        <v>3154</v>
      </c>
      <c r="J2289" t="s">
        <v>1375</v>
      </c>
      <c r="K2289" t="str">
        <f t="shared" si="315"/>
        <v>5024.4</v>
      </c>
      <c r="N2289" t="str">
        <f t="shared" si="316"/>
        <v>HOLDING REGISTER</v>
      </c>
      <c r="O2289" t="str">
        <f t="shared" si="317"/>
        <v>BOOL</v>
      </c>
      <c r="P2289" t="str">
        <f t="shared" si="318"/>
        <v>TELECAMERA T14N</v>
      </c>
      <c r="R2289" t="str">
        <f t="shared" si="319"/>
        <v>disponibile</v>
      </c>
      <c r="U2289" t="str">
        <f t="shared" si="320"/>
        <v>disponibile</v>
      </c>
      <c r="V2289" t="str">
        <f t="shared" si="321"/>
        <v>DIREZIONE NORD</v>
      </c>
      <c r="W2289" t="str">
        <f t="shared" si="322"/>
        <v>GALLERIA CASOLA</v>
      </c>
      <c r="Z2289" t="str">
        <f t="shared" si="323"/>
        <v>10.220.80.16</v>
      </c>
    </row>
    <row r="2290" spans="1:26" x14ac:dyDescent="0.25">
      <c r="A2290" t="s">
        <v>10</v>
      </c>
      <c r="B2290" t="s">
        <v>1206</v>
      </c>
      <c r="C2290" t="s">
        <v>1761</v>
      </c>
      <c r="D2290" t="s">
        <v>1619</v>
      </c>
      <c r="E2290" t="s">
        <v>1777</v>
      </c>
      <c r="F2290" t="s">
        <v>14</v>
      </c>
      <c r="G2290" t="s">
        <v>1375</v>
      </c>
      <c r="H2290" t="s">
        <v>22</v>
      </c>
      <c r="I2290" t="s">
        <v>3155</v>
      </c>
      <c r="J2290" t="s">
        <v>1375</v>
      </c>
      <c r="K2290" t="str">
        <f t="shared" si="315"/>
        <v>5024.5</v>
      </c>
      <c r="N2290" t="str">
        <f t="shared" si="316"/>
        <v>HOLDING REGISTER</v>
      </c>
      <c r="O2290" t="str">
        <f t="shared" si="317"/>
        <v>BOOL</v>
      </c>
      <c r="P2290" t="str">
        <f t="shared" si="318"/>
        <v>TELECAMERA T14N</v>
      </c>
      <c r="R2290" t="str">
        <f t="shared" si="319"/>
        <v>disponibile</v>
      </c>
      <c r="U2290" t="str">
        <f t="shared" si="320"/>
        <v>disponibile</v>
      </c>
      <c r="V2290" t="str">
        <f t="shared" si="321"/>
        <v>DIREZIONE NORD</v>
      </c>
      <c r="W2290" t="str">
        <f t="shared" si="322"/>
        <v>GALLERIA CASOLA</v>
      </c>
      <c r="Z2290" t="str">
        <f t="shared" si="323"/>
        <v>10.220.80.16</v>
      </c>
    </row>
    <row r="2291" spans="1:26" x14ac:dyDescent="0.25">
      <c r="A2291" t="s">
        <v>10</v>
      </c>
      <c r="B2291" t="s">
        <v>1206</v>
      </c>
      <c r="C2291" t="s">
        <v>1761</v>
      </c>
      <c r="D2291" t="s">
        <v>1619</v>
      </c>
      <c r="E2291" t="s">
        <v>1777</v>
      </c>
      <c r="F2291" t="s">
        <v>14</v>
      </c>
      <c r="G2291" t="s">
        <v>1375</v>
      </c>
      <c r="H2291" t="s">
        <v>22</v>
      </c>
      <c r="I2291" t="s">
        <v>3156</v>
      </c>
      <c r="J2291" t="s">
        <v>1375</v>
      </c>
      <c r="K2291" t="str">
        <f t="shared" si="315"/>
        <v>5024.6</v>
      </c>
      <c r="N2291" t="str">
        <f t="shared" si="316"/>
        <v>HOLDING REGISTER</v>
      </c>
      <c r="O2291" t="str">
        <f t="shared" si="317"/>
        <v>BOOL</v>
      </c>
      <c r="P2291" t="str">
        <f t="shared" si="318"/>
        <v>TELECAMERA T14N</v>
      </c>
      <c r="R2291" t="str">
        <f t="shared" si="319"/>
        <v>disponibile</v>
      </c>
      <c r="U2291" t="str">
        <f t="shared" si="320"/>
        <v>disponibile</v>
      </c>
      <c r="V2291" t="str">
        <f t="shared" si="321"/>
        <v>DIREZIONE NORD</v>
      </c>
      <c r="W2291" t="str">
        <f t="shared" si="322"/>
        <v>GALLERIA CASOLA</v>
      </c>
      <c r="Z2291" t="str">
        <f t="shared" si="323"/>
        <v>10.220.80.16</v>
      </c>
    </row>
    <row r="2292" spans="1:26" x14ac:dyDescent="0.25">
      <c r="A2292" t="s">
        <v>10</v>
      </c>
      <c r="B2292" t="s">
        <v>1206</v>
      </c>
      <c r="C2292" t="s">
        <v>1761</v>
      </c>
      <c r="D2292" t="s">
        <v>1619</v>
      </c>
      <c r="E2292" t="s">
        <v>1777</v>
      </c>
      <c r="F2292" t="s">
        <v>14</v>
      </c>
      <c r="G2292" t="s">
        <v>1375</v>
      </c>
      <c r="H2292" t="s">
        <v>22</v>
      </c>
      <c r="I2292" t="s">
        <v>3157</v>
      </c>
      <c r="J2292" t="s">
        <v>1375</v>
      </c>
      <c r="K2292" t="str">
        <f t="shared" si="315"/>
        <v>5024.7</v>
      </c>
      <c r="N2292" t="str">
        <f t="shared" si="316"/>
        <v>HOLDING REGISTER</v>
      </c>
      <c r="O2292" t="str">
        <f t="shared" si="317"/>
        <v>BOOL</v>
      </c>
      <c r="P2292" t="str">
        <f t="shared" si="318"/>
        <v>TELECAMERA T14N</v>
      </c>
      <c r="R2292" t="str">
        <f t="shared" si="319"/>
        <v>disponibile</v>
      </c>
      <c r="U2292" t="str">
        <f t="shared" si="320"/>
        <v>disponibile</v>
      </c>
      <c r="V2292" t="str">
        <f t="shared" si="321"/>
        <v>DIREZIONE NORD</v>
      </c>
      <c r="W2292" t="str">
        <f t="shared" si="322"/>
        <v>GALLERIA CASOLA</v>
      </c>
      <c r="Z2292" t="str">
        <f t="shared" si="323"/>
        <v>10.220.80.16</v>
      </c>
    </row>
    <row r="2293" spans="1:26" x14ac:dyDescent="0.25">
      <c r="A2293" t="s">
        <v>10</v>
      </c>
      <c r="B2293" t="s">
        <v>1206</v>
      </c>
      <c r="C2293" t="s">
        <v>1761</v>
      </c>
      <c r="D2293" t="s">
        <v>1619</v>
      </c>
      <c r="E2293" t="s">
        <v>1777</v>
      </c>
      <c r="F2293" t="s">
        <v>14</v>
      </c>
      <c r="G2293" t="s">
        <v>1375</v>
      </c>
      <c r="H2293" t="s">
        <v>22</v>
      </c>
      <c r="I2293" t="s">
        <v>3158</v>
      </c>
      <c r="J2293" t="s">
        <v>1375</v>
      </c>
      <c r="K2293" t="str">
        <f t="shared" si="315"/>
        <v>5024.8</v>
      </c>
      <c r="N2293" t="str">
        <f t="shared" si="316"/>
        <v>HOLDING REGISTER</v>
      </c>
      <c r="O2293" t="str">
        <f t="shared" si="317"/>
        <v>BOOL</v>
      </c>
      <c r="P2293" t="str">
        <f t="shared" si="318"/>
        <v>TELECAMERA T14N</v>
      </c>
      <c r="R2293" t="str">
        <f t="shared" si="319"/>
        <v>disponibile</v>
      </c>
      <c r="U2293" t="str">
        <f t="shared" si="320"/>
        <v>disponibile</v>
      </c>
      <c r="V2293" t="str">
        <f t="shared" si="321"/>
        <v>DIREZIONE NORD</v>
      </c>
      <c r="W2293" t="str">
        <f t="shared" si="322"/>
        <v>GALLERIA CASOLA</v>
      </c>
      <c r="Z2293" t="str">
        <f t="shared" si="323"/>
        <v>10.220.80.16</v>
      </c>
    </row>
    <row r="2294" spans="1:26" x14ac:dyDescent="0.25">
      <c r="A2294" t="s">
        <v>10</v>
      </c>
      <c r="B2294" t="s">
        <v>1206</v>
      </c>
      <c r="C2294" t="s">
        <v>1761</v>
      </c>
      <c r="D2294" t="s">
        <v>1619</v>
      </c>
      <c r="E2294" t="s">
        <v>1777</v>
      </c>
      <c r="F2294" t="s">
        <v>14</v>
      </c>
      <c r="G2294" t="s">
        <v>1375</v>
      </c>
      <c r="H2294" t="s">
        <v>22</v>
      </c>
      <c r="I2294" t="s">
        <v>3159</v>
      </c>
      <c r="J2294" t="s">
        <v>1375</v>
      </c>
      <c r="K2294" t="str">
        <f t="shared" si="315"/>
        <v>5024.9</v>
      </c>
      <c r="N2294" t="str">
        <f t="shared" si="316"/>
        <v>HOLDING REGISTER</v>
      </c>
      <c r="O2294" t="str">
        <f t="shared" si="317"/>
        <v>BOOL</v>
      </c>
      <c r="P2294" t="str">
        <f t="shared" si="318"/>
        <v>TELECAMERA T14N</v>
      </c>
      <c r="R2294" t="str">
        <f t="shared" si="319"/>
        <v>disponibile</v>
      </c>
      <c r="U2294" t="str">
        <f t="shared" si="320"/>
        <v>disponibile</v>
      </c>
      <c r="V2294" t="str">
        <f t="shared" si="321"/>
        <v>DIREZIONE NORD</v>
      </c>
      <c r="W2294" t="str">
        <f t="shared" si="322"/>
        <v>GALLERIA CASOLA</v>
      </c>
      <c r="Z2294" t="str">
        <f t="shared" si="323"/>
        <v>10.220.80.16</v>
      </c>
    </row>
    <row r="2295" spans="1:26" x14ac:dyDescent="0.25">
      <c r="A2295" t="s">
        <v>10</v>
      </c>
      <c r="B2295" t="s">
        <v>1206</v>
      </c>
      <c r="C2295" t="s">
        <v>1761</v>
      </c>
      <c r="D2295" t="s">
        <v>1619</v>
      </c>
      <c r="E2295" t="s">
        <v>1777</v>
      </c>
      <c r="F2295" t="s">
        <v>14</v>
      </c>
      <c r="G2295" t="s">
        <v>1375</v>
      </c>
      <c r="H2295" t="s">
        <v>22</v>
      </c>
      <c r="I2295" t="s">
        <v>3160</v>
      </c>
      <c r="J2295" t="s">
        <v>1375</v>
      </c>
      <c r="K2295" t="str">
        <f t="shared" si="315"/>
        <v>5024.10</v>
      </c>
      <c r="N2295" t="str">
        <f t="shared" si="316"/>
        <v>HOLDING REGISTER</v>
      </c>
      <c r="O2295" t="str">
        <f t="shared" si="317"/>
        <v>BOOL</v>
      </c>
      <c r="P2295" t="str">
        <f t="shared" si="318"/>
        <v>TELECAMERA T14N</v>
      </c>
      <c r="R2295" t="str">
        <f t="shared" si="319"/>
        <v>disponibile</v>
      </c>
      <c r="U2295" t="str">
        <f t="shared" si="320"/>
        <v>disponibile</v>
      </c>
      <c r="V2295" t="str">
        <f t="shared" si="321"/>
        <v>DIREZIONE NORD</v>
      </c>
      <c r="W2295" t="str">
        <f t="shared" si="322"/>
        <v>GALLERIA CASOLA</v>
      </c>
      <c r="Z2295" t="str">
        <f t="shared" si="323"/>
        <v>10.220.80.16</v>
      </c>
    </row>
    <row r="2296" spans="1:26" x14ac:dyDescent="0.25">
      <c r="A2296" t="s">
        <v>10</v>
      </c>
      <c r="B2296" t="s">
        <v>1206</v>
      </c>
      <c r="C2296" t="s">
        <v>1761</v>
      </c>
      <c r="D2296" t="s">
        <v>1619</v>
      </c>
      <c r="E2296" t="s">
        <v>1777</v>
      </c>
      <c r="F2296" t="s">
        <v>14</v>
      </c>
      <c r="G2296" t="s">
        <v>1375</v>
      </c>
      <c r="H2296" t="s">
        <v>22</v>
      </c>
      <c r="I2296" t="s">
        <v>3161</v>
      </c>
      <c r="J2296" t="s">
        <v>1375</v>
      </c>
      <c r="K2296" t="str">
        <f t="shared" si="315"/>
        <v>5024.11</v>
      </c>
      <c r="N2296" t="str">
        <f t="shared" si="316"/>
        <v>HOLDING REGISTER</v>
      </c>
      <c r="O2296" t="str">
        <f t="shared" si="317"/>
        <v>BOOL</v>
      </c>
      <c r="P2296" t="str">
        <f t="shared" si="318"/>
        <v>TELECAMERA T14N</v>
      </c>
      <c r="R2296" t="str">
        <f t="shared" si="319"/>
        <v>disponibile</v>
      </c>
      <c r="U2296" t="str">
        <f t="shared" si="320"/>
        <v>disponibile</v>
      </c>
      <c r="V2296" t="str">
        <f t="shared" si="321"/>
        <v>DIREZIONE NORD</v>
      </c>
      <c r="W2296" t="str">
        <f t="shared" si="322"/>
        <v>GALLERIA CASOLA</v>
      </c>
      <c r="Z2296" t="str">
        <f t="shared" si="323"/>
        <v>10.220.80.16</v>
      </c>
    </row>
    <row r="2297" spans="1:26" x14ac:dyDescent="0.25">
      <c r="A2297" t="s">
        <v>10</v>
      </c>
      <c r="B2297" t="s">
        <v>1206</v>
      </c>
      <c r="C2297" t="s">
        <v>1761</v>
      </c>
      <c r="D2297" t="s">
        <v>1619</v>
      </c>
      <c r="E2297" t="s">
        <v>1777</v>
      </c>
      <c r="F2297" t="s">
        <v>14</v>
      </c>
      <c r="G2297" t="s">
        <v>1375</v>
      </c>
      <c r="H2297" t="s">
        <v>22</v>
      </c>
      <c r="I2297" t="s">
        <v>3162</v>
      </c>
      <c r="J2297" t="s">
        <v>1375</v>
      </c>
      <c r="K2297" t="str">
        <f t="shared" si="315"/>
        <v>5024.12</v>
      </c>
      <c r="N2297" t="str">
        <f t="shared" si="316"/>
        <v>HOLDING REGISTER</v>
      </c>
      <c r="O2297" t="str">
        <f t="shared" si="317"/>
        <v>BOOL</v>
      </c>
      <c r="P2297" t="str">
        <f t="shared" si="318"/>
        <v>TELECAMERA T14N</v>
      </c>
      <c r="R2297" t="str">
        <f t="shared" si="319"/>
        <v>disponibile</v>
      </c>
      <c r="U2297" t="str">
        <f t="shared" si="320"/>
        <v>disponibile</v>
      </c>
      <c r="V2297" t="str">
        <f t="shared" si="321"/>
        <v>DIREZIONE NORD</v>
      </c>
      <c r="W2297" t="str">
        <f t="shared" si="322"/>
        <v>GALLERIA CASOLA</v>
      </c>
      <c r="Z2297" t="str">
        <f t="shared" si="323"/>
        <v>10.220.80.16</v>
      </c>
    </row>
    <row r="2298" spans="1:26" x14ac:dyDescent="0.25">
      <c r="A2298" t="s">
        <v>10</v>
      </c>
      <c r="B2298" t="s">
        <v>1206</v>
      </c>
      <c r="C2298" t="s">
        <v>1761</v>
      </c>
      <c r="D2298" t="s">
        <v>1619</v>
      </c>
      <c r="E2298" t="s">
        <v>1777</v>
      </c>
      <c r="F2298" t="s">
        <v>14</v>
      </c>
      <c r="G2298" t="s">
        <v>1375</v>
      </c>
      <c r="H2298" t="s">
        <v>22</v>
      </c>
      <c r="I2298" t="s">
        <v>3163</v>
      </c>
      <c r="J2298" t="s">
        <v>1375</v>
      </c>
      <c r="K2298" t="str">
        <f t="shared" si="315"/>
        <v>5024.13</v>
      </c>
      <c r="N2298" t="str">
        <f t="shared" si="316"/>
        <v>HOLDING REGISTER</v>
      </c>
      <c r="O2298" t="str">
        <f t="shared" si="317"/>
        <v>BOOL</v>
      </c>
      <c r="P2298" t="str">
        <f t="shared" si="318"/>
        <v>TELECAMERA T14N</v>
      </c>
      <c r="R2298" t="str">
        <f t="shared" si="319"/>
        <v>disponibile</v>
      </c>
      <c r="U2298" t="str">
        <f t="shared" si="320"/>
        <v>disponibile</v>
      </c>
      <c r="V2298" t="str">
        <f t="shared" si="321"/>
        <v>DIREZIONE NORD</v>
      </c>
      <c r="W2298" t="str">
        <f t="shared" si="322"/>
        <v>GALLERIA CASOLA</v>
      </c>
      <c r="Z2298" t="str">
        <f t="shared" si="323"/>
        <v>10.220.80.16</v>
      </c>
    </row>
    <row r="2299" spans="1:26" x14ac:dyDescent="0.25">
      <c r="A2299" t="s">
        <v>10</v>
      </c>
      <c r="B2299" t="s">
        <v>1206</v>
      </c>
      <c r="C2299" t="s">
        <v>1761</v>
      </c>
      <c r="D2299" t="s">
        <v>1619</v>
      </c>
      <c r="E2299" t="s">
        <v>1777</v>
      </c>
      <c r="F2299" t="s">
        <v>14</v>
      </c>
      <c r="G2299" t="s">
        <v>1375</v>
      </c>
      <c r="H2299" t="s">
        <v>22</v>
      </c>
      <c r="I2299" t="s">
        <v>3164</v>
      </c>
      <c r="J2299" t="s">
        <v>1375</v>
      </c>
      <c r="K2299" t="str">
        <f t="shared" si="315"/>
        <v>5024.14</v>
      </c>
      <c r="N2299" t="str">
        <f t="shared" si="316"/>
        <v>HOLDING REGISTER</v>
      </c>
      <c r="O2299" t="str">
        <f t="shared" si="317"/>
        <v>BOOL</v>
      </c>
      <c r="P2299" t="str">
        <f t="shared" si="318"/>
        <v>TELECAMERA T14N</v>
      </c>
      <c r="R2299" t="str">
        <f t="shared" si="319"/>
        <v>disponibile</v>
      </c>
      <c r="U2299" t="str">
        <f t="shared" si="320"/>
        <v>disponibile</v>
      </c>
      <c r="V2299" t="str">
        <f t="shared" si="321"/>
        <v>DIREZIONE NORD</v>
      </c>
      <c r="W2299" t="str">
        <f t="shared" si="322"/>
        <v>GALLERIA CASOLA</v>
      </c>
      <c r="Z2299" t="str">
        <f t="shared" si="323"/>
        <v>10.220.80.16</v>
      </c>
    </row>
    <row r="2300" spans="1:26" x14ac:dyDescent="0.25">
      <c r="A2300" t="s">
        <v>10</v>
      </c>
      <c r="B2300" t="s">
        <v>1206</v>
      </c>
      <c r="C2300" t="s">
        <v>1761</v>
      </c>
      <c r="D2300" t="s">
        <v>1619</v>
      </c>
      <c r="E2300" t="s">
        <v>1777</v>
      </c>
      <c r="F2300" t="s">
        <v>14</v>
      </c>
      <c r="G2300" t="s">
        <v>1375</v>
      </c>
      <c r="H2300" t="s">
        <v>22</v>
      </c>
      <c r="I2300" t="s">
        <v>3165</v>
      </c>
      <c r="J2300" t="s">
        <v>1375</v>
      </c>
      <c r="K2300" t="str">
        <f t="shared" si="315"/>
        <v>5024.15</v>
      </c>
      <c r="N2300" t="str">
        <f t="shared" si="316"/>
        <v>HOLDING REGISTER</v>
      </c>
      <c r="O2300" t="str">
        <f t="shared" si="317"/>
        <v>BOOL</v>
      </c>
      <c r="P2300" t="str">
        <f t="shared" si="318"/>
        <v>TELECAMERA T14N</v>
      </c>
      <c r="R2300" t="str">
        <f t="shared" si="319"/>
        <v>disponibile</v>
      </c>
      <c r="U2300" t="str">
        <f t="shared" si="320"/>
        <v>disponibile</v>
      </c>
      <c r="V2300" t="str">
        <f t="shared" si="321"/>
        <v>DIREZIONE NORD</v>
      </c>
      <c r="W2300" t="str">
        <f t="shared" si="322"/>
        <v>GALLERIA CASOLA</v>
      </c>
      <c r="Z2300" t="str">
        <f t="shared" si="323"/>
        <v>10.220.80.16</v>
      </c>
    </row>
    <row r="2301" spans="1:26" x14ac:dyDescent="0.25">
      <c r="A2301" t="s">
        <v>10</v>
      </c>
      <c r="B2301" t="s">
        <v>1206</v>
      </c>
      <c r="C2301" t="s">
        <v>1761</v>
      </c>
      <c r="D2301" t="s">
        <v>1619</v>
      </c>
      <c r="E2301" t="s">
        <v>1794</v>
      </c>
      <c r="F2301" t="s">
        <v>14</v>
      </c>
      <c r="G2301" t="s">
        <v>28</v>
      </c>
      <c r="H2301" t="s">
        <v>22</v>
      </c>
      <c r="I2301" t="s">
        <v>3166</v>
      </c>
      <c r="J2301" t="s">
        <v>1622</v>
      </c>
      <c r="K2301" t="str">
        <f t="shared" si="315"/>
        <v>5025.0</v>
      </c>
      <c r="N2301" t="str">
        <f t="shared" si="316"/>
        <v>HOLDING REGISTER</v>
      </c>
      <c r="O2301" t="str">
        <f t="shared" si="317"/>
        <v>BOOL</v>
      </c>
      <c r="P2301" t="str">
        <f t="shared" si="318"/>
        <v>TELECAMERA T15N</v>
      </c>
      <c r="R2301" t="str">
        <f t="shared" si="319"/>
        <v>ALLARMI TELECAMERA ESCLUSI</v>
      </c>
      <c r="U2301" t="str">
        <f t="shared" si="320"/>
        <v>Allarme</v>
      </c>
      <c r="V2301" t="str">
        <f t="shared" si="321"/>
        <v>DIREZIONE NORD</v>
      </c>
      <c r="W2301" t="str">
        <f t="shared" si="322"/>
        <v>GALLERIA CASOLA</v>
      </c>
      <c r="Z2301" t="str">
        <f t="shared" si="323"/>
        <v>10.220.80.16</v>
      </c>
    </row>
    <row r="2302" spans="1:26" x14ac:dyDescent="0.25">
      <c r="A2302" t="s">
        <v>10</v>
      </c>
      <c r="B2302" t="s">
        <v>1206</v>
      </c>
      <c r="C2302" t="s">
        <v>1761</v>
      </c>
      <c r="D2302" t="s">
        <v>1619</v>
      </c>
      <c r="E2302" t="s">
        <v>1794</v>
      </c>
      <c r="F2302" t="s">
        <v>14</v>
      </c>
      <c r="G2302" t="s">
        <v>28</v>
      </c>
      <c r="H2302" t="s">
        <v>22</v>
      </c>
      <c r="I2302" t="s">
        <v>3167</v>
      </c>
      <c r="J2302" t="s">
        <v>1624</v>
      </c>
      <c r="K2302" t="str">
        <f t="shared" si="315"/>
        <v>5025.1</v>
      </c>
      <c r="N2302" t="str">
        <f t="shared" si="316"/>
        <v>HOLDING REGISTER</v>
      </c>
      <c r="O2302" t="str">
        <f t="shared" si="317"/>
        <v>BOOL</v>
      </c>
      <c r="P2302" t="str">
        <f t="shared" si="318"/>
        <v>TELECAMERA T15N</v>
      </c>
      <c r="R2302" t="str">
        <f t="shared" si="319"/>
        <v>IN MANUTENZIONE ALLARME FUMO</v>
      </c>
      <c r="U2302" t="str">
        <f t="shared" si="320"/>
        <v>Allarme</v>
      </c>
      <c r="V2302" t="str">
        <f t="shared" si="321"/>
        <v>DIREZIONE NORD</v>
      </c>
      <c r="W2302" t="str">
        <f t="shared" si="322"/>
        <v>GALLERIA CASOLA</v>
      </c>
      <c r="Z2302" t="str">
        <f t="shared" si="323"/>
        <v>10.220.80.16</v>
      </c>
    </row>
    <row r="2303" spans="1:26" x14ac:dyDescent="0.25">
      <c r="A2303" t="s">
        <v>10</v>
      </c>
      <c r="B2303" t="s">
        <v>1206</v>
      </c>
      <c r="C2303" t="s">
        <v>1761</v>
      </c>
      <c r="D2303" t="s">
        <v>1619</v>
      </c>
      <c r="E2303" t="s">
        <v>1794</v>
      </c>
      <c r="F2303" t="s">
        <v>14</v>
      </c>
      <c r="G2303" t="s">
        <v>28</v>
      </c>
      <c r="H2303" t="s">
        <v>22</v>
      </c>
      <c r="I2303" t="s">
        <v>3168</v>
      </c>
      <c r="J2303" t="s">
        <v>1626</v>
      </c>
      <c r="K2303" t="str">
        <f t="shared" si="315"/>
        <v>5025.2</v>
      </c>
      <c r="N2303" t="str">
        <f t="shared" si="316"/>
        <v>HOLDING REGISTER</v>
      </c>
      <c r="O2303" t="str">
        <f t="shared" si="317"/>
        <v>BOOL</v>
      </c>
      <c r="P2303" t="str">
        <f t="shared" si="318"/>
        <v>TELECAMERA T15N</v>
      </c>
      <c r="R2303" t="str">
        <f t="shared" si="319"/>
        <v>IN MANUTENZIONE ALLARMI TRAFFICO</v>
      </c>
      <c r="U2303" t="str">
        <f t="shared" si="320"/>
        <v>Allarme</v>
      </c>
      <c r="V2303" t="str">
        <f t="shared" si="321"/>
        <v>DIREZIONE NORD</v>
      </c>
      <c r="W2303" t="str">
        <f t="shared" si="322"/>
        <v>GALLERIA CASOLA</v>
      </c>
      <c r="Z2303" t="str">
        <f t="shared" si="323"/>
        <v>10.220.80.16</v>
      </c>
    </row>
    <row r="2304" spans="1:26" x14ac:dyDescent="0.25">
      <c r="A2304" t="s">
        <v>10</v>
      </c>
      <c r="B2304" t="s">
        <v>1206</v>
      </c>
      <c r="C2304" t="s">
        <v>1761</v>
      </c>
      <c r="D2304" t="s">
        <v>1619</v>
      </c>
      <c r="E2304" t="s">
        <v>1794</v>
      </c>
      <c r="F2304" t="s">
        <v>14</v>
      </c>
      <c r="G2304" t="s">
        <v>1375</v>
      </c>
      <c r="H2304" t="s">
        <v>22</v>
      </c>
      <c r="I2304" t="s">
        <v>3169</v>
      </c>
      <c r="J2304" t="s">
        <v>1375</v>
      </c>
      <c r="K2304" t="str">
        <f t="shared" si="315"/>
        <v>5025.3</v>
      </c>
      <c r="N2304" t="str">
        <f t="shared" si="316"/>
        <v>HOLDING REGISTER</v>
      </c>
      <c r="O2304" t="str">
        <f t="shared" si="317"/>
        <v>BOOL</v>
      </c>
      <c r="P2304" t="str">
        <f t="shared" si="318"/>
        <v>TELECAMERA T15N</v>
      </c>
      <c r="R2304" t="str">
        <f t="shared" si="319"/>
        <v>disponibile</v>
      </c>
      <c r="U2304" t="str">
        <f t="shared" si="320"/>
        <v>disponibile</v>
      </c>
      <c r="V2304" t="str">
        <f t="shared" si="321"/>
        <v>DIREZIONE NORD</v>
      </c>
      <c r="W2304" t="str">
        <f t="shared" si="322"/>
        <v>GALLERIA CASOLA</v>
      </c>
      <c r="Z2304" t="str">
        <f t="shared" si="323"/>
        <v>10.220.80.16</v>
      </c>
    </row>
    <row r="2305" spans="1:26" x14ac:dyDescent="0.25">
      <c r="A2305" t="s">
        <v>10</v>
      </c>
      <c r="B2305" t="s">
        <v>1206</v>
      </c>
      <c r="C2305" t="s">
        <v>1761</v>
      </c>
      <c r="D2305" t="s">
        <v>1619</v>
      </c>
      <c r="E2305" t="s">
        <v>1794</v>
      </c>
      <c r="F2305" t="s">
        <v>14</v>
      </c>
      <c r="G2305" t="s">
        <v>1375</v>
      </c>
      <c r="H2305" t="s">
        <v>22</v>
      </c>
      <c r="I2305" t="s">
        <v>3170</v>
      </c>
      <c r="J2305" t="s">
        <v>1375</v>
      </c>
      <c r="K2305" t="str">
        <f t="shared" si="315"/>
        <v>5025.4</v>
      </c>
      <c r="N2305" t="str">
        <f t="shared" si="316"/>
        <v>HOLDING REGISTER</v>
      </c>
      <c r="O2305" t="str">
        <f t="shared" si="317"/>
        <v>BOOL</v>
      </c>
      <c r="P2305" t="str">
        <f t="shared" si="318"/>
        <v>TELECAMERA T15N</v>
      </c>
      <c r="R2305" t="str">
        <f t="shared" si="319"/>
        <v>disponibile</v>
      </c>
      <c r="U2305" t="str">
        <f t="shared" si="320"/>
        <v>disponibile</v>
      </c>
      <c r="V2305" t="str">
        <f t="shared" si="321"/>
        <v>DIREZIONE NORD</v>
      </c>
      <c r="W2305" t="str">
        <f t="shared" si="322"/>
        <v>GALLERIA CASOLA</v>
      </c>
      <c r="Z2305" t="str">
        <f t="shared" si="323"/>
        <v>10.220.80.16</v>
      </c>
    </row>
    <row r="2306" spans="1:26" x14ac:dyDescent="0.25">
      <c r="A2306" t="s">
        <v>10</v>
      </c>
      <c r="B2306" t="s">
        <v>1206</v>
      </c>
      <c r="C2306" t="s">
        <v>1761</v>
      </c>
      <c r="D2306" t="s">
        <v>1619</v>
      </c>
      <c r="E2306" t="s">
        <v>1794</v>
      </c>
      <c r="F2306" t="s">
        <v>14</v>
      </c>
      <c r="G2306" t="s">
        <v>1375</v>
      </c>
      <c r="H2306" t="s">
        <v>22</v>
      </c>
      <c r="I2306" t="s">
        <v>3171</v>
      </c>
      <c r="J2306" t="s">
        <v>1375</v>
      </c>
      <c r="K2306" t="str">
        <f t="shared" si="315"/>
        <v>5025.5</v>
      </c>
      <c r="N2306" t="str">
        <f t="shared" si="316"/>
        <v>HOLDING REGISTER</v>
      </c>
      <c r="O2306" t="str">
        <f t="shared" si="317"/>
        <v>BOOL</v>
      </c>
      <c r="P2306" t="str">
        <f t="shared" si="318"/>
        <v>TELECAMERA T15N</v>
      </c>
      <c r="R2306" t="str">
        <f t="shared" si="319"/>
        <v>disponibile</v>
      </c>
      <c r="U2306" t="str">
        <f t="shared" si="320"/>
        <v>disponibile</v>
      </c>
      <c r="V2306" t="str">
        <f t="shared" si="321"/>
        <v>DIREZIONE NORD</v>
      </c>
      <c r="W2306" t="str">
        <f t="shared" si="322"/>
        <v>GALLERIA CASOLA</v>
      </c>
      <c r="Z2306" t="str">
        <f t="shared" si="323"/>
        <v>10.220.80.16</v>
      </c>
    </row>
    <row r="2307" spans="1:26" x14ac:dyDescent="0.25">
      <c r="A2307" t="s">
        <v>10</v>
      </c>
      <c r="B2307" t="s">
        <v>1206</v>
      </c>
      <c r="C2307" t="s">
        <v>1761</v>
      </c>
      <c r="D2307" t="s">
        <v>1619</v>
      </c>
      <c r="E2307" t="s">
        <v>1794</v>
      </c>
      <c r="F2307" t="s">
        <v>14</v>
      </c>
      <c r="G2307" t="s">
        <v>1375</v>
      </c>
      <c r="H2307" t="s">
        <v>22</v>
      </c>
      <c r="I2307" t="s">
        <v>3172</v>
      </c>
      <c r="J2307" t="s">
        <v>1375</v>
      </c>
      <c r="K2307" t="str">
        <f t="shared" ref="K2307:K2370" si="324">IF(I2307="","",I2307)</f>
        <v>5025.6</v>
      </c>
      <c r="N2307" t="str">
        <f t="shared" ref="N2307:N2370" si="325">IF(F2307="","",F2307)</f>
        <v>HOLDING REGISTER</v>
      </c>
      <c r="O2307" t="str">
        <f t="shared" ref="O2307:O2370" si="326">IF(H2307="","",H2307)</f>
        <v>BOOL</v>
      </c>
      <c r="P2307" t="str">
        <f t="shared" ref="P2307:P2370" si="327">_xlfn.CONCAT(D2307," ",E2307)</f>
        <v>TELECAMERA T15N</v>
      </c>
      <c r="R2307" t="str">
        <f t="shared" ref="R2307:R2370" si="328">IF(J2307="","",J2307)</f>
        <v>disponibile</v>
      </c>
      <c r="U2307" t="str">
        <f t="shared" ref="U2307:U2370" si="329">IF(G2307="","",G2307)</f>
        <v>disponibile</v>
      </c>
      <c r="V2307" t="str">
        <f t="shared" ref="V2307:V2370" si="330">IF(C2307="","",C2307)</f>
        <v>DIREZIONE NORD</v>
      </c>
      <c r="W2307" t="str">
        <f t="shared" ref="W2307:W2370" si="331">IF(B2307="","",B2307)</f>
        <v>GALLERIA CASOLA</v>
      </c>
      <c r="Z2307" t="str">
        <f t="shared" ref="Z2307:Z2370" si="332">IF(A2307="","",A2307)</f>
        <v>10.220.80.16</v>
      </c>
    </row>
    <row r="2308" spans="1:26" x14ac:dyDescent="0.25">
      <c r="A2308" t="s">
        <v>10</v>
      </c>
      <c r="B2308" t="s">
        <v>1206</v>
      </c>
      <c r="C2308" t="s">
        <v>1761</v>
      </c>
      <c r="D2308" t="s">
        <v>1619</v>
      </c>
      <c r="E2308" t="s">
        <v>1794</v>
      </c>
      <c r="F2308" t="s">
        <v>14</v>
      </c>
      <c r="G2308" t="s">
        <v>1375</v>
      </c>
      <c r="H2308" t="s">
        <v>22</v>
      </c>
      <c r="I2308" t="s">
        <v>3173</v>
      </c>
      <c r="J2308" t="s">
        <v>1375</v>
      </c>
      <c r="K2308" t="str">
        <f t="shared" si="324"/>
        <v>5025.7</v>
      </c>
      <c r="N2308" t="str">
        <f t="shared" si="325"/>
        <v>HOLDING REGISTER</v>
      </c>
      <c r="O2308" t="str">
        <f t="shared" si="326"/>
        <v>BOOL</v>
      </c>
      <c r="P2308" t="str">
        <f t="shared" si="327"/>
        <v>TELECAMERA T15N</v>
      </c>
      <c r="R2308" t="str">
        <f t="shared" si="328"/>
        <v>disponibile</v>
      </c>
      <c r="U2308" t="str">
        <f t="shared" si="329"/>
        <v>disponibile</v>
      </c>
      <c r="V2308" t="str">
        <f t="shared" si="330"/>
        <v>DIREZIONE NORD</v>
      </c>
      <c r="W2308" t="str">
        <f t="shared" si="331"/>
        <v>GALLERIA CASOLA</v>
      </c>
      <c r="Z2308" t="str">
        <f t="shared" si="332"/>
        <v>10.220.80.16</v>
      </c>
    </row>
    <row r="2309" spans="1:26" x14ac:dyDescent="0.25">
      <c r="A2309" t="s">
        <v>10</v>
      </c>
      <c r="B2309" t="s">
        <v>1206</v>
      </c>
      <c r="C2309" t="s">
        <v>1761</v>
      </c>
      <c r="D2309" t="s">
        <v>1619</v>
      </c>
      <c r="E2309" t="s">
        <v>1794</v>
      </c>
      <c r="F2309" t="s">
        <v>14</v>
      </c>
      <c r="G2309" t="s">
        <v>1375</v>
      </c>
      <c r="H2309" t="s">
        <v>22</v>
      </c>
      <c r="I2309" t="s">
        <v>3174</v>
      </c>
      <c r="J2309" t="s">
        <v>1375</v>
      </c>
      <c r="K2309" t="str">
        <f t="shared" si="324"/>
        <v>5025.8</v>
      </c>
      <c r="N2309" t="str">
        <f t="shared" si="325"/>
        <v>HOLDING REGISTER</v>
      </c>
      <c r="O2309" t="str">
        <f t="shared" si="326"/>
        <v>BOOL</v>
      </c>
      <c r="P2309" t="str">
        <f t="shared" si="327"/>
        <v>TELECAMERA T15N</v>
      </c>
      <c r="R2309" t="str">
        <f t="shared" si="328"/>
        <v>disponibile</v>
      </c>
      <c r="U2309" t="str">
        <f t="shared" si="329"/>
        <v>disponibile</v>
      </c>
      <c r="V2309" t="str">
        <f t="shared" si="330"/>
        <v>DIREZIONE NORD</v>
      </c>
      <c r="W2309" t="str">
        <f t="shared" si="331"/>
        <v>GALLERIA CASOLA</v>
      </c>
      <c r="Z2309" t="str">
        <f t="shared" si="332"/>
        <v>10.220.80.16</v>
      </c>
    </row>
    <row r="2310" spans="1:26" x14ac:dyDescent="0.25">
      <c r="A2310" t="s">
        <v>10</v>
      </c>
      <c r="B2310" t="s">
        <v>1206</v>
      </c>
      <c r="C2310" t="s">
        <v>1761</v>
      </c>
      <c r="D2310" t="s">
        <v>1619</v>
      </c>
      <c r="E2310" t="s">
        <v>1794</v>
      </c>
      <c r="F2310" t="s">
        <v>14</v>
      </c>
      <c r="G2310" t="s">
        <v>1375</v>
      </c>
      <c r="H2310" t="s">
        <v>22</v>
      </c>
      <c r="I2310" t="s">
        <v>3175</v>
      </c>
      <c r="J2310" t="s">
        <v>1375</v>
      </c>
      <c r="K2310" t="str">
        <f t="shared" si="324"/>
        <v>5025.9</v>
      </c>
      <c r="N2310" t="str">
        <f t="shared" si="325"/>
        <v>HOLDING REGISTER</v>
      </c>
      <c r="O2310" t="str">
        <f t="shared" si="326"/>
        <v>BOOL</v>
      </c>
      <c r="P2310" t="str">
        <f t="shared" si="327"/>
        <v>TELECAMERA T15N</v>
      </c>
      <c r="R2310" t="str">
        <f t="shared" si="328"/>
        <v>disponibile</v>
      </c>
      <c r="U2310" t="str">
        <f t="shared" si="329"/>
        <v>disponibile</v>
      </c>
      <c r="V2310" t="str">
        <f t="shared" si="330"/>
        <v>DIREZIONE NORD</v>
      </c>
      <c r="W2310" t="str">
        <f t="shared" si="331"/>
        <v>GALLERIA CASOLA</v>
      </c>
      <c r="Z2310" t="str">
        <f t="shared" si="332"/>
        <v>10.220.80.16</v>
      </c>
    </row>
    <row r="2311" spans="1:26" x14ac:dyDescent="0.25">
      <c r="A2311" t="s">
        <v>10</v>
      </c>
      <c r="B2311" t="s">
        <v>1206</v>
      </c>
      <c r="C2311" t="s">
        <v>1761</v>
      </c>
      <c r="D2311" t="s">
        <v>1619</v>
      </c>
      <c r="E2311" t="s">
        <v>1794</v>
      </c>
      <c r="F2311" t="s">
        <v>14</v>
      </c>
      <c r="G2311" t="s">
        <v>1375</v>
      </c>
      <c r="H2311" t="s">
        <v>22</v>
      </c>
      <c r="I2311" t="s">
        <v>3176</v>
      </c>
      <c r="J2311" t="s">
        <v>1375</v>
      </c>
      <c r="K2311" t="str">
        <f t="shared" si="324"/>
        <v>5025.10</v>
      </c>
      <c r="N2311" t="str">
        <f t="shared" si="325"/>
        <v>HOLDING REGISTER</v>
      </c>
      <c r="O2311" t="str">
        <f t="shared" si="326"/>
        <v>BOOL</v>
      </c>
      <c r="P2311" t="str">
        <f t="shared" si="327"/>
        <v>TELECAMERA T15N</v>
      </c>
      <c r="R2311" t="str">
        <f t="shared" si="328"/>
        <v>disponibile</v>
      </c>
      <c r="U2311" t="str">
        <f t="shared" si="329"/>
        <v>disponibile</v>
      </c>
      <c r="V2311" t="str">
        <f t="shared" si="330"/>
        <v>DIREZIONE NORD</v>
      </c>
      <c r="W2311" t="str">
        <f t="shared" si="331"/>
        <v>GALLERIA CASOLA</v>
      </c>
      <c r="Z2311" t="str">
        <f t="shared" si="332"/>
        <v>10.220.80.16</v>
      </c>
    </row>
    <row r="2312" spans="1:26" x14ac:dyDescent="0.25">
      <c r="A2312" t="s">
        <v>10</v>
      </c>
      <c r="B2312" t="s">
        <v>1206</v>
      </c>
      <c r="C2312" t="s">
        <v>1761</v>
      </c>
      <c r="D2312" t="s">
        <v>1619</v>
      </c>
      <c r="E2312" t="s">
        <v>1794</v>
      </c>
      <c r="F2312" t="s">
        <v>14</v>
      </c>
      <c r="G2312" t="s">
        <v>1375</v>
      </c>
      <c r="H2312" t="s">
        <v>22</v>
      </c>
      <c r="I2312" t="s">
        <v>3177</v>
      </c>
      <c r="J2312" t="s">
        <v>1375</v>
      </c>
      <c r="K2312" t="str">
        <f t="shared" si="324"/>
        <v>5025.11</v>
      </c>
      <c r="N2312" t="str">
        <f t="shared" si="325"/>
        <v>HOLDING REGISTER</v>
      </c>
      <c r="O2312" t="str">
        <f t="shared" si="326"/>
        <v>BOOL</v>
      </c>
      <c r="P2312" t="str">
        <f t="shared" si="327"/>
        <v>TELECAMERA T15N</v>
      </c>
      <c r="R2312" t="str">
        <f t="shared" si="328"/>
        <v>disponibile</v>
      </c>
      <c r="U2312" t="str">
        <f t="shared" si="329"/>
        <v>disponibile</v>
      </c>
      <c r="V2312" t="str">
        <f t="shared" si="330"/>
        <v>DIREZIONE NORD</v>
      </c>
      <c r="W2312" t="str">
        <f t="shared" si="331"/>
        <v>GALLERIA CASOLA</v>
      </c>
      <c r="Z2312" t="str">
        <f t="shared" si="332"/>
        <v>10.220.80.16</v>
      </c>
    </row>
    <row r="2313" spans="1:26" x14ac:dyDescent="0.25">
      <c r="A2313" t="s">
        <v>10</v>
      </c>
      <c r="B2313" t="s">
        <v>1206</v>
      </c>
      <c r="C2313" t="s">
        <v>1761</v>
      </c>
      <c r="D2313" t="s">
        <v>1619</v>
      </c>
      <c r="E2313" t="s">
        <v>1794</v>
      </c>
      <c r="F2313" t="s">
        <v>14</v>
      </c>
      <c r="G2313" t="s">
        <v>1375</v>
      </c>
      <c r="H2313" t="s">
        <v>22</v>
      </c>
      <c r="I2313" t="s">
        <v>3178</v>
      </c>
      <c r="J2313" t="s">
        <v>1375</v>
      </c>
      <c r="K2313" t="str">
        <f t="shared" si="324"/>
        <v>5025.12</v>
      </c>
      <c r="N2313" t="str">
        <f t="shared" si="325"/>
        <v>HOLDING REGISTER</v>
      </c>
      <c r="O2313" t="str">
        <f t="shared" si="326"/>
        <v>BOOL</v>
      </c>
      <c r="P2313" t="str">
        <f t="shared" si="327"/>
        <v>TELECAMERA T15N</v>
      </c>
      <c r="R2313" t="str">
        <f t="shared" si="328"/>
        <v>disponibile</v>
      </c>
      <c r="U2313" t="str">
        <f t="shared" si="329"/>
        <v>disponibile</v>
      </c>
      <c r="V2313" t="str">
        <f t="shared" si="330"/>
        <v>DIREZIONE NORD</v>
      </c>
      <c r="W2313" t="str">
        <f t="shared" si="331"/>
        <v>GALLERIA CASOLA</v>
      </c>
      <c r="Z2313" t="str">
        <f t="shared" si="332"/>
        <v>10.220.80.16</v>
      </c>
    </row>
    <row r="2314" spans="1:26" x14ac:dyDescent="0.25">
      <c r="A2314" t="s">
        <v>10</v>
      </c>
      <c r="B2314" t="s">
        <v>1206</v>
      </c>
      <c r="C2314" t="s">
        <v>1761</v>
      </c>
      <c r="D2314" t="s">
        <v>1619</v>
      </c>
      <c r="E2314" t="s">
        <v>1794</v>
      </c>
      <c r="F2314" t="s">
        <v>14</v>
      </c>
      <c r="G2314" t="s">
        <v>1375</v>
      </c>
      <c r="H2314" t="s">
        <v>22</v>
      </c>
      <c r="I2314" t="s">
        <v>3179</v>
      </c>
      <c r="J2314" t="s">
        <v>1375</v>
      </c>
      <c r="K2314" t="str">
        <f t="shared" si="324"/>
        <v>5025.13</v>
      </c>
      <c r="N2314" t="str">
        <f t="shared" si="325"/>
        <v>HOLDING REGISTER</v>
      </c>
      <c r="O2314" t="str">
        <f t="shared" si="326"/>
        <v>BOOL</v>
      </c>
      <c r="P2314" t="str">
        <f t="shared" si="327"/>
        <v>TELECAMERA T15N</v>
      </c>
      <c r="R2314" t="str">
        <f t="shared" si="328"/>
        <v>disponibile</v>
      </c>
      <c r="U2314" t="str">
        <f t="shared" si="329"/>
        <v>disponibile</v>
      </c>
      <c r="V2314" t="str">
        <f t="shared" si="330"/>
        <v>DIREZIONE NORD</v>
      </c>
      <c r="W2314" t="str">
        <f t="shared" si="331"/>
        <v>GALLERIA CASOLA</v>
      </c>
      <c r="Z2314" t="str">
        <f t="shared" si="332"/>
        <v>10.220.80.16</v>
      </c>
    </row>
    <row r="2315" spans="1:26" x14ac:dyDescent="0.25">
      <c r="A2315" t="s">
        <v>10</v>
      </c>
      <c r="B2315" t="s">
        <v>1206</v>
      </c>
      <c r="C2315" t="s">
        <v>1761</v>
      </c>
      <c r="D2315" t="s">
        <v>1619</v>
      </c>
      <c r="E2315" t="s">
        <v>1794</v>
      </c>
      <c r="F2315" t="s">
        <v>14</v>
      </c>
      <c r="G2315" t="s">
        <v>1375</v>
      </c>
      <c r="H2315" t="s">
        <v>22</v>
      </c>
      <c r="I2315" t="s">
        <v>3180</v>
      </c>
      <c r="J2315" t="s">
        <v>1375</v>
      </c>
      <c r="K2315" t="str">
        <f t="shared" si="324"/>
        <v>5025.14</v>
      </c>
      <c r="N2315" t="str">
        <f t="shared" si="325"/>
        <v>HOLDING REGISTER</v>
      </c>
      <c r="O2315" t="str">
        <f t="shared" si="326"/>
        <v>BOOL</v>
      </c>
      <c r="P2315" t="str">
        <f t="shared" si="327"/>
        <v>TELECAMERA T15N</v>
      </c>
      <c r="R2315" t="str">
        <f t="shared" si="328"/>
        <v>disponibile</v>
      </c>
      <c r="U2315" t="str">
        <f t="shared" si="329"/>
        <v>disponibile</v>
      </c>
      <c r="V2315" t="str">
        <f t="shared" si="330"/>
        <v>DIREZIONE NORD</v>
      </c>
      <c r="W2315" t="str">
        <f t="shared" si="331"/>
        <v>GALLERIA CASOLA</v>
      </c>
      <c r="Z2315" t="str">
        <f t="shared" si="332"/>
        <v>10.220.80.16</v>
      </c>
    </row>
    <row r="2316" spans="1:26" x14ac:dyDescent="0.25">
      <c r="A2316" t="s">
        <v>10</v>
      </c>
      <c r="B2316" t="s">
        <v>1206</v>
      </c>
      <c r="C2316" t="s">
        <v>1761</v>
      </c>
      <c r="D2316" t="s">
        <v>1619</v>
      </c>
      <c r="E2316" t="s">
        <v>1794</v>
      </c>
      <c r="F2316" t="s">
        <v>14</v>
      </c>
      <c r="G2316" t="s">
        <v>1375</v>
      </c>
      <c r="H2316" t="s">
        <v>22</v>
      </c>
      <c r="I2316" t="s">
        <v>3181</v>
      </c>
      <c r="J2316" t="s">
        <v>1375</v>
      </c>
      <c r="K2316" t="str">
        <f t="shared" si="324"/>
        <v>5025.15</v>
      </c>
      <c r="N2316" t="str">
        <f t="shared" si="325"/>
        <v>HOLDING REGISTER</v>
      </c>
      <c r="O2316" t="str">
        <f t="shared" si="326"/>
        <v>BOOL</v>
      </c>
      <c r="P2316" t="str">
        <f t="shared" si="327"/>
        <v>TELECAMERA T15N</v>
      </c>
      <c r="R2316" t="str">
        <f t="shared" si="328"/>
        <v>disponibile</v>
      </c>
      <c r="U2316" t="str">
        <f t="shared" si="329"/>
        <v>disponibile</v>
      </c>
      <c r="V2316" t="str">
        <f t="shared" si="330"/>
        <v>DIREZIONE NORD</v>
      </c>
      <c r="W2316" t="str">
        <f t="shared" si="331"/>
        <v>GALLERIA CASOLA</v>
      </c>
      <c r="Z2316" t="str">
        <f t="shared" si="332"/>
        <v>10.220.80.16</v>
      </c>
    </row>
    <row r="2317" spans="1:26" x14ac:dyDescent="0.25">
      <c r="A2317" t="s">
        <v>10</v>
      </c>
      <c r="B2317" t="s">
        <v>1206</v>
      </c>
      <c r="C2317" t="s">
        <v>1761</v>
      </c>
      <c r="D2317" t="s">
        <v>1619</v>
      </c>
      <c r="E2317" t="s">
        <v>1811</v>
      </c>
      <c r="F2317" t="s">
        <v>14</v>
      </c>
      <c r="G2317" t="s">
        <v>28</v>
      </c>
      <c r="H2317" t="s">
        <v>22</v>
      </c>
      <c r="I2317" t="s">
        <v>3182</v>
      </c>
      <c r="J2317" t="s">
        <v>1622</v>
      </c>
      <c r="K2317" t="str">
        <f t="shared" si="324"/>
        <v>5026.0</v>
      </c>
      <c r="N2317" t="str">
        <f t="shared" si="325"/>
        <v>HOLDING REGISTER</v>
      </c>
      <c r="O2317" t="str">
        <f t="shared" si="326"/>
        <v>BOOL</v>
      </c>
      <c r="P2317" t="str">
        <f t="shared" si="327"/>
        <v>TELECAMERA T16N</v>
      </c>
      <c r="R2317" t="str">
        <f t="shared" si="328"/>
        <v>ALLARMI TELECAMERA ESCLUSI</v>
      </c>
      <c r="U2317" t="str">
        <f t="shared" si="329"/>
        <v>Allarme</v>
      </c>
      <c r="V2317" t="str">
        <f t="shared" si="330"/>
        <v>DIREZIONE NORD</v>
      </c>
      <c r="W2317" t="str">
        <f t="shared" si="331"/>
        <v>GALLERIA CASOLA</v>
      </c>
      <c r="Z2317" t="str">
        <f t="shared" si="332"/>
        <v>10.220.80.16</v>
      </c>
    </row>
    <row r="2318" spans="1:26" x14ac:dyDescent="0.25">
      <c r="A2318" t="s">
        <v>10</v>
      </c>
      <c r="B2318" t="s">
        <v>1206</v>
      </c>
      <c r="C2318" t="s">
        <v>1761</v>
      </c>
      <c r="D2318" t="s">
        <v>1619</v>
      </c>
      <c r="E2318" t="s">
        <v>1811</v>
      </c>
      <c r="F2318" t="s">
        <v>14</v>
      </c>
      <c r="G2318" t="s">
        <v>28</v>
      </c>
      <c r="H2318" t="s">
        <v>22</v>
      </c>
      <c r="I2318" t="s">
        <v>3183</v>
      </c>
      <c r="J2318" t="s">
        <v>1624</v>
      </c>
      <c r="K2318" t="str">
        <f t="shared" si="324"/>
        <v>5026.1</v>
      </c>
      <c r="N2318" t="str">
        <f t="shared" si="325"/>
        <v>HOLDING REGISTER</v>
      </c>
      <c r="O2318" t="str">
        <f t="shared" si="326"/>
        <v>BOOL</v>
      </c>
      <c r="P2318" t="str">
        <f t="shared" si="327"/>
        <v>TELECAMERA T16N</v>
      </c>
      <c r="R2318" t="str">
        <f t="shared" si="328"/>
        <v>IN MANUTENZIONE ALLARME FUMO</v>
      </c>
      <c r="U2318" t="str">
        <f t="shared" si="329"/>
        <v>Allarme</v>
      </c>
      <c r="V2318" t="str">
        <f t="shared" si="330"/>
        <v>DIREZIONE NORD</v>
      </c>
      <c r="W2318" t="str">
        <f t="shared" si="331"/>
        <v>GALLERIA CASOLA</v>
      </c>
      <c r="Z2318" t="str">
        <f t="shared" si="332"/>
        <v>10.220.80.16</v>
      </c>
    </row>
    <row r="2319" spans="1:26" x14ac:dyDescent="0.25">
      <c r="A2319" t="s">
        <v>10</v>
      </c>
      <c r="B2319" t="s">
        <v>1206</v>
      </c>
      <c r="C2319" t="s">
        <v>1761</v>
      </c>
      <c r="D2319" t="s">
        <v>1619</v>
      </c>
      <c r="E2319" t="s">
        <v>1811</v>
      </c>
      <c r="F2319" t="s">
        <v>14</v>
      </c>
      <c r="G2319" t="s">
        <v>28</v>
      </c>
      <c r="H2319" t="s">
        <v>22</v>
      </c>
      <c r="I2319" t="s">
        <v>3184</v>
      </c>
      <c r="J2319" t="s">
        <v>1626</v>
      </c>
      <c r="K2319" t="str">
        <f t="shared" si="324"/>
        <v>5026.2</v>
      </c>
      <c r="N2319" t="str">
        <f t="shared" si="325"/>
        <v>HOLDING REGISTER</v>
      </c>
      <c r="O2319" t="str">
        <f t="shared" si="326"/>
        <v>BOOL</v>
      </c>
      <c r="P2319" t="str">
        <f t="shared" si="327"/>
        <v>TELECAMERA T16N</v>
      </c>
      <c r="R2319" t="str">
        <f t="shared" si="328"/>
        <v>IN MANUTENZIONE ALLARMI TRAFFICO</v>
      </c>
      <c r="U2319" t="str">
        <f t="shared" si="329"/>
        <v>Allarme</v>
      </c>
      <c r="V2319" t="str">
        <f t="shared" si="330"/>
        <v>DIREZIONE NORD</v>
      </c>
      <c r="W2319" t="str">
        <f t="shared" si="331"/>
        <v>GALLERIA CASOLA</v>
      </c>
      <c r="Z2319" t="str">
        <f t="shared" si="332"/>
        <v>10.220.80.16</v>
      </c>
    </row>
    <row r="2320" spans="1:26" x14ac:dyDescent="0.25">
      <c r="A2320" t="s">
        <v>10</v>
      </c>
      <c r="B2320" t="s">
        <v>1206</v>
      </c>
      <c r="C2320" t="s">
        <v>1761</v>
      </c>
      <c r="D2320" t="s">
        <v>1619</v>
      </c>
      <c r="E2320" t="s">
        <v>1811</v>
      </c>
      <c r="F2320" t="s">
        <v>14</v>
      </c>
      <c r="G2320" t="s">
        <v>1375</v>
      </c>
      <c r="H2320" t="s">
        <v>22</v>
      </c>
      <c r="I2320" t="s">
        <v>3185</v>
      </c>
      <c r="J2320" t="s">
        <v>1375</v>
      </c>
      <c r="K2320" t="str">
        <f t="shared" si="324"/>
        <v>5026.3</v>
      </c>
      <c r="N2320" t="str">
        <f t="shared" si="325"/>
        <v>HOLDING REGISTER</v>
      </c>
      <c r="O2320" t="str">
        <f t="shared" si="326"/>
        <v>BOOL</v>
      </c>
      <c r="P2320" t="str">
        <f t="shared" si="327"/>
        <v>TELECAMERA T16N</v>
      </c>
      <c r="R2320" t="str">
        <f t="shared" si="328"/>
        <v>disponibile</v>
      </c>
      <c r="U2320" t="str">
        <f t="shared" si="329"/>
        <v>disponibile</v>
      </c>
      <c r="V2320" t="str">
        <f t="shared" si="330"/>
        <v>DIREZIONE NORD</v>
      </c>
      <c r="W2320" t="str">
        <f t="shared" si="331"/>
        <v>GALLERIA CASOLA</v>
      </c>
      <c r="Z2320" t="str">
        <f t="shared" si="332"/>
        <v>10.220.80.16</v>
      </c>
    </row>
    <row r="2321" spans="1:26" x14ac:dyDescent="0.25">
      <c r="A2321" t="s">
        <v>10</v>
      </c>
      <c r="B2321" t="s">
        <v>1206</v>
      </c>
      <c r="C2321" t="s">
        <v>1761</v>
      </c>
      <c r="D2321" t="s">
        <v>1619</v>
      </c>
      <c r="E2321" t="s">
        <v>1811</v>
      </c>
      <c r="F2321" t="s">
        <v>14</v>
      </c>
      <c r="G2321" t="s">
        <v>1375</v>
      </c>
      <c r="H2321" t="s">
        <v>22</v>
      </c>
      <c r="I2321" t="s">
        <v>3186</v>
      </c>
      <c r="J2321" t="s">
        <v>1375</v>
      </c>
      <c r="K2321" t="str">
        <f t="shared" si="324"/>
        <v>5026.4</v>
      </c>
      <c r="N2321" t="str">
        <f t="shared" si="325"/>
        <v>HOLDING REGISTER</v>
      </c>
      <c r="O2321" t="str">
        <f t="shared" si="326"/>
        <v>BOOL</v>
      </c>
      <c r="P2321" t="str">
        <f t="shared" si="327"/>
        <v>TELECAMERA T16N</v>
      </c>
      <c r="R2321" t="str">
        <f t="shared" si="328"/>
        <v>disponibile</v>
      </c>
      <c r="U2321" t="str">
        <f t="shared" si="329"/>
        <v>disponibile</v>
      </c>
      <c r="V2321" t="str">
        <f t="shared" si="330"/>
        <v>DIREZIONE NORD</v>
      </c>
      <c r="W2321" t="str">
        <f t="shared" si="331"/>
        <v>GALLERIA CASOLA</v>
      </c>
      <c r="Z2321" t="str">
        <f t="shared" si="332"/>
        <v>10.220.80.16</v>
      </c>
    </row>
    <row r="2322" spans="1:26" x14ac:dyDescent="0.25">
      <c r="A2322" t="s">
        <v>10</v>
      </c>
      <c r="B2322" t="s">
        <v>1206</v>
      </c>
      <c r="C2322" t="s">
        <v>1761</v>
      </c>
      <c r="D2322" t="s">
        <v>1619</v>
      </c>
      <c r="E2322" t="s">
        <v>1811</v>
      </c>
      <c r="F2322" t="s">
        <v>14</v>
      </c>
      <c r="G2322" t="s">
        <v>1375</v>
      </c>
      <c r="H2322" t="s">
        <v>22</v>
      </c>
      <c r="I2322" t="s">
        <v>3187</v>
      </c>
      <c r="J2322" t="s">
        <v>1375</v>
      </c>
      <c r="K2322" t="str">
        <f t="shared" si="324"/>
        <v>5026.5</v>
      </c>
      <c r="N2322" t="str">
        <f t="shared" si="325"/>
        <v>HOLDING REGISTER</v>
      </c>
      <c r="O2322" t="str">
        <f t="shared" si="326"/>
        <v>BOOL</v>
      </c>
      <c r="P2322" t="str">
        <f t="shared" si="327"/>
        <v>TELECAMERA T16N</v>
      </c>
      <c r="R2322" t="str">
        <f t="shared" si="328"/>
        <v>disponibile</v>
      </c>
      <c r="U2322" t="str">
        <f t="shared" si="329"/>
        <v>disponibile</v>
      </c>
      <c r="V2322" t="str">
        <f t="shared" si="330"/>
        <v>DIREZIONE NORD</v>
      </c>
      <c r="W2322" t="str">
        <f t="shared" si="331"/>
        <v>GALLERIA CASOLA</v>
      </c>
      <c r="Z2322" t="str">
        <f t="shared" si="332"/>
        <v>10.220.80.16</v>
      </c>
    </row>
    <row r="2323" spans="1:26" x14ac:dyDescent="0.25">
      <c r="A2323" t="s">
        <v>10</v>
      </c>
      <c r="B2323" t="s">
        <v>1206</v>
      </c>
      <c r="C2323" t="s">
        <v>1761</v>
      </c>
      <c r="D2323" t="s">
        <v>1619</v>
      </c>
      <c r="E2323" t="s">
        <v>1811</v>
      </c>
      <c r="F2323" t="s">
        <v>14</v>
      </c>
      <c r="G2323" t="s">
        <v>1375</v>
      </c>
      <c r="H2323" t="s">
        <v>22</v>
      </c>
      <c r="I2323" t="s">
        <v>3188</v>
      </c>
      <c r="J2323" t="s">
        <v>1375</v>
      </c>
      <c r="K2323" t="str">
        <f t="shared" si="324"/>
        <v>5026.6</v>
      </c>
      <c r="N2323" t="str">
        <f t="shared" si="325"/>
        <v>HOLDING REGISTER</v>
      </c>
      <c r="O2323" t="str">
        <f t="shared" si="326"/>
        <v>BOOL</v>
      </c>
      <c r="P2323" t="str">
        <f t="shared" si="327"/>
        <v>TELECAMERA T16N</v>
      </c>
      <c r="R2323" t="str">
        <f t="shared" si="328"/>
        <v>disponibile</v>
      </c>
      <c r="U2323" t="str">
        <f t="shared" si="329"/>
        <v>disponibile</v>
      </c>
      <c r="V2323" t="str">
        <f t="shared" si="330"/>
        <v>DIREZIONE NORD</v>
      </c>
      <c r="W2323" t="str">
        <f t="shared" si="331"/>
        <v>GALLERIA CASOLA</v>
      </c>
      <c r="Z2323" t="str">
        <f t="shared" si="332"/>
        <v>10.220.80.16</v>
      </c>
    </row>
    <row r="2324" spans="1:26" x14ac:dyDescent="0.25">
      <c r="A2324" t="s">
        <v>10</v>
      </c>
      <c r="B2324" t="s">
        <v>1206</v>
      </c>
      <c r="C2324" t="s">
        <v>1761</v>
      </c>
      <c r="D2324" t="s">
        <v>1619</v>
      </c>
      <c r="E2324" t="s">
        <v>1811</v>
      </c>
      <c r="F2324" t="s">
        <v>14</v>
      </c>
      <c r="G2324" t="s">
        <v>1375</v>
      </c>
      <c r="H2324" t="s">
        <v>22</v>
      </c>
      <c r="I2324" t="s">
        <v>3189</v>
      </c>
      <c r="J2324" t="s">
        <v>1375</v>
      </c>
      <c r="K2324" t="str">
        <f t="shared" si="324"/>
        <v>5026.7</v>
      </c>
      <c r="N2324" t="str">
        <f t="shared" si="325"/>
        <v>HOLDING REGISTER</v>
      </c>
      <c r="O2324" t="str">
        <f t="shared" si="326"/>
        <v>BOOL</v>
      </c>
      <c r="P2324" t="str">
        <f t="shared" si="327"/>
        <v>TELECAMERA T16N</v>
      </c>
      <c r="R2324" t="str">
        <f t="shared" si="328"/>
        <v>disponibile</v>
      </c>
      <c r="U2324" t="str">
        <f t="shared" si="329"/>
        <v>disponibile</v>
      </c>
      <c r="V2324" t="str">
        <f t="shared" si="330"/>
        <v>DIREZIONE NORD</v>
      </c>
      <c r="W2324" t="str">
        <f t="shared" si="331"/>
        <v>GALLERIA CASOLA</v>
      </c>
      <c r="Z2324" t="str">
        <f t="shared" si="332"/>
        <v>10.220.80.16</v>
      </c>
    </row>
    <row r="2325" spans="1:26" x14ac:dyDescent="0.25">
      <c r="A2325" t="s">
        <v>10</v>
      </c>
      <c r="B2325" t="s">
        <v>1206</v>
      </c>
      <c r="C2325" t="s">
        <v>1761</v>
      </c>
      <c r="D2325" t="s">
        <v>1619</v>
      </c>
      <c r="E2325" t="s">
        <v>1811</v>
      </c>
      <c r="F2325" t="s">
        <v>14</v>
      </c>
      <c r="G2325" t="s">
        <v>1375</v>
      </c>
      <c r="H2325" t="s">
        <v>22</v>
      </c>
      <c r="I2325" t="s">
        <v>3190</v>
      </c>
      <c r="J2325" t="s">
        <v>1375</v>
      </c>
      <c r="K2325" t="str">
        <f t="shared" si="324"/>
        <v>5026.8</v>
      </c>
      <c r="N2325" t="str">
        <f t="shared" si="325"/>
        <v>HOLDING REGISTER</v>
      </c>
      <c r="O2325" t="str">
        <f t="shared" si="326"/>
        <v>BOOL</v>
      </c>
      <c r="P2325" t="str">
        <f t="shared" si="327"/>
        <v>TELECAMERA T16N</v>
      </c>
      <c r="R2325" t="str">
        <f t="shared" si="328"/>
        <v>disponibile</v>
      </c>
      <c r="U2325" t="str">
        <f t="shared" si="329"/>
        <v>disponibile</v>
      </c>
      <c r="V2325" t="str">
        <f t="shared" si="330"/>
        <v>DIREZIONE NORD</v>
      </c>
      <c r="W2325" t="str">
        <f t="shared" si="331"/>
        <v>GALLERIA CASOLA</v>
      </c>
      <c r="Z2325" t="str">
        <f t="shared" si="332"/>
        <v>10.220.80.16</v>
      </c>
    </row>
    <row r="2326" spans="1:26" x14ac:dyDescent="0.25">
      <c r="A2326" t="s">
        <v>10</v>
      </c>
      <c r="B2326" t="s">
        <v>1206</v>
      </c>
      <c r="C2326" t="s">
        <v>1761</v>
      </c>
      <c r="D2326" t="s">
        <v>1619</v>
      </c>
      <c r="E2326" t="s">
        <v>1811</v>
      </c>
      <c r="F2326" t="s">
        <v>14</v>
      </c>
      <c r="G2326" t="s">
        <v>1375</v>
      </c>
      <c r="H2326" t="s">
        <v>22</v>
      </c>
      <c r="I2326" t="s">
        <v>3191</v>
      </c>
      <c r="J2326" t="s">
        <v>1375</v>
      </c>
      <c r="K2326" t="str">
        <f t="shared" si="324"/>
        <v>5026.9</v>
      </c>
      <c r="N2326" t="str">
        <f t="shared" si="325"/>
        <v>HOLDING REGISTER</v>
      </c>
      <c r="O2326" t="str">
        <f t="shared" si="326"/>
        <v>BOOL</v>
      </c>
      <c r="P2326" t="str">
        <f t="shared" si="327"/>
        <v>TELECAMERA T16N</v>
      </c>
      <c r="R2326" t="str">
        <f t="shared" si="328"/>
        <v>disponibile</v>
      </c>
      <c r="U2326" t="str">
        <f t="shared" si="329"/>
        <v>disponibile</v>
      </c>
      <c r="V2326" t="str">
        <f t="shared" si="330"/>
        <v>DIREZIONE NORD</v>
      </c>
      <c r="W2326" t="str">
        <f t="shared" si="331"/>
        <v>GALLERIA CASOLA</v>
      </c>
      <c r="Z2326" t="str">
        <f t="shared" si="332"/>
        <v>10.220.80.16</v>
      </c>
    </row>
    <row r="2327" spans="1:26" x14ac:dyDescent="0.25">
      <c r="A2327" t="s">
        <v>10</v>
      </c>
      <c r="B2327" t="s">
        <v>1206</v>
      </c>
      <c r="C2327" t="s">
        <v>1761</v>
      </c>
      <c r="D2327" t="s">
        <v>1619</v>
      </c>
      <c r="E2327" t="s">
        <v>1811</v>
      </c>
      <c r="F2327" t="s">
        <v>14</v>
      </c>
      <c r="G2327" t="s">
        <v>1375</v>
      </c>
      <c r="H2327" t="s">
        <v>22</v>
      </c>
      <c r="I2327" t="s">
        <v>3192</v>
      </c>
      <c r="J2327" t="s">
        <v>1375</v>
      </c>
      <c r="K2327" t="str">
        <f t="shared" si="324"/>
        <v>5026.10</v>
      </c>
      <c r="N2327" t="str">
        <f t="shared" si="325"/>
        <v>HOLDING REGISTER</v>
      </c>
      <c r="O2327" t="str">
        <f t="shared" si="326"/>
        <v>BOOL</v>
      </c>
      <c r="P2327" t="str">
        <f t="shared" si="327"/>
        <v>TELECAMERA T16N</v>
      </c>
      <c r="R2327" t="str">
        <f t="shared" si="328"/>
        <v>disponibile</v>
      </c>
      <c r="U2327" t="str">
        <f t="shared" si="329"/>
        <v>disponibile</v>
      </c>
      <c r="V2327" t="str">
        <f t="shared" si="330"/>
        <v>DIREZIONE NORD</v>
      </c>
      <c r="W2327" t="str">
        <f t="shared" si="331"/>
        <v>GALLERIA CASOLA</v>
      </c>
      <c r="Z2327" t="str">
        <f t="shared" si="332"/>
        <v>10.220.80.16</v>
      </c>
    </row>
    <row r="2328" spans="1:26" x14ac:dyDescent="0.25">
      <c r="A2328" t="s">
        <v>10</v>
      </c>
      <c r="B2328" t="s">
        <v>1206</v>
      </c>
      <c r="C2328" t="s">
        <v>1761</v>
      </c>
      <c r="D2328" t="s">
        <v>1619</v>
      </c>
      <c r="E2328" t="s">
        <v>1811</v>
      </c>
      <c r="F2328" t="s">
        <v>14</v>
      </c>
      <c r="G2328" t="s">
        <v>1375</v>
      </c>
      <c r="H2328" t="s">
        <v>22</v>
      </c>
      <c r="I2328" t="s">
        <v>3193</v>
      </c>
      <c r="J2328" t="s">
        <v>1375</v>
      </c>
      <c r="K2328" t="str">
        <f t="shared" si="324"/>
        <v>5026.11</v>
      </c>
      <c r="N2328" t="str">
        <f t="shared" si="325"/>
        <v>HOLDING REGISTER</v>
      </c>
      <c r="O2328" t="str">
        <f t="shared" si="326"/>
        <v>BOOL</v>
      </c>
      <c r="P2328" t="str">
        <f t="shared" si="327"/>
        <v>TELECAMERA T16N</v>
      </c>
      <c r="R2328" t="str">
        <f t="shared" si="328"/>
        <v>disponibile</v>
      </c>
      <c r="U2328" t="str">
        <f t="shared" si="329"/>
        <v>disponibile</v>
      </c>
      <c r="V2328" t="str">
        <f t="shared" si="330"/>
        <v>DIREZIONE NORD</v>
      </c>
      <c r="W2328" t="str">
        <f t="shared" si="331"/>
        <v>GALLERIA CASOLA</v>
      </c>
      <c r="Z2328" t="str">
        <f t="shared" si="332"/>
        <v>10.220.80.16</v>
      </c>
    </row>
    <row r="2329" spans="1:26" x14ac:dyDescent="0.25">
      <c r="A2329" t="s">
        <v>10</v>
      </c>
      <c r="B2329" t="s">
        <v>1206</v>
      </c>
      <c r="C2329" t="s">
        <v>1761</v>
      </c>
      <c r="D2329" t="s">
        <v>1619</v>
      </c>
      <c r="E2329" t="s">
        <v>1811</v>
      </c>
      <c r="F2329" t="s">
        <v>14</v>
      </c>
      <c r="G2329" t="s">
        <v>1375</v>
      </c>
      <c r="H2329" t="s">
        <v>22</v>
      </c>
      <c r="I2329" t="s">
        <v>3194</v>
      </c>
      <c r="J2329" t="s">
        <v>1375</v>
      </c>
      <c r="K2329" t="str">
        <f t="shared" si="324"/>
        <v>5026.12</v>
      </c>
      <c r="N2329" t="str">
        <f t="shared" si="325"/>
        <v>HOLDING REGISTER</v>
      </c>
      <c r="O2329" t="str">
        <f t="shared" si="326"/>
        <v>BOOL</v>
      </c>
      <c r="P2329" t="str">
        <f t="shared" si="327"/>
        <v>TELECAMERA T16N</v>
      </c>
      <c r="R2329" t="str">
        <f t="shared" si="328"/>
        <v>disponibile</v>
      </c>
      <c r="U2329" t="str">
        <f t="shared" si="329"/>
        <v>disponibile</v>
      </c>
      <c r="V2329" t="str">
        <f t="shared" si="330"/>
        <v>DIREZIONE NORD</v>
      </c>
      <c r="W2329" t="str">
        <f t="shared" si="331"/>
        <v>GALLERIA CASOLA</v>
      </c>
      <c r="Z2329" t="str">
        <f t="shared" si="332"/>
        <v>10.220.80.16</v>
      </c>
    </row>
    <row r="2330" spans="1:26" x14ac:dyDescent="0.25">
      <c r="A2330" t="s">
        <v>10</v>
      </c>
      <c r="B2330" t="s">
        <v>1206</v>
      </c>
      <c r="C2330" t="s">
        <v>1761</v>
      </c>
      <c r="D2330" t="s">
        <v>1619</v>
      </c>
      <c r="E2330" t="s">
        <v>1811</v>
      </c>
      <c r="F2330" t="s">
        <v>14</v>
      </c>
      <c r="G2330" t="s">
        <v>1375</v>
      </c>
      <c r="H2330" t="s">
        <v>22</v>
      </c>
      <c r="I2330" t="s">
        <v>3195</v>
      </c>
      <c r="J2330" t="s">
        <v>1375</v>
      </c>
      <c r="K2330" t="str">
        <f t="shared" si="324"/>
        <v>5026.13</v>
      </c>
      <c r="N2330" t="str">
        <f t="shared" si="325"/>
        <v>HOLDING REGISTER</v>
      </c>
      <c r="O2330" t="str">
        <f t="shared" si="326"/>
        <v>BOOL</v>
      </c>
      <c r="P2330" t="str">
        <f t="shared" si="327"/>
        <v>TELECAMERA T16N</v>
      </c>
      <c r="R2330" t="str">
        <f t="shared" si="328"/>
        <v>disponibile</v>
      </c>
      <c r="U2330" t="str">
        <f t="shared" si="329"/>
        <v>disponibile</v>
      </c>
      <c r="V2330" t="str">
        <f t="shared" si="330"/>
        <v>DIREZIONE NORD</v>
      </c>
      <c r="W2330" t="str">
        <f t="shared" si="331"/>
        <v>GALLERIA CASOLA</v>
      </c>
      <c r="Z2330" t="str">
        <f t="shared" si="332"/>
        <v>10.220.80.16</v>
      </c>
    </row>
    <row r="2331" spans="1:26" x14ac:dyDescent="0.25">
      <c r="A2331" t="s">
        <v>10</v>
      </c>
      <c r="B2331" t="s">
        <v>1206</v>
      </c>
      <c r="C2331" t="s">
        <v>1761</v>
      </c>
      <c r="D2331" t="s">
        <v>1619</v>
      </c>
      <c r="E2331" t="s">
        <v>1811</v>
      </c>
      <c r="F2331" t="s">
        <v>14</v>
      </c>
      <c r="G2331" t="s">
        <v>1375</v>
      </c>
      <c r="H2331" t="s">
        <v>22</v>
      </c>
      <c r="I2331" t="s">
        <v>3196</v>
      </c>
      <c r="J2331" t="s">
        <v>1375</v>
      </c>
      <c r="K2331" t="str">
        <f t="shared" si="324"/>
        <v>5026.14</v>
      </c>
      <c r="N2331" t="str">
        <f t="shared" si="325"/>
        <v>HOLDING REGISTER</v>
      </c>
      <c r="O2331" t="str">
        <f t="shared" si="326"/>
        <v>BOOL</v>
      </c>
      <c r="P2331" t="str">
        <f t="shared" si="327"/>
        <v>TELECAMERA T16N</v>
      </c>
      <c r="R2331" t="str">
        <f t="shared" si="328"/>
        <v>disponibile</v>
      </c>
      <c r="U2331" t="str">
        <f t="shared" si="329"/>
        <v>disponibile</v>
      </c>
      <c r="V2331" t="str">
        <f t="shared" si="330"/>
        <v>DIREZIONE NORD</v>
      </c>
      <c r="W2331" t="str">
        <f t="shared" si="331"/>
        <v>GALLERIA CASOLA</v>
      </c>
      <c r="Z2331" t="str">
        <f t="shared" si="332"/>
        <v>10.220.80.16</v>
      </c>
    </row>
    <row r="2332" spans="1:26" x14ac:dyDescent="0.25">
      <c r="A2332" t="s">
        <v>10</v>
      </c>
      <c r="B2332" t="s">
        <v>1206</v>
      </c>
      <c r="C2332" t="s">
        <v>1761</v>
      </c>
      <c r="D2332" t="s">
        <v>1619</v>
      </c>
      <c r="E2332" t="s">
        <v>1811</v>
      </c>
      <c r="F2332" t="s">
        <v>14</v>
      </c>
      <c r="G2332" t="s">
        <v>1375</v>
      </c>
      <c r="H2332" t="s">
        <v>22</v>
      </c>
      <c r="I2332" t="s">
        <v>3197</v>
      </c>
      <c r="J2332" t="s">
        <v>1375</v>
      </c>
      <c r="K2332" t="str">
        <f t="shared" si="324"/>
        <v>5026.15</v>
      </c>
      <c r="N2332" t="str">
        <f t="shared" si="325"/>
        <v>HOLDING REGISTER</v>
      </c>
      <c r="O2332" t="str">
        <f t="shared" si="326"/>
        <v>BOOL</v>
      </c>
      <c r="P2332" t="str">
        <f t="shared" si="327"/>
        <v>TELECAMERA T16N</v>
      </c>
      <c r="R2332" t="str">
        <f t="shared" si="328"/>
        <v>disponibile</v>
      </c>
      <c r="U2332" t="str">
        <f t="shared" si="329"/>
        <v>disponibile</v>
      </c>
      <c r="V2332" t="str">
        <f t="shared" si="330"/>
        <v>DIREZIONE NORD</v>
      </c>
      <c r="W2332" t="str">
        <f t="shared" si="331"/>
        <v>GALLERIA CASOLA</v>
      </c>
      <c r="Z2332" t="str">
        <f t="shared" si="332"/>
        <v>10.220.80.16</v>
      </c>
    </row>
    <row r="2333" spans="1:26" x14ac:dyDescent="0.25">
      <c r="A2333" t="s">
        <v>10</v>
      </c>
      <c r="B2333" t="s">
        <v>1206</v>
      </c>
      <c r="C2333" t="s">
        <v>1618</v>
      </c>
      <c r="D2333" t="s">
        <v>1619</v>
      </c>
      <c r="E2333" t="s">
        <v>1620</v>
      </c>
      <c r="F2333" t="s">
        <v>14</v>
      </c>
      <c r="G2333" t="s">
        <v>28</v>
      </c>
      <c r="H2333" t="s">
        <v>22</v>
      </c>
      <c r="I2333" t="s">
        <v>3198</v>
      </c>
      <c r="J2333" t="s">
        <v>1897</v>
      </c>
      <c r="K2333" t="str">
        <f t="shared" si="324"/>
        <v>5027.0</v>
      </c>
      <c r="N2333" t="str">
        <f t="shared" si="325"/>
        <v>HOLDING REGISTER</v>
      </c>
      <c r="O2333" t="str">
        <f t="shared" si="326"/>
        <v>BOOL</v>
      </c>
      <c r="P2333" t="str">
        <f t="shared" si="327"/>
        <v>TELECAMERA T01S</v>
      </c>
      <c r="R2333" t="str">
        <f t="shared" si="328"/>
        <v>PERDITA SEGNALE VIDEO</v>
      </c>
      <c r="U2333" t="str">
        <f t="shared" si="329"/>
        <v>Allarme</v>
      </c>
      <c r="V2333" t="str">
        <f t="shared" si="330"/>
        <v>DIREZIONE SUD</v>
      </c>
      <c r="W2333" t="str">
        <f t="shared" si="331"/>
        <v>GALLERIA CASOLA</v>
      </c>
      <c r="Z2333" t="str">
        <f t="shared" si="332"/>
        <v>10.220.80.16</v>
      </c>
    </row>
    <row r="2334" spans="1:26" x14ac:dyDescent="0.25">
      <c r="A2334" t="s">
        <v>10</v>
      </c>
      <c r="B2334" t="s">
        <v>1206</v>
      </c>
      <c r="C2334" t="s">
        <v>1618</v>
      </c>
      <c r="D2334" t="s">
        <v>1619</v>
      </c>
      <c r="E2334" t="s">
        <v>1620</v>
      </c>
      <c r="F2334" t="s">
        <v>14</v>
      </c>
      <c r="G2334" t="s">
        <v>28</v>
      </c>
      <c r="H2334" t="s">
        <v>22</v>
      </c>
      <c r="I2334" t="s">
        <v>3199</v>
      </c>
      <c r="J2334" t="s">
        <v>1899</v>
      </c>
      <c r="K2334" t="str">
        <f t="shared" si="324"/>
        <v>5027.1</v>
      </c>
      <c r="N2334" t="str">
        <f t="shared" si="325"/>
        <v>HOLDING REGISTER</v>
      </c>
      <c r="O2334" t="str">
        <f t="shared" si="326"/>
        <v>BOOL</v>
      </c>
      <c r="P2334" t="str">
        <f t="shared" si="327"/>
        <v>TELECAMERA T01S</v>
      </c>
      <c r="R2334" t="str">
        <f t="shared" si="328"/>
        <v>MANOMISSIONE</v>
      </c>
      <c r="U2334" t="str">
        <f t="shared" si="329"/>
        <v>Allarme</v>
      </c>
      <c r="V2334" t="str">
        <f t="shared" si="330"/>
        <v>DIREZIONE SUD</v>
      </c>
      <c r="W2334" t="str">
        <f t="shared" si="331"/>
        <v>GALLERIA CASOLA</v>
      </c>
      <c r="Z2334" t="str">
        <f t="shared" si="332"/>
        <v>10.220.80.16</v>
      </c>
    </row>
    <row r="2335" spans="1:26" x14ac:dyDescent="0.25">
      <c r="A2335" t="s">
        <v>10</v>
      </c>
      <c r="B2335" t="s">
        <v>1206</v>
      </c>
      <c r="C2335" t="s">
        <v>1618</v>
      </c>
      <c r="D2335" t="s">
        <v>1619</v>
      </c>
      <c r="E2335" t="s">
        <v>1620</v>
      </c>
      <c r="F2335" t="s">
        <v>14</v>
      </c>
      <c r="G2335" t="s">
        <v>1375</v>
      </c>
      <c r="H2335" t="s">
        <v>22</v>
      </c>
      <c r="I2335" t="s">
        <v>3200</v>
      </c>
      <c r="J2335" t="s">
        <v>1375</v>
      </c>
      <c r="K2335" t="str">
        <f t="shared" si="324"/>
        <v>5027.2</v>
      </c>
      <c r="N2335" t="str">
        <f t="shared" si="325"/>
        <v>HOLDING REGISTER</v>
      </c>
      <c r="O2335" t="str">
        <f t="shared" si="326"/>
        <v>BOOL</v>
      </c>
      <c r="P2335" t="str">
        <f t="shared" si="327"/>
        <v>TELECAMERA T01S</v>
      </c>
      <c r="R2335" t="str">
        <f t="shared" si="328"/>
        <v>disponibile</v>
      </c>
      <c r="U2335" t="str">
        <f t="shared" si="329"/>
        <v>disponibile</v>
      </c>
      <c r="V2335" t="str">
        <f t="shared" si="330"/>
        <v>DIREZIONE SUD</v>
      </c>
      <c r="W2335" t="str">
        <f t="shared" si="331"/>
        <v>GALLERIA CASOLA</v>
      </c>
      <c r="Z2335" t="str">
        <f t="shared" si="332"/>
        <v>10.220.80.16</v>
      </c>
    </row>
    <row r="2336" spans="1:26" x14ac:dyDescent="0.25">
      <c r="A2336" t="s">
        <v>10</v>
      </c>
      <c r="B2336" t="s">
        <v>1206</v>
      </c>
      <c r="C2336" t="s">
        <v>1618</v>
      </c>
      <c r="D2336" t="s">
        <v>1619</v>
      </c>
      <c r="E2336" t="s">
        <v>1620</v>
      </c>
      <c r="F2336" t="s">
        <v>14</v>
      </c>
      <c r="G2336" t="s">
        <v>28</v>
      </c>
      <c r="H2336" t="s">
        <v>22</v>
      </c>
      <c r="I2336" t="s">
        <v>3201</v>
      </c>
      <c r="J2336" t="s">
        <v>1902</v>
      </c>
      <c r="K2336" t="str">
        <f t="shared" si="324"/>
        <v>5027.3</v>
      </c>
      <c r="N2336" t="str">
        <f t="shared" si="325"/>
        <v>HOLDING REGISTER</v>
      </c>
      <c r="O2336" t="str">
        <f t="shared" si="326"/>
        <v>BOOL</v>
      </c>
      <c r="P2336" t="str">
        <f t="shared" si="327"/>
        <v>TELECAMERA T01S</v>
      </c>
      <c r="R2336" t="str">
        <f t="shared" si="328"/>
        <v>VEICOLO FERMO</v>
      </c>
      <c r="U2336" t="str">
        <f t="shared" si="329"/>
        <v>Allarme</v>
      </c>
      <c r="V2336" t="str">
        <f t="shared" si="330"/>
        <v>DIREZIONE SUD</v>
      </c>
      <c r="W2336" t="str">
        <f t="shared" si="331"/>
        <v>GALLERIA CASOLA</v>
      </c>
      <c r="Z2336" t="str">
        <f t="shared" si="332"/>
        <v>10.220.80.16</v>
      </c>
    </row>
    <row r="2337" spans="1:26" x14ac:dyDescent="0.25">
      <c r="A2337" t="s">
        <v>10</v>
      </c>
      <c r="B2337" t="s">
        <v>1206</v>
      </c>
      <c r="C2337" t="s">
        <v>1618</v>
      </c>
      <c r="D2337" t="s">
        <v>1619</v>
      </c>
      <c r="E2337" t="s">
        <v>1620</v>
      </c>
      <c r="F2337" t="s">
        <v>14</v>
      </c>
      <c r="G2337" t="s">
        <v>28</v>
      </c>
      <c r="H2337" t="s">
        <v>22</v>
      </c>
      <c r="I2337" t="s">
        <v>3202</v>
      </c>
      <c r="J2337" t="s">
        <v>1904</v>
      </c>
      <c r="K2337" t="str">
        <f t="shared" si="324"/>
        <v>5027.4</v>
      </c>
      <c r="N2337" t="str">
        <f t="shared" si="325"/>
        <v>HOLDING REGISTER</v>
      </c>
      <c r="O2337" t="str">
        <f t="shared" si="326"/>
        <v>BOOL</v>
      </c>
      <c r="P2337" t="str">
        <f t="shared" si="327"/>
        <v>TELECAMERA T01S</v>
      </c>
      <c r="R2337" t="str">
        <f t="shared" si="328"/>
        <v>CARICO DISPERSO</v>
      </c>
      <c r="U2337" t="str">
        <f t="shared" si="329"/>
        <v>Allarme</v>
      </c>
      <c r="V2337" t="str">
        <f t="shared" si="330"/>
        <v>DIREZIONE SUD</v>
      </c>
      <c r="W2337" t="str">
        <f t="shared" si="331"/>
        <v>GALLERIA CASOLA</v>
      </c>
      <c r="Z2337" t="str">
        <f t="shared" si="332"/>
        <v>10.220.80.16</v>
      </c>
    </row>
    <row r="2338" spans="1:26" x14ac:dyDescent="0.25">
      <c r="A2338" t="s">
        <v>10</v>
      </c>
      <c r="B2338" t="s">
        <v>1206</v>
      </c>
      <c r="C2338" t="s">
        <v>1618</v>
      </c>
      <c r="D2338" t="s">
        <v>1619</v>
      </c>
      <c r="E2338" t="s">
        <v>1620</v>
      </c>
      <c r="F2338" t="s">
        <v>14</v>
      </c>
      <c r="G2338" t="s">
        <v>1375</v>
      </c>
      <c r="H2338" t="s">
        <v>22</v>
      </c>
      <c r="I2338" t="s">
        <v>3203</v>
      </c>
      <c r="J2338" t="s">
        <v>1375</v>
      </c>
      <c r="K2338" t="str">
        <f t="shared" si="324"/>
        <v>5027.5</v>
      </c>
      <c r="N2338" t="str">
        <f t="shared" si="325"/>
        <v>HOLDING REGISTER</v>
      </c>
      <c r="O2338" t="str">
        <f t="shared" si="326"/>
        <v>BOOL</v>
      </c>
      <c r="P2338" t="str">
        <f t="shared" si="327"/>
        <v>TELECAMERA T01S</v>
      </c>
      <c r="R2338" t="str">
        <f t="shared" si="328"/>
        <v>disponibile</v>
      </c>
      <c r="U2338" t="str">
        <f t="shared" si="329"/>
        <v>disponibile</v>
      </c>
      <c r="V2338" t="str">
        <f t="shared" si="330"/>
        <v>DIREZIONE SUD</v>
      </c>
      <c r="W2338" t="str">
        <f t="shared" si="331"/>
        <v>GALLERIA CASOLA</v>
      </c>
      <c r="Z2338" t="str">
        <f t="shared" si="332"/>
        <v>10.220.80.16</v>
      </c>
    </row>
    <row r="2339" spans="1:26" x14ac:dyDescent="0.25">
      <c r="A2339" t="s">
        <v>10</v>
      </c>
      <c r="B2339" t="s">
        <v>1206</v>
      </c>
      <c r="C2339" t="s">
        <v>1618</v>
      </c>
      <c r="D2339" t="s">
        <v>1619</v>
      </c>
      <c r="E2339" t="s">
        <v>1620</v>
      </c>
      <c r="F2339" t="s">
        <v>14</v>
      </c>
      <c r="G2339" t="s">
        <v>28</v>
      </c>
      <c r="H2339" t="s">
        <v>22</v>
      </c>
      <c r="I2339" t="s">
        <v>3204</v>
      </c>
      <c r="J2339" t="s">
        <v>1907</v>
      </c>
      <c r="K2339" t="str">
        <f t="shared" si="324"/>
        <v>5027.6</v>
      </c>
      <c r="N2339" t="str">
        <f t="shared" si="325"/>
        <v>HOLDING REGISTER</v>
      </c>
      <c r="O2339" t="str">
        <f t="shared" si="326"/>
        <v>BOOL</v>
      </c>
      <c r="P2339" t="str">
        <f t="shared" si="327"/>
        <v>TELECAMERA T01S</v>
      </c>
      <c r="R2339" t="str">
        <f t="shared" si="328"/>
        <v>PEDONE</v>
      </c>
      <c r="U2339" t="str">
        <f t="shared" si="329"/>
        <v>Allarme</v>
      </c>
      <c r="V2339" t="str">
        <f t="shared" si="330"/>
        <v>DIREZIONE SUD</v>
      </c>
      <c r="W2339" t="str">
        <f t="shared" si="331"/>
        <v>GALLERIA CASOLA</v>
      </c>
      <c r="Z2339" t="str">
        <f t="shared" si="332"/>
        <v>10.220.80.16</v>
      </c>
    </row>
    <row r="2340" spans="1:26" x14ac:dyDescent="0.25">
      <c r="A2340" t="s">
        <v>10</v>
      </c>
      <c r="B2340" t="s">
        <v>1206</v>
      </c>
      <c r="C2340" t="s">
        <v>1618</v>
      </c>
      <c r="D2340" t="s">
        <v>1619</v>
      </c>
      <c r="E2340" t="s">
        <v>1620</v>
      </c>
      <c r="F2340" t="s">
        <v>14</v>
      </c>
      <c r="G2340" t="s">
        <v>28</v>
      </c>
      <c r="H2340" t="s">
        <v>22</v>
      </c>
      <c r="I2340" t="s">
        <v>3205</v>
      </c>
      <c r="J2340" t="s">
        <v>1909</v>
      </c>
      <c r="K2340" t="str">
        <f t="shared" si="324"/>
        <v>5027.7</v>
      </c>
      <c r="N2340" t="str">
        <f t="shared" si="325"/>
        <v>HOLDING REGISTER</v>
      </c>
      <c r="O2340" t="str">
        <f t="shared" si="326"/>
        <v>BOOL</v>
      </c>
      <c r="P2340" t="str">
        <f t="shared" si="327"/>
        <v>TELECAMERA T01S</v>
      </c>
      <c r="R2340" t="str">
        <f t="shared" si="328"/>
        <v>FUMO</v>
      </c>
      <c r="U2340" t="str">
        <f t="shared" si="329"/>
        <v>Allarme</v>
      </c>
      <c r="V2340" t="str">
        <f t="shared" si="330"/>
        <v>DIREZIONE SUD</v>
      </c>
      <c r="W2340" t="str">
        <f t="shared" si="331"/>
        <v>GALLERIA CASOLA</v>
      </c>
      <c r="Z2340" t="str">
        <f t="shared" si="332"/>
        <v>10.220.80.16</v>
      </c>
    </row>
    <row r="2341" spans="1:26" x14ac:dyDescent="0.25">
      <c r="A2341" t="s">
        <v>10</v>
      </c>
      <c r="B2341" t="s">
        <v>1206</v>
      </c>
      <c r="C2341" t="s">
        <v>1618</v>
      </c>
      <c r="D2341" t="s">
        <v>1619</v>
      </c>
      <c r="E2341" t="s">
        <v>1620</v>
      </c>
      <c r="F2341" t="s">
        <v>14</v>
      </c>
      <c r="G2341" t="s">
        <v>28</v>
      </c>
      <c r="H2341" t="s">
        <v>22</v>
      </c>
      <c r="I2341" t="s">
        <v>3206</v>
      </c>
      <c r="J2341" t="s">
        <v>1911</v>
      </c>
      <c r="K2341" t="str">
        <f t="shared" si="324"/>
        <v>5027.8</v>
      </c>
      <c r="N2341" t="str">
        <f t="shared" si="325"/>
        <v>HOLDING REGISTER</v>
      </c>
      <c r="O2341" t="str">
        <f t="shared" si="326"/>
        <v>BOOL</v>
      </c>
      <c r="P2341" t="str">
        <f t="shared" si="327"/>
        <v>TELECAMERA T01S</v>
      </c>
      <c r="R2341" t="str">
        <f t="shared" si="328"/>
        <v>RALLENTAMENTI</v>
      </c>
      <c r="U2341" t="str">
        <f t="shared" si="329"/>
        <v>Allarme</v>
      </c>
      <c r="V2341" t="str">
        <f t="shared" si="330"/>
        <v>DIREZIONE SUD</v>
      </c>
      <c r="W2341" t="str">
        <f t="shared" si="331"/>
        <v>GALLERIA CASOLA</v>
      </c>
      <c r="Z2341" t="str">
        <f t="shared" si="332"/>
        <v>10.220.80.16</v>
      </c>
    </row>
    <row r="2342" spans="1:26" x14ac:dyDescent="0.25">
      <c r="A2342" t="s">
        <v>10</v>
      </c>
      <c r="B2342" t="s">
        <v>1206</v>
      </c>
      <c r="C2342" t="s">
        <v>1618</v>
      </c>
      <c r="D2342" t="s">
        <v>1619</v>
      </c>
      <c r="E2342" t="s">
        <v>1620</v>
      </c>
      <c r="F2342" t="s">
        <v>14</v>
      </c>
      <c r="G2342" t="s">
        <v>28</v>
      </c>
      <c r="H2342" t="s">
        <v>22</v>
      </c>
      <c r="I2342" t="s">
        <v>3207</v>
      </c>
      <c r="J2342" t="s">
        <v>1913</v>
      </c>
      <c r="K2342" t="str">
        <f t="shared" si="324"/>
        <v>5027.9</v>
      </c>
      <c r="N2342" t="str">
        <f t="shared" si="325"/>
        <v>HOLDING REGISTER</v>
      </c>
      <c r="O2342" t="str">
        <f t="shared" si="326"/>
        <v>BOOL</v>
      </c>
      <c r="P2342" t="str">
        <f t="shared" si="327"/>
        <v>TELECAMERA T01S</v>
      </c>
      <c r="R2342" t="str">
        <f t="shared" si="328"/>
        <v>CODA IN GALLERIA</v>
      </c>
      <c r="U2342" t="str">
        <f t="shared" si="329"/>
        <v>Allarme</v>
      </c>
      <c r="V2342" t="str">
        <f t="shared" si="330"/>
        <v>DIREZIONE SUD</v>
      </c>
      <c r="W2342" t="str">
        <f t="shared" si="331"/>
        <v>GALLERIA CASOLA</v>
      </c>
      <c r="Z2342" t="str">
        <f t="shared" si="332"/>
        <v>10.220.80.16</v>
      </c>
    </row>
    <row r="2343" spans="1:26" x14ac:dyDescent="0.25">
      <c r="A2343" t="s">
        <v>10</v>
      </c>
      <c r="B2343" t="s">
        <v>1206</v>
      </c>
      <c r="C2343" t="s">
        <v>1618</v>
      </c>
      <c r="D2343" t="s">
        <v>1619</v>
      </c>
      <c r="E2343" t="s">
        <v>1620</v>
      </c>
      <c r="F2343" t="s">
        <v>14</v>
      </c>
      <c r="G2343" t="s">
        <v>1375</v>
      </c>
      <c r="H2343" t="s">
        <v>22</v>
      </c>
      <c r="I2343" t="s">
        <v>3208</v>
      </c>
      <c r="J2343" t="s">
        <v>1375</v>
      </c>
      <c r="K2343" t="str">
        <f t="shared" si="324"/>
        <v>5027.10</v>
      </c>
      <c r="N2343" t="str">
        <f t="shared" si="325"/>
        <v>HOLDING REGISTER</v>
      </c>
      <c r="O2343" t="str">
        <f t="shared" si="326"/>
        <v>BOOL</v>
      </c>
      <c r="P2343" t="str">
        <f t="shared" si="327"/>
        <v>TELECAMERA T01S</v>
      </c>
      <c r="R2343" t="str">
        <f t="shared" si="328"/>
        <v>disponibile</v>
      </c>
      <c r="U2343" t="str">
        <f t="shared" si="329"/>
        <v>disponibile</v>
      </c>
      <c r="V2343" t="str">
        <f t="shared" si="330"/>
        <v>DIREZIONE SUD</v>
      </c>
      <c r="W2343" t="str">
        <f t="shared" si="331"/>
        <v>GALLERIA CASOLA</v>
      </c>
      <c r="Z2343" t="str">
        <f t="shared" si="332"/>
        <v>10.220.80.16</v>
      </c>
    </row>
    <row r="2344" spans="1:26" x14ac:dyDescent="0.25">
      <c r="A2344" t="s">
        <v>10</v>
      </c>
      <c r="B2344" t="s">
        <v>1206</v>
      </c>
      <c r="C2344" t="s">
        <v>1618</v>
      </c>
      <c r="D2344" t="s">
        <v>1619</v>
      </c>
      <c r="E2344" t="s">
        <v>1620</v>
      </c>
      <c r="F2344" t="s">
        <v>14</v>
      </c>
      <c r="G2344" t="s">
        <v>1375</v>
      </c>
      <c r="H2344" t="s">
        <v>22</v>
      </c>
      <c r="I2344" t="s">
        <v>3209</v>
      </c>
      <c r="J2344" t="s">
        <v>1375</v>
      </c>
      <c r="K2344" t="str">
        <f t="shared" si="324"/>
        <v>5027.11</v>
      </c>
      <c r="N2344" t="str">
        <f t="shared" si="325"/>
        <v>HOLDING REGISTER</v>
      </c>
      <c r="O2344" t="str">
        <f t="shared" si="326"/>
        <v>BOOL</v>
      </c>
      <c r="P2344" t="str">
        <f t="shared" si="327"/>
        <v>TELECAMERA T01S</v>
      </c>
      <c r="R2344" t="str">
        <f t="shared" si="328"/>
        <v>disponibile</v>
      </c>
      <c r="U2344" t="str">
        <f t="shared" si="329"/>
        <v>disponibile</v>
      </c>
      <c r="V2344" t="str">
        <f t="shared" si="330"/>
        <v>DIREZIONE SUD</v>
      </c>
      <c r="W2344" t="str">
        <f t="shared" si="331"/>
        <v>GALLERIA CASOLA</v>
      </c>
      <c r="Z2344" t="str">
        <f t="shared" si="332"/>
        <v>10.220.80.16</v>
      </c>
    </row>
    <row r="2345" spans="1:26" x14ac:dyDescent="0.25">
      <c r="A2345" t="s">
        <v>10</v>
      </c>
      <c r="B2345" t="s">
        <v>1206</v>
      </c>
      <c r="C2345" t="s">
        <v>1618</v>
      </c>
      <c r="D2345" t="s">
        <v>1619</v>
      </c>
      <c r="E2345" t="s">
        <v>1620</v>
      </c>
      <c r="F2345" t="s">
        <v>14</v>
      </c>
      <c r="G2345" t="s">
        <v>1375</v>
      </c>
      <c r="H2345" t="s">
        <v>22</v>
      </c>
      <c r="I2345" t="s">
        <v>3210</v>
      </c>
      <c r="J2345" t="s">
        <v>1375</v>
      </c>
      <c r="K2345" t="str">
        <f t="shared" si="324"/>
        <v>5027.12</v>
      </c>
      <c r="N2345" t="str">
        <f t="shared" si="325"/>
        <v>HOLDING REGISTER</v>
      </c>
      <c r="O2345" t="str">
        <f t="shared" si="326"/>
        <v>BOOL</v>
      </c>
      <c r="P2345" t="str">
        <f t="shared" si="327"/>
        <v>TELECAMERA T01S</v>
      </c>
      <c r="R2345" t="str">
        <f t="shared" si="328"/>
        <v>disponibile</v>
      </c>
      <c r="U2345" t="str">
        <f t="shared" si="329"/>
        <v>disponibile</v>
      </c>
      <c r="V2345" t="str">
        <f t="shared" si="330"/>
        <v>DIREZIONE SUD</v>
      </c>
      <c r="W2345" t="str">
        <f t="shared" si="331"/>
        <v>GALLERIA CASOLA</v>
      </c>
      <c r="Z2345" t="str">
        <f t="shared" si="332"/>
        <v>10.220.80.16</v>
      </c>
    </row>
    <row r="2346" spans="1:26" x14ac:dyDescent="0.25">
      <c r="A2346" t="s">
        <v>10</v>
      </c>
      <c r="B2346" t="s">
        <v>1206</v>
      </c>
      <c r="C2346" t="s">
        <v>1618</v>
      </c>
      <c r="D2346" t="s">
        <v>1619</v>
      </c>
      <c r="E2346" t="s">
        <v>1620</v>
      </c>
      <c r="F2346" t="s">
        <v>14</v>
      </c>
      <c r="G2346" t="s">
        <v>1375</v>
      </c>
      <c r="H2346" t="s">
        <v>22</v>
      </c>
      <c r="I2346" t="s">
        <v>3211</v>
      </c>
      <c r="J2346" t="s">
        <v>1375</v>
      </c>
      <c r="K2346" t="str">
        <f t="shared" si="324"/>
        <v>5027.13</v>
      </c>
      <c r="N2346" t="str">
        <f t="shared" si="325"/>
        <v>HOLDING REGISTER</v>
      </c>
      <c r="O2346" t="str">
        <f t="shared" si="326"/>
        <v>BOOL</v>
      </c>
      <c r="P2346" t="str">
        <f t="shared" si="327"/>
        <v>TELECAMERA T01S</v>
      </c>
      <c r="R2346" t="str">
        <f t="shared" si="328"/>
        <v>disponibile</v>
      </c>
      <c r="U2346" t="str">
        <f t="shared" si="329"/>
        <v>disponibile</v>
      </c>
      <c r="V2346" t="str">
        <f t="shared" si="330"/>
        <v>DIREZIONE SUD</v>
      </c>
      <c r="W2346" t="str">
        <f t="shared" si="331"/>
        <v>GALLERIA CASOLA</v>
      </c>
      <c r="Z2346" t="str">
        <f t="shared" si="332"/>
        <v>10.220.80.16</v>
      </c>
    </row>
    <row r="2347" spans="1:26" x14ac:dyDescent="0.25">
      <c r="A2347" t="s">
        <v>10</v>
      </c>
      <c r="B2347" t="s">
        <v>1206</v>
      </c>
      <c r="C2347" t="s">
        <v>1618</v>
      </c>
      <c r="D2347" t="s">
        <v>1619</v>
      </c>
      <c r="E2347" t="s">
        <v>1620</v>
      </c>
      <c r="F2347" t="s">
        <v>14</v>
      </c>
      <c r="G2347" t="s">
        <v>1375</v>
      </c>
      <c r="H2347" t="s">
        <v>22</v>
      </c>
      <c r="I2347" t="s">
        <v>3212</v>
      </c>
      <c r="J2347" t="s">
        <v>1375</v>
      </c>
      <c r="K2347" t="str">
        <f t="shared" si="324"/>
        <v>5027.14</v>
      </c>
      <c r="N2347" t="str">
        <f t="shared" si="325"/>
        <v>HOLDING REGISTER</v>
      </c>
      <c r="O2347" t="str">
        <f t="shared" si="326"/>
        <v>BOOL</v>
      </c>
      <c r="P2347" t="str">
        <f t="shared" si="327"/>
        <v>TELECAMERA T01S</v>
      </c>
      <c r="R2347" t="str">
        <f t="shared" si="328"/>
        <v>disponibile</v>
      </c>
      <c r="U2347" t="str">
        <f t="shared" si="329"/>
        <v>disponibile</v>
      </c>
      <c r="V2347" t="str">
        <f t="shared" si="330"/>
        <v>DIREZIONE SUD</v>
      </c>
      <c r="W2347" t="str">
        <f t="shared" si="331"/>
        <v>GALLERIA CASOLA</v>
      </c>
      <c r="Z2347" t="str">
        <f t="shared" si="332"/>
        <v>10.220.80.16</v>
      </c>
    </row>
    <row r="2348" spans="1:26" x14ac:dyDescent="0.25">
      <c r="A2348" t="s">
        <v>10</v>
      </c>
      <c r="B2348" t="s">
        <v>1206</v>
      </c>
      <c r="C2348" t="s">
        <v>1618</v>
      </c>
      <c r="D2348" t="s">
        <v>1619</v>
      </c>
      <c r="E2348" t="s">
        <v>1620</v>
      </c>
      <c r="F2348" t="s">
        <v>14</v>
      </c>
      <c r="G2348" t="s">
        <v>1375</v>
      </c>
      <c r="H2348" t="s">
        <v>22</v>
      </c>
      <c r="I2348" t="s">
        <v>3213</v>
      </c>
      <c r="J2348" t="s">
        <v>1375</v>
      </c>
      <c r="K2348" t="str">
        <f t="shared" si="324"/>
        <v>5027.15</v>
      </c>
      <c r="N2348" t="str">
        <f t="shared" si="325"/>
        <v>HOLDING REGISTER</v>
      </c>
      <c r="O2348" t="str">
        <f t="shared" si="326"/>
        <v>BOOL</v>
      </c>
      <c r="P2348" t="str">
        <f t="shared" si="327"/>
        <v>TELECAMERA T01S</v>
      </c>
      <c r="R2348" t="str">
        <f t="shared" si="328"/>
        <v>disponibile</v>
      </c>
      <c r="U2348" t="str">
        <f t="shared" si="329"/>
        <v>disponibile</v>
      </c>
      <c r="V2348" t="str">
        <f t="shared" si="330"/>
        <v>DIREZIONE SUD</v>
      </c>
      <c r="W2348" t="str">
        <f t="shared" si="331"/>
        <v>GALLERIA CASOLA</v>
      </c>
      <c r="Z2348" t="str">
        <f t="shared" si="332"/>
        <v>10.220.80.16</v>
      </c>
    </row>
    <row r="2349" spans="1:26" x14ac:dyDescent="0.25">
      <c r="A2349" t="s">
        <v>10</v>
      </c>
      <c r="B2349" t="s">
        <v>1206</v>
      </c>
      <c r="C2349" t="s">
        <v>1618</v>
      </c>
      <c r="D2349" t="s">
        <v>1619</v>
      </c>
      <c r="E2349" t="s">
        <v>1640</v>
      </c>
      <c r="F2349" t="s">
        <v>14</v>
      </c>
      <c r="G2349" t="s">
        <v>28</v>
      </c>
      <c r="H2349" t="s">
        <v>22</v>
      </c>
      <c r="I2349" t="s">
        <v>3214</v>
      </c>
      <c r="J2349" t="s">
        <v>1897</v>
      </c>
      <c r="K2349" t="str">
        <f t="shared" si="324"/>
        <v>5028.0</v>
      </c>
      <c r="N2349" t="str">
        <f t="shared" si="325"/>
        <v>HOLDING REGISTER</v>
      </c>
      <c r="O2349" t="str">
        <f t="shared" si="326"/>
        <v>BOOL</v>
      </c>
      <c r="P2349" t="str">
        <f t="shared" si="327"/>
        <v>TELECAMERA T02S</v>
      </c>
      <c r="R2349" t="str">
        <f t="shared" si="328"/>
        <v>PERDITA SEGNALE VIDEO</v>
      </c>
      <c r="U2349" t="str">
        <f t="shared" si="329"/>
        <v>Allarme</v>
      </c>
      <c r="V2349" t="str">
        <f t="shared" si="330"/>
        <v>DIREZIONE SUD</v>
      </c>
      <c r="W2349" t="str">
        <f t="shared" si="331"/>
        <v>GALLERIA CASOLA</v>
      </c>
      <c r="Z2349" t="str">
        <f t="shared" si="332"/>
        <v>10.220.80.16</v>
      </c>
    </row>
    <row r="2350" spans="1:26" x14ac:dyDescent="0.25">
      <c r="A2350" t="s">
        <v>10</v>
      </c>
      <c r="B2350" t="s">
        <v>1206</v>
      </c>
      <c r="C2350" t="s">
        <v>1618</v>
      </c>
      <c r="D2350" t="s">
        <v>1619</v>
      </c>
      <c r="E2350" t="s">
        <v>1640</v>
      </c>
      <c r="F2350" t="s">
        <v>14</v>
      </c>
      <c r="G2350" t="s">
        <v>28</v>
      </c>
      <c r="H2350" t="s">
        <v>22</v>
      </c>
      <c r="I2350" t="s">
        <v>3215</v>
      </c>
      <c r="J2350" t="s">
        <v>1899</v>
      </c>
      <c r="K2350" t="str">
        <f t="shared" si="324"/>
        <v>5028.1</v>
      </c>
      <c r="N2350" t="str">
        <f t="shared" si="325"/>
        <v>HOLDING REGISTER</v>
      </c>
      <c r="O2350" t="str">
        <f t="shared" si="326"/>
        <v>BOOL</v>
      </c>
      <c r="P2350" t="str">
        <f t="shared" si="327"/>
        <v>TELECAMERA T02S</v>
      </c>
      <c r="R2350" t="str">
        <f t="shared" si="328"/>
        <v>MANOMISSIONE</v>
      </c>
      <c r="U2350" t="str">
        <f t="shared" si="329"/>
        <v>Allarme</v>
      </c>
      <c r="V2350" t="str">
        <f t="shared" si="330"/>
        <v>DIREZIONE SUD</v>
      </c>
      <c r="W2350" t="str">
        <f t="shared" si="331"/>
        <v>GALLERIA CASOLA</v>
      </c>
      <c r="Z2350" t="str">
        <f t="shared" si="332"/>
        <v>10.220.80.16</v>
      </c>
    </row>
    <row r="2351" spans="1:26" x14ac:dyDescent="0.25">
      <c r="A2351" t="s">
        <v>10</v>
      </c>
      <c r="B2351" t="s">
        <v>1206</v>
      </c>
      <c r="C2351" t="s">
        <v>1618</v>
      </c>
      <c r="D2351" t="s">
        <v>1619</v>
      </c>
      <c r="E2351" t="s">
        <v>1640</v>
      </c>
      <c r="F2351" t="s">
        <v>14</v>
      </c>
      <c r="G2351" t="s">
        <v>21</v>
      </c>
      <c r="H2351" t="s">
        <v>22</v>
      </c>
      <c r="I2351" t="s">
        <v>3216</v>
      </c>
      <c r="J2351" t="s">
        <v>1375</v>
      </c>
      <c r="K2351" t="str">
        <f t="shared" si="324"/>
        <v>5028.2</v>
      </c>
      <c r="N2351" t="str">
        <f t="shared" si="325"/>
        <v>HOLDING REGISTER</v>
      </c>
      <c r="O2351" t="str">
        <f t="shared" si="326"/>
        <v>BOOL</v>
      </c>
      <c r="P2351" t="str">
        <f t="shared" si="327"/>
        <v>TELECAMERA T02S</v>
      </c>
      <c r="R2351" t="str">
        <f t="shared" si="328"/>
        <v>disponibile</v>
      </c>
      <c r="U2351" t="str">
        <f t="shared" si="329"/>
        <v>Stato</v>
      </c>
      <c r="V2351" t="str">
        <f t="shared" si="330"/>
        <v>DIREZIONE SUD</v>
      </c>
      <c r="W2351" t="str">
        <f t="shared" si="331"/>
        <v>GALLERIA CASOLA</v>
      </c>
      <c r="Z2351" t="str">
        <f t="shared" si="332"/>
        <v>10.220.80.16</v>
      </c>
    </row>
    <row r="2352" spans="1:26" x14ac:dyDescent="0.25">
      <c r="A2352" t="s">
        <v>10</v>
      </c>
      <c r="B2352" t="s">
        <v>1206</v>
      </c>
      <c r="C2352" t="s">
        <v>1618</v>
      </c>
      <c r="D2352" t="s">
        <v>1619</v>
      </c>
      <c r="E2352" t="s">
        <v>1640</v>
      </c>
      <c r="F2352" t="s">
        <v>14</v>
      </c>
      <c r="G2352" t="s">
        <v>28</v>
      </c>
      <c r="H2352" t="s">
        <v>22</v>
      </c>
      <c r="I2352" t="s">
        <v>3217</v>
      </c>
      <c r="J2352" t="s">
        <v>1902</v>
      </c>
      <c r="K2352" t="str">
        <f t="shared" si="324"/>
        <v>5028.3</v>
      </c>
      <c r="N2352" t="str">
        <f t="shared" si="325"/>
        <v>HOLDING REGISTER</v>
      </c>
      <c r="O2352" t="str">
        <f t="shared" si="326"/>
        <v>BOOL</v>
      </c>
      <c r="P2352" t="str">
        <f t="shared" si="327"/>
        <v>TELECAMERA T02S</v>
      </c>
      <c r="R2352" t="str">
        <f t="shared" si="328"/>
        <v>VEICOLO FERMO</v>
      </c>
      <c r="U2352" t="str">
        <f t="shared" si="329"/>
        <v>Allarme</v>
      </c>
      <c r="V2352" t="str">
        <f t="shared" si="330"/>
        <v>DIREZIONE SUD</v>
      </c>
      <c r="W2352" t="str">
        <f t="shared" si="331"/>
        <v>GALLERIA CASOLA</v>
      </c>
      <c r="Z2352" t="str">
        <f t="shared" si="332"/>
        <v>10.220.80.16</v>
      </c>
    </row>
    <row r="2353" spans="1:26" x14ac:dyDescent="0.25">
      <c r="A2353" t="s">
        <v>10</v>
      </c>
      <c r="B2353" t="s">
        <v>1206</v>
      </c>
      <c r="C2353" t="s">
        <v>1618</v>
      </c>
      <c r="D2353" t="s">
        <v>1619</v>
      </c>
      <c r="E2353" t="s">
        <v>1640</v>
      </c>
      <c r="F2353" t="s">
        <v>14</v>
      </c>
      <c r="G2353" t="s">
        <v>28</v>
      </c>
      <c r="H2353" t="s">
        <v>22</v>
      </c>
      <c r="I2353" t="s">
        <v>3218</v>
      </c>
      <c r="J2353" t="s">
        <v>1904</v>
      </c>
      <c r="K2353" t="str">
        <f t="shared" si="324"/>
        <v>5028.4</v>
      </c>
      <c r="N2353" t="str">
        <f t="shared" si="325"/>
        <v>HOLDING REGISTER</v>
      </c>
      <c r="O2353" t="str">
        <f t="shared" si="326"/>
        <v>BOOL</v>
      </c>
      <c r="P2353" t="str">
        <f t="shared" si="327"/>
        <v>TELECAMERA T02S</v>
      </c>
      <c r="R2353" t="str">
        <f t="shared" si="328"/>
        <v>CARICO DISPERSO</v>
      </c>
      <c r="U2353" t="str">
        <f t="shared" si="329"/>
        <v>Allarme</v>
      </c>
      <c r="V2353" t="str">
        <f t="shared" si="330"/>
        <v>DIREZIONE SUD</v>
      </c>
      <c r="W2353" t="str">
        <f t="shared" si="331"/>
        <v>GALLERIA CASOLA</v>
      </c>
      <c r="Z2353" t="str">
        <f t="shared" si="332"/>
        <v>10.220.80.16</v>
      </c>
    </row>
    <row r="2354" spans="1:26" x14ac:dyDescent="0.25">
      <c r="A2354" t="s">
        <v>10</v>
      </c>
      <c r="B2354" t="s">
        <v>1206</v>
      </c>
      <c r="C2354" t="s">
        <v>1618</v>
      </c>
      <c r="D2354" t="s">
        <v>1619</v>
      </c>
      <c r="E2354" t="s">
        <v>1640</v>
      </c>
      <c r="F2354" t="s">
        <v>14</v>
      </c>
      <c r="G2354" t="s">
        <v>1375</v>
      </c>
      <c r="H2354" t="s">
        <v>22</v>
      </c>
      <c r="I2354" t="s">
        <v>3219</v>
      </c>
      <c r="J2354" t="s">
        <v>1375</v>
      </c>
      <c r="K2354" t="str">
        <f t="shared" si="324"/>
        <v>5028.5</v>
      </c>
      <c r="N2354" t="str">
        <f t="shared" si="325"/>
        <v>HOLDING REGISTER</v>
      </c>
      <c r="O2354" t="str">
        <f t="shared" si="326"/>
        <v>BOOL</v>
      </c>
      <c r="P2354" t="str">
        <f t="shared" si="327"/>
        <v>TELECAMERA T02S</v>
      </c>
      <c r="R2354" t="str">
        <f t="shared" si="328"/>
        <v>disponibile</v>
      </c>
      <c r="U2354" t="str">
        <f t="shared" si="329"/>
        <v>disponibile</v>
      </c>
      <c r="V2354" t="str">
        <f t="shared" si="330"/>
        <v>DIREZIONE SUD</v>
      </c>
      <c r="W2354" t="str">
        <f t="shared" si="331"/>
        <v>GALLERIA CASOLA</v>
      </c>
      <c r="Z2354" t="str">
        <f t="shared" si="332"/>
        <v>10.220.80.16</v>
      </c>
    </row>
    <row r="2355" spans="1:26" x14ac:dyDescent="0.25">
      <c r="A2355" t="s">
        <v>10</v>
      </c>
      <c r="B2355" t="s">
        <v>1206</v>
      </c>
      <c r="C2355" t="s">
        <v>1618</v>
      </c>
      <c r="D2355" t="s">
        <v>1619</v>
      </c>
      <c r="E2355" t="s">
        <v>1640</v>
      </c>
      <c r="F2355" t="s">
        <v>14</v>
      </c>
      <c r="G2355" t="s">
        <v>28</v>
      </c>
      <c r="H2355" t="s">
        <v>22</v>
      </c>
      <c r="I2355" t="s">
        <v>3220</v>
      </c>
      <c r="J2355" t="s">
        <v>1907</v>
      </c>
      <c r="K2355" t="str">
        <f t="shared" si="324"/>
        <v>5028.6</v>
      </c>
      <c r="N2355" t="str">
        <f t="shared" si="325"/>
        <v>HOLDING REGISTER</v>
      </c>
      <c r="O2355" t="str">
        <f t="shared" si="326"/>
        <v>BOOL</v>
      </c>
      <c r="P2355" t="str">
        <f t="shared" si="327"/>
        <v>TELECAMERA T02S</v>
      </c>
      <c r="R2355" t="str">
        <f t="shared" si="328"/>
        <v>PEDONE</v>
      </c>
      <c r="U2355" t="str">
        <f t="shared" si="329"/>
        <v>Allarme</v>
      </c>
      <c r="V2355" t="str">
        <f t="shared" si="330"/>
        <v>DIREZIONE SUD</v>
      </c>
      <c r="W2355" t="str">
        <f t="shared" si="331"/>
        <v>GALLERIA CASOLA</v>
      </c>
      <c r="Z2355" t="str">
        <f t="shared" si="332"/>
        <v>10.220.80.16</v>
      </c>
    </row>
    <row r="2356" spans="1:26" x14ac:dyDescent="0.25">
      <c r="A2356" t="s">
        <v>10</v>
      </c>
      <c r="B2356" t="s">
        <v>1206</v>
      </c>
      <c r="C2356" t="s">
        <v>1618</v>
      </c>
      <c r="D2356" t="s">
        <v>1619</v>
      </c>
      <c r="E2356" t="s">
        <v>1640</v>
      </c>
      <c r="F2356" t="s">
        <v>14</v>
      </c>
      <c r="G2356" t="s">
        <v>28</v>
      </c>
      <c r="H2356" t="s">
        <v>22</v>
      </c>
      <c r="I2356" t="s">
        <v>3221</v>
      </c>
      <c r="J2356" t="s">
        <v>1909</v>
      </c>
      <c r="K2356" t="str">
        <f t="shared" si="324"/>
        <v>5028.7</v>
      </c>
      <c r="N2356" t="str">
        <f t="shared" si="325"/>
        <v>HOLDING REGISTER</v>
      </c>
      <c r="O2356" t="str">
        <f t="shared" si="326"/>
        <v>BOOL</v>
      </c>
      <c r="P2356" t="str">
        <f t="shared" si="327"/>
        <v>TELECAMERA T02S</v>
      </c>
      <c r="R2356" t="str">
        <f t="shared" si="328"/>
        <v>FUMO</v>
      </c>
      <c r="U2356" t="str">
        <f t="shared" si="329"/>
        <v>Allarme</v>
      </c>
      <c r="V2356" t="str">
        <f t="shared" si="330"/>
        <v>DIREZIONE SUD</v>
      </c>
      <c r="W2356" t="str">
        <f t="shared" si="331"/>
        <v>GALLERIA CASOLA</v>
      </c>
      <c r="Z2356" t="str">
        <f t="shared" si="332"/>
        <v>10.220.80.16</v>
      </c>
    </row>
    <row r="2357" spans="1:26" x14ac:dyDescent="0.25">
      <c r="A2357" t="s">
        <v>10</v>
      </c>
      <c r="B2357" t="s">
        <v>1206</v>
      </c>
      <c r="C2357" t="s">
        <v>1618</v>
      </c>
      <c r="D2357" t="s">
        <v>1619</v>
      </c>
      <c r="E2357" t="s">
        <v>1640</v>
      </c>
      <c r="F2357" t="s">
        <v>14</v>
      </c>
      <c r="G2357" t="s">
        <v>28</v>
      </c>
      <c r="H2357" t="s">
        <v>22</v>
      </c>
      <c r="I2357" t="s">
        <v>3222</v>
      </c>
      <c r="J2357" t="s">
        <v>1911</v>
      </c>
      <c r="K2357" t="str">
        <f t="shared" si="324"/>
        <v>5028.8</v>
      </c>
      <c r="N2357" t="str">
        <f t="shared" si="325"/>
        <v>HOLDING REGISTER</v>
      </c>
      <c r="O2357" t="str">
        <f t="shared" si="326"/>
        <v>BOOL</v>
      </c>
      <c r="P2357" t="str">
        <f t="shared" si="327"/>
        <v>TELECAMERA T02S</v>
      </c>
      <c r="R2357" t="str">
        <f t="shared" si="328"/>
        <v>RALLENTAMENTI</v>
      </c>
      <c r="U2357" t="str">
        <f t="shared" si="329"/>
        <v>Allarme</v>
      </c>
      <c r="V2357" t="str">
        <f t="shared" si="330"/>
        <v>DIREZIONE SUD</v>
      </c>
      <c r="W2357" t="str">
        <f t="shared" si="331"/>
        <v>GALLERIA CASOLA</v>
      </c>
      <c r="Z2357" t="str">
        <f t="shared" si="332"/>
        <v>10.220.80.16</v>
      </c>
    </row>
    <row r="2358" spans="1:26" x14ac:dyDescent="0.25">
      <c r="A2358" t="s">
        <v>10</v>
      </c>
      <c r="B2358" t="s">
        <v>1206</v>
      </c>
      <c r="C2358" t="s">
        <v>1618</v>
      </c>
      <c r="D2358" t="s">
        <v>1619</v>
      </c>
      <c r="E2358" t="s">
        <v>1640</v>
      </c>
      <c r="F2358" t="s">
        <v>14</v>
      </c>
      <c r="G2358" t="s">
        <v>28</v>
      </c>
      <c r="H2358" t="s">
        <v>22</v>
      </c>
      <c r="I2358" t="s">
        <v>3223</v>
      </c>
      <c r="J2358" t="s">
        <v>1913</v>
      </c>
      <c r="K2358" t="str">
        <f t="shared" si="324"/>
        <v>5028.9</v>
      </c>
      <c r="N2358" t="str">
        <f t="shared" si="325"/>
        <v>HOLDING REGISTER</v>
      </c>
      <c r="O2358" t="str">
        <f t="shared" si="326"/>
        <v>BOOL</v>
      </c>
      <c r="P2358" t="str">
        <f t="shared" si="327"/>
        <v>TELECAMERA T02S</v>
      </c>
      <c r="R2358" t="str">
        <f t="shared" si="328"/>
        <v>CODA IN GALLERIA</v>
      </c>
      <c r="U2358" t="str">
        <f t="shared" si="329"/>
        <v>Allarme</v>
      </c>
      <c r="V2358" t="str">
        <f t="shared" si="330"/>
        <v>DIREZIONE SUD</v>
      </c>
      <c r="W2358" t="str">
        <f t="shared" si="331"/>
        <v>GALLERIA CASOLA</v>
      </c>
      <c r="Z2358" t="str">
        <f t="shared" si="332"/>
        <v>10.220.80.16</v>
      </c>
    </row>
    <row r="2359" spans="1:26" x14ac:dyDescent="0.25">
      <c r="A2359" t="s">
        <v>10</v>
      </c>
      <c r="B2359" t="s">
        <v>1206</v>
      </c>
      <c r="C2359" t="s">
        <v>1618</v>
      </c>
      <c r="D2359" t="s">
        <v>1619</v>
      </c>
      <c r="E2359" t="s">
        <v>1640</v>
      </c>
      <c r="F2359" t="s">
        <v>14</v>
      </c>
      <c r="G2359" t="s">
        <v>1375</v>
      </c>
      <c r="H2359" t="s">
        <v>22</v>
      </c>
      <c r="I2359" t="s">
        <v>3224</v>
      </c>
      <c r="J2359" t="s">
        <v>1375</v>
      </c>
      <c r="K2359" t="str">
        <f t="shared" si="324"/>
        <v>5028.10</v>
      </c>
      <c r="N2359" t="str">
        <f t="shared" si="325"/>
        <v>HOLDING REGISTER</v>
      </c>
      <c r="O2359" t="str">
        <f t="shared" si="326"/>
        <v>BOOL</v>
      </c>
      <c r="P2359" t="str">
        <f t="shared" si="327"/>
        <v>TELECAMERA T02S</v>
      </c>
      <c r="R2359" t="str">
        <f t="shared" si="328"/>
        <v>disponibile</v>
      </c>
      <c r="U2359" t="str">
        <f t="shared" si="329"/>
        <v>disponibile</v>
      </c>
      <c r="V2359" t="str">
        <f t="shared" si="330"/>
        <v>DIREZIONE SUD</v>
      </c>
      <c r="W2359" t="str">
        <f t="shared" si="331"/>
        <v>GALLERIA CASOLA</v>
      </c>
      <c r="Z2359" t="str">
        <f t="shared" si="332"/>
        <v>10.220.80.16</v>
      </c>
    </row>
    <row r="2360" spans="1:26" x14ac:dyDescent="0.25">
      <c r="A2360" t="s">
        <v>10</v>
      </c>
      <c r="B2360" t="s">
        <v>1206</v>
      </c>
      <c r="C2360" t="s">
        <v>1618</v>
      </c>
      <c r="D2360" t="s">
        <v>1619</v>
      </c>
      <c r="E2360" t="s">
        <v>1640</v>
      </c>
      <c r="F2360" t="s">
        <v>14</v>
      </c>
      <c r="G2360" t="s">
        <v>1375</v>
      </c>
      <c r="H2360" t="s">
        <v>22</v>
      </c>
      <c r="I2360" t="s">
        <v>3225</v>
      </c>
      <c r="J2360" t="s">
        <v>1375</v>
      </c>
      <c r="K2360" t="str">
        <f t="shared" si="324"/>
        <v>5028.11</v>
      </c>
      <c r="N2360" t="str">
        <f t="shared" si="325"/>
        <v>HOLDING REGISTER</v>
      </c>
      <c r="O2360" t="str">
        <f t="shared" si="326"/>
        <v>BOOL</v>
      </c>
      <c r="P2360" t="str">
        <f t="shared" si="327"/>
        <v>TELECAMERA T02S</v>
      </c>
      <c r="R2360" t="str">
        <f t="shared" si="328"/>
        <v>disponibile</v>
      </c>
      <c r="U2360" t="str">
        <f t="shared" si="329"/>
        <v>disponibile</v>
      </c>
      <c r="V2360" t="str">
        <f t="shared" si="330"/>
        <v>DIREZIONE SUD</v>
      </c>
      <c r="W2360" t="str">
        <f t="shared" si="331"/>
        <v>GALLERIA CASOLA</v>
      </c>
      <c r="Z2360" t="str">
        <f t="shared" si="332"/>
        <v>10.220.80.16</v>
      </c>
    </row>
    <row r="2361" spans="1:26" x14ac:dyDescent="0.25">
      <c r="A2361" t="s">
        <v>10</v>
      </c>
      <c r="B2361" t="s">
        <v>1206</v>
      </c>
      <c r="C2361" t="s">
        <v>1618</v>
      </c>
      <c r="D2361" t="s">
        <v>1619</v>
      </c>
      <c r="E2361" t="s">
        <v>1640</v>
      </c>
      <c r="F2361" t="s">
        <v>14</v>
      </c>
      <c r="G2361" t="s">
        <v>1375</v>
      </c>
      <c r="H2361" t="s">
        <v>22</v>
      </c>
      <c r="I2361" t="s">
        <v>3226</v>
      </c>
      <c r="J2361" t="s">
        <v>1375</v>
      </c>
      <c r="K2361" t="str">
        <f t="shared" si="324"/>
        <v>5028.12</v>
      </c>
      <c r="N2361" t="str">
        <f t="shared" si="325"/>
        <v>HOLDING REGISTER</v>
      </c>
      <c r="O2361" t="str">
        <f t="shared" si="326"/>
        <v>BOOL</v>
      </c>
      <c r="P2361" t="str">
        <f t="shared" si="327"/>
        <v>TELECAMERA T02S</v>
      </c>
      <c r="R2361" t="str">
        <f t="shared" si="328"/>
        <v>disponibile</v>
      </c>
      <c r="U2361" t="str">
        <f t="shared" si="329"/>
        <v>disponibile</v>
      </c>
      <c r="V2361" t="str">
        <f t="shared" si="330"/>
        <v>DIREZIONE SUD</v>
      </c>
      <c r="W2361" t="str">
        <f t="shared" si="331"/>
        <v>GALLERIA CASOLA</v>
      </c>
      <c r="Z2361" t="str">
        <f t="shared" si="332"/>
        <v>10.220.80.16</v>
      </c>
    </row>
    <row r="2362" spans="1:26" x14ac:dyDescent="0.25">
      <c r="A2362" t="s">
        <v>10</v>
      </c>
      <c r="B2362" t="s">
        <v>1206</v>
      </c>
      <c r="C2362" t="s">
        <v>1618</v>
      </c>
      <c r="D2362" t="s">
        <v>1619</v>
      </c>
      <c r="E2362" t="s">
        <v>1640</v>
      </c>
      <c r="F2362" t="s">
        <v>14</v>
      </c>
      <c r="G2362" t="s">
        <v>1375</v>
      </c>
      <c r="H2362" t="s">
        <v>22</v>
      </c>
      <c r="I2362" t="s">
        <v>3227</v>
      </c>
      <c r="J2362" t="s">
        <v>1375</v>
      </c>
      <c r="K2362" t="str">
        <f t="shared" si="324"/>
        <v>5028.13</v>
      </c>
      <c r="N2362" t="str">
        <f t="shared" si="325"/>
        <v>HOLDING REGISTER</v>
      </c>
      <c r="O2362" t="str">
        <f t="shared" si="326"/>
        <v>BOOL</v>
      </c>
      <c r="P2362" t="str">
        <f t="shared" si="327"/>
        <v>TELECAMERA T02S</v>
      </c>
      <c r="R2362" t="str">
        <f t="shared" si="328"/>
        <v>disponibile</v>
      </c>
      <c r="U2362" t="str">
        <f t="shared" si="329"/>
        <v>disponibile</v>
      </c>
      <c r="V2362" t="str">
        <f t="shared" si="330"/>
        <v>DIREZIONE SUD</v>
      </c>
      <c r="W2362" t="str">
        <f t="shared" si="331"/>
        <v>GALLERIA CASOLA</v>
      </c>
      <c r="Z2362" t="str">
        <f t="shared" si="332"/>
        <v>10.220.80.16</v>
      </c>
    </row>
    <row r="2363" spans="1:26" x14ac:dyDescent="0.25">
      <c r="A2363" t="s">
        <v>10</v>
      </c>
      <c r="B2363" t="s">
        <v>1206</v>
      </c>
      <c r="C2363" t="s">
        <v>1618</v>
      </c>
      <c r="D2363" t="s">
        <v>1619</v>
      </c>
      <c r="E2363" t="s">
        <v>1640</v>
      </c>
      <c r="F2363" t="s">
        <v>14</v>
      </c>
      <c r="G2363" t="s">
        <v>1375</v>
      </c>
      <c r="H2363" t="s">
        <v>22</v>
      </c>
      <c r="I2363" t="s">
        <v>3228</v>
      </c>
      <c r="J2363" t="s">
        <v>1375</v>
      </c>
      <c r="K2363" t="str">
        <f t="shared" si="324"/>
        <v>5028.14</v>
      </c>
      <c r="N2363" t="str">
        <f t="shared" si="325"/>
        <v>HOLDING REGISTER</v>
      </c>
      <c r="O2363" t="str">
        <f t="shared" si="326"/>
        <v>BOOL</v>
      </c>
      <c r="P2363" t="str">
        <f t="shared" si="327"/>
        <v>TELECAMERA T02S</v>
      </c>
      <c r="R2363" t="str">
        <f t="shared" si="328"/>
        <v>disponibile</v>
      </c>
      <c r="U2363" t="str">
        <f t="shared" si="329"/>
        <v>disponibile</v>
      </c>
      <c r="V2363" t="str">
        <f t="shared" si="330"/>
        <v>DIREZIONE SUD</v>
      </c>
      <c r="W2363" t="str">
        <f t="shared" si="331"/>
        <v>GALLERIA CASOLA</v>
      </c>
      <c r="Z2363" t="str">
        <f t="shared" si="332"/>
        <v>10.220.80.16</v>
      </c>
    </row>
    <row r="2364" spans="1:26" x14ac:dyDescent="0.25">
      <c r="A2364" t="s">
        <v>10</v>
      </c>
      <c r="B2364" t="s">
        <v>1206</v>
      </c>
      <c r="C2364" t="s">
        <v>1618</v>
      </c>
      <c r="D2364" t="s">
        <v>1619</v>
      </c>
      <c r="E2364" t="s">
        <v>1640</v>
      </c>
      <c r="F2364" t="s">
        <v>14</v>
      </c>
      <c r="G2364" t="s">
        <v>1375</v>
      </c>
      <c r="H2364" t="s">
        <v>22</v>
      </c>
      <c r="I2364" t="s">
        <v>3229</v>
      </c>
      <c r="J2364" t="s">
        <v>1375</v>
      </c>
      <c r="K2364" t="str">
        <f t="shared" si="324"/>
        <v>5028.15</v>
      </c>
      <c r="N2364" t="str">
        <f t="shared" si="325"/>
        <v>HOLDING REGISTER</v>
      </c>
      <c r="O2364" t="str">
        <f t="shared" si="326"/>
        <v>BOOL</v>
      </c>
      <c r="P2364" t="str">
        <f t="shared" si="327"/>
        <v>TELECAMERA T02S</v>
      </c>
      <c r="R2364" t="str">
        <f t="shared" si="328"/>
        <v>disponibile</v>
      </c>
      <c r="U2364" t="str">
        <f t="shared" si="329"/>
        <v>disponibile</v>
      </c>
      <c r="V2364" t="str">
        <f t="shared" si="330"/>
        <v>DIREZIONE SUD</v>
      </c>
      <c r="W2364" t="str">
        <f t="shared" si="331"/>
        <v>GALLERIA CASOLA</v>
      </c>
      <c r="Z2364" t="str">
        <f t="shared" si="332"/>
        <v>10.220.80.16</v>
      </c>
    </row>
    <row r="2365" spans="1:26" x14ac:dyDescent="0.25">
      <c r="A2365" t="s">
        <v>10</v>
      </c>
      <c r="B2365" t="s">
        <v>1206</v>
      </c>
      <c r="C2365" t="s">
        <v>1618</v>
      </c>
      <c r="D2365" t="s">
        <v>1619</v>
      </c>
      <c r="E2365" t="s">
        <v>3034</v>
      </c>
      <c r="F2365" t="s">
        <v>14</v>
      </c>
      <c r="G2365" t="s">
        <v>28</v>
      </c>
      <c r="H2365" t="s">
        <v>22</v>
      </c>
      <c r="I2365" t="s">
        <v>3230</v>
      </c>
      <c r="J2365" t="s">
        <v>1897</v>
      </c>
      <c r="K2365" t="str">
        <f t="shared" si="324"/>
        <v>5029.0</v>
      </c>
      <c r="N2365" t="str">
        <f t="shared" si="325"/>
        <v>HOLDING REGISTER</v>
      </c>
      <c r="O2365" t="str">
        <f t="shared" si="326"/>
        <v>BOOL</v>
      </c>
      <c r="P2365" t="str">
        <f t="shared" si="327"/>
        <v>TELECAMERA T03S</v>
      </c>
      <c r="R2365" t="str">
        <f t="shared" si="328"/>
        <v>PERDITA SEGNALE VIDEO</v>
      </c>
      <c r="U2365" t="str">
        <f t="shared" si="329"/>
        <v>Allarme</v>
      </c>
      <c r="V2365" t="str">
        <f t="shared" si="330"/>
        <v>DIREZIONE SUD</v>
      </c>
      <c r="W2365" t="str">
        <f t="shared" si="331"/>
        <v>GALLERIA CASOLA</v>
      </c>
      <c r="Z2365" t="str">
        <f t="shared" si="332"/>
        <v>10.220.80.16</v>
      </c>
    </row>
    <row r="2366" spans="1:26" x14ac:dyDescent="0.25">
      <c r="A2366" t="s">
        <v>10</v>
      </c>
      <c r="B2366" t="s">
        <v>1206</v>
      </c>
      <c r="C2366" t="s">
        <v>1618</v>
      </c>
      <c r="D2366" t="s">
        <v>1619</v>
      </c>
      <c r="E2366" t="s">
        <v>3034</v>
      </c>
      <c r="F2366" t="s">
        <v>14</v>
      </c>
      <c r="G2366" t="s">
        <v>28</v>
      </c>
      <c r="H2366" t="s">
        <v>22</v>
      </c>
      <c r="I2366" t="s">
        <v>3231</v>
      </c>
      <c r="J2366" t="s">
        <v>1899</v>
      </c>
      <c r="K2366" t="str">
        <f t="shared" si="324"/>
        <v>5029.1</v>
      </c>
      <c r="N2366" t="str">
        <f t="shared" si="325"/>
        <v>HOLDING REGISTER</v>
      </c>
      <c r="O2366" t="str">
        <f t="shared" si="326"/>
        <v>BOOL</v>
      </c>
      <c r="P2366" t="str">
        <f t="shared" si="327"/>
        <v>TELECAMERA T03S</v>
      </c>
      <c r="R2366" t="str">
        <f t="shared" si="328"/>
        <v>MANOMISSIONE</v>
      </c>
      <c r="U2366" t="str">
        <f t="shared" si="329"/>
        <v>Allarme</v>
      </c>
      <c r="V2366" t="str">
        <f t="shared" si="330"/>
        <v>DIREZIONE SUD</v>
      </c>
      <c r="W2366" t="str">
        <f t="shared" si="331"/>
        <v>GALLERIA CASOLA</v>
      </c>
      <c r="Z2366" t="str">
        <f t="shared" si="332"/>
        <v>10.220.80.16</v>
      </c>
    </row>
    <row r="2367" spans="1:26" x14ac:dyDescent="0.25">
      <c r="A2367" t="s">
        <v>10</v>
      </c>
      <c r="B2367" t="s">
        <v>1206</v>
      </c>
      <c r="C2367" t="s">
        <v>1618</v>
      </c>
      <c r="D2367" t="s">
        <v>1619</v>
      </c>
      <c r="E2367" t="s">
        <v>3034</v>
      </c>
      <c r="F2367" t="s">
        <v>14</v>
      </c>
      <c r="G2367" t="s">
        <v>21</v>
      </c>
      <c r="H2367" t="s">
        <v>22</v>
      </c>
      <c r="I2367" t="s">
        <v>3232</v>
      </c>
      <c r="J2367" t="s">
        <v>1375</v>
      </c>
      <c r="K2367" t="str">
        <f t="shared" si="324"/>
        <v>5029.2</v>
      </c>
      <c r="N2367" t="str">
        <f t="shared" si="325"/>
        <v>HOLDING REGISTER</v>
      </c>
      <c r="O2367" t="str">
        <f t="shared" si="326"/>
        <v>BOOL</v>
      </c>
      <c r="P2367" t="str">
        <f t="shared" si="327"/>
        <v>TELECAMERA T03S</v>
      </c>
      <c r="R2367" t="str">
        <f t="shared" si="328"/>
        <v>disponibile</v>
      </c>
      <c r="U2367" t="str">
        <f t="shared" si="329"/>
        <v>Stato</v>
      </c>
      <c r="V2367" t="str">
        <f t="shared" si="330"/>
        <v>DIREZIONE SUD</v>
      </c>
      <c r="W2367" t="str">
        <f t="shared" si="331"/>
        <v>GALLERIA CASOLA</v>
      </c>
      <c r="Z2367" t="str">
        <f t="shared" si="332"/>
        <v>10.220.80.16</v>
      </c>
    </row>
    <row r="2368" spans="1:26" x14ac:dyDescent="0.25">
      <c r="A2368" t="s">
        <v>10</v>
      </c>
      <c r="B2368" t="s">
        <v>1206</v>
      </c>
      <c r="C2368" t="s">
        <v>1618</v>
      </c>
      <c r="D2368" t="s">
        <v>1619</v>
      </c>
      <c r="E2368" t="s">
        <v>3034</v>
      </c>
      <c r="F2368" t="s">
        <v>14</v>
      </c>
      <c r="G2368" t="s">
        <v>28</v>
      </c>
      <c r="H2368" t="s">
        <v>22</v>
      </c>
      <c r="I2368" t="s">
        <v>3233</v>
      </c>
      <c r="J2368" t="s">
        <v>1902</v>
      </c>
      <c r="K2368" t="str">
        <f t="shared" si="324"/>
        <v>5029.3</v>
      </c>
      <c r="N2368" t="str">
        <f t="shared" si="325"/>
        <v>HOLDING REGISTER</v>
      </c>
      <c r="O2368" t="str">
        <f t="shared" si="326"/>
        <v>BOOL</v>
      </c>
      <c r="P2368" t="str">
        <f t="shared" si="327"/>
        <v>TELECAMERA T03S</v>
      </c>
      <c r="R2368" t="str">
        <f t="shared" si="328"/>
        <v>VEICOLO FERMO</v>
      </c>
      <c r="U2368" t="str">
        <f t="shared" si="329"/>
        <v>Allarme</v>
      </c>
      <c r="V2368" t="str">
        <f t="shared" si="330"/>
        <v>DIREZIONE SUD</v>
      </c>
      <c r="W2368" t="str">
        <f t="shared" si="331"/>
        <v>GALLERIA CASOLA</v>
      </c>
      <c r="Z2368" t="str">
        <f t="shared" si="332"/>
        <v>10.220.80.16</v>
      </c>
    </row>
    <row r="2369" spans="1:26" x14ac:dyDescent="0.25">
      <c r="A2369" t="s">
        <v>10</v>
      </c>
      <c r="B2369" t="s">
        <v>1206</v>
      </c>
      <c r="C2369" t="s">
        <v>1618</v>
      </c>
      <c r="D2369" t="s">
        <v>1619</v>
      </c>
      <c r="E2369" t="s">
        <v>3034</v>
      </c>
      <c r="F2369" t="s">
        <v>14</v>
      </c>
      <c r="G2369" t="s">
        <v>28</v>
      </c>
      <c r="H2369" t="s">
        <v>22</v>
      </c>
      <c r="I2369" t="s">
        <v>3234</v>
      </c>
      <c r="J2369" t="s">
        <v>1904</v>
      </c>
      <c r="K2369" t="str">
        <f t="shared" si="324"/>
        <v>5029.4</v>
      </c>
      <c r="N2369" t="str">
        <f t="shared" si="325"/>
        <v>HOLDING REGISTER</v>
      </c>
      <c r="O2369" t="str">
        <f t="shared" si="326"/>
        <v>BOOL</v>
      </c>
      <c r="P2369" t="str">
        <f t="shared" si="327"/>
        <v>TELECAMERA T03S</v>
      </c>
      <c r="R2369" t="str">
        <f t="shared" si="328"/>
        <v>CARICO DISPERSO</v>
      </c>
      <c r="U2369" t="str">
        <f t="shared" si="329"/>
        <v>Allarme</v>
      </c>
      <c r="V2369" t="str">
        <f t="shared" si="330"/>
        <v>DIREZIONE SUD</v>
      </c>
      <c r="W2369" t="str">
        <f t="shared" si="331"/>
        <v>GALLERIA CASOLA</v>
      </c>
      <c r="Z2369" t="str">
        <f t="shared" si="332"/>
        <v>10.220.80.16</v>
      </c>
    </row>
    <row r="2370" spans="1:26" x14ac:dyDescent="0.25">
      <c r="A2370" t="s">
        <v>10</v>
      </c>
      <c r="B2370" t="s">
        <v>1206</v>
      </c>
      <c r="C2370" t="s">
        <v>1618</v>
      </c>
      <c r="D2370" t="s">
        <v>1619</v>
      </c>
      <c r="E2370" t="s">
        <v>3034</v>
      </c>
      <c r="F2370" t="s">
        <v>14</v>
      </c>
      <c r="G2370" t="s">
        <v>1375</v>
      </c>
      <c r="H2370" t="s">
        <v>22</v>
      </c>
      <c r="I2370" t="s">
        <v>3235</v>
      </c>
      <c r="J2370" t="s">
        <v>1375</v>
      </c>
      <c r="K2370" t="str">
        <f t="shared" si="324"/>
        <v>5029.5</v>
      </c>
      <c r="N2370" t="str">
        <f t="shared" si="325"/>
        <v>HOLDING REGISTER</v>
      </c>
      <c r="O2370" t="str">
        <f t="shared" si="326"/>
        <v>BOOL</v>
      </c>
      <c r="P2370" t="str">
        <f t="shared" si="327"/>
        <v>TELECAMERA T03S</v>
      </c>
      <c r="R2370" t="str">
        <f t="shared" si="328"/>
        <v>disponibile</v>
      </c>
      <c r="U2370" t="str">
        <f t="shared" si="329"/>
        <v>disponibile</v>
      </c>
      <c r="V2370" t="str">
        <f t="shared" si="330"/>
        <v>DIREZIONE SUD</v>
      </c>
      <c r="W2370" t="str">
        <f t="shared" si="331"/>
        <v>GALLERIA CASOLA</v>
      </c>
      <c r="Z2370" t="str">
        <f t="shared" si="332"/>
        <v>10.220.80.16</v>
      </c>
    </row>
    <row r="2371" spans="1:26" x14ac:dyDescent="0.25">
      <c r="A2371" t="s">
        <v>10</v>
      </c>
      <c r="B2371" t="s">
        <v>1206</v>
      </c>
      <c r="C2371" t="s">
        <v>1618</v>
      </c>
      <c r="D2371" t="s">
        <v>1619</v>
      </c>
      <c r="E2371" t="s">
        <v>3034</v>
      </c>
      <c r="F2371" t="s">
        <v>14</v>
      </c>
      <c r="G2371" t="s">
        <v>28</v>
      </c>
      <c r="H2371" t="s">
        <v>22</v>
      </c>
      <c r="I2371" t="s">
        <v>3236</v>
      </c>
      <c r="J2371" t="s">
        <v>1907</v>
      </c>
      <c r="K2371" t="str">
        <f t="shared" ref="K2371:K2434" si="333">IF(I2371="","",I2371)</f>
        <v>5029.6</v>
      </c>
      <c r="N2371" t="str">
        <f t="shared" ref="N2371:N2434" si="334">IF(F2371="","",F2371)</f>
        <v>HOLDING REGISTER</v>
      </c>
      <c r="O2371" t="str">
        <f t="shared" ref="O2371:O2434" si="335">IF(H2371="","",H2371)</f>
        <v>BOOL</v>
      </c>
      <c r="P2371" t="str">
        <f t="shared" ref="P2371:P2434" si="336">_xlfn.CONCAT(D2371," ",E2371)</f>
        <v>TELECAMERA T03S</v>
      </c>
      <c r="R2371" t="str">
        <f t="shared" ref="R2371:R2434" si="337">IF(J2371="","",J2371)</f>
        <v>PEDONE</v>
      </c>
      <c r="U2371" t="str">
        <f t="shared" ref="U2371:U2434" si="338">IF(G2371="","",G2371)</f>
        <v>Allarme</v>
      </c>
      <c r="V2371" t="str">
        <f t="shared" ref="V2371:V2434" si="339">IF(C2371="","",C2371)</f>
        <v>DIREZIONE SUD</v>
      </c>
      <c r="W2371" t="str">
        <f t="shared" ref="W2371:W2434" si="340">IF(B2371="","",B2371)</f>
        <v>GALLERIA CASOLA</v>
      </c>
      <c r="Z2371" t="str">
        <f t="shared" ref="Z2371:Z2434" si="341">IF(A2371="","",A2371)</f>
        <v>10.220.80.16</v>
      </c>
    </row>
    <row r="2372" spans="1:26" x14ac:dyDescent="0.25">
      <c r="A2372" t="s">
        <v>10</v>
      </c>
      <c r="B2372" t="s">
        <v>1206</v>
      </c>
      <c r="C2372" t="s">
        <v>1618</v>
      </c>
      <c r="D2372" t="s">
        <v>1619</v>
      </c>
      <c r="E2372" t="s">
        <v>3034</v>
      </c>
      <c r="F2372" t="s">
        <v>14</v>
      </c>
      <c r="G2372" t="s">
        <v>28</v>
      </c>
      <c r="H2372" t="s">
        <v>22</v>
      </c>
      <c r="I2372" t="s">
        <v>3237</v>
      </c>
      <c r="J2372" t="s">
        <v>1909</v>
      </c>
      <c r="K2372" t="str">
        <f t="shared" si="333"/>
        <v>5029.7</v>
      </c>
      <c r="N2372" t="str">
        <f t="shared" si="334"/>
        <v>HOLDING REGISTER</v>
      </c>
      <c r="O2372" t="str">
        <f t="shared" si="335"/>
        <v>BOOL</v>
      </c>
      <c r="P2372" t="str">
        <f t="shared" si="336"/>
        <v>TELECAMERA T03S</v>
      </c>
      <c r="R2372" t="str">
        <f t="shared" si="337"/>
        <v>FUMO</v>
      </c>
      <c r="U2372" t="str">
        <f t="shared" si="338"/>
        <v>Allarme</v>
      </c>
      <c r="V2372" t="str">
        <f t="shared" si="339"/>
        <v>DIREZIONE SUD</v>
      </c>
      <c r="W2372" t="str">
        <f t="shared" si="340"/>
        <v>GALLERIA CASOLA</v>
      </c>
      <c r="Z2372" t="str">
        <f t="shared" si="341"/>
        <v>10.220.80.16</v>
      </c>
    </row>
    <row r="2373" spans="1:26" x14ac:dyDescent="0.25">
      <c r="A2373" t="s">
        <v>10</v>
      </c>
      <c r="B2373" t="s">
        <v>1206</v>
      </c>
      <c r="C2373" t="s">
        <v>1618</v>
      </c>
      <c r="D2373" t="s">
        <v>1619</v>
      </c>
      <c r="E2373" t="s">
        <v>3034</v>
      </c>
      <c r="F2373" t="s">
        <v>14</v>
      </c>
      <c r="G2373" t="s">
        <v>28</v>
      </c>
      <c r="H2373" t="s">
        <v>22</v>
      </c>
      <c r="I2373" t="s">
        <v>3238</v>
      </c>
      <c r="J2373" t="s">
        <v>1911</v>
      </c>
      <c r="K2373" t="str">
        <f t="shared" si="333"/>
        <v>5029.8</v>
      </c>
      <c r="N2373" t="str">
        <f t="shared" si="334"/>
        <v>HOLDING REGISTER</v>
      </c>
      <c r="O2373" t="str">
        <f t="shared" si="335"/>
        <v>BOOL</v>
      </c>
      <c r="P2373" t="str">
        <f t="shared" si="336"/>
        <v>TELECAMERA T03S</v>
      </c>
      <c r="R2373" t="str">
        <f t="shared" si="337"/>
        <v>RALLENTAMENTI</v>
      </c>
      <c r="U2373" t="str">
        <f t="shared" si="338"/>
        <v>Allarme</v>
      </c>
      <c r="V2373" t="str">
        <f t="shared" si="339"/>
        <v>DIREZIONE SUD</v>
      </c>
      <c r="W2373" t="str">
        <f t="shared" si="340"/>
        <v>GALLERIA CASOLA</v>
      </c>
      <c r="Z2373" t="str">
        <f t="shared" si="341"/>
        <v>10.220.80.16</v>
      </c>
    </row>
    <row r="2374" spans="1:26" x14ac:dyDescent="0.25">
      <c r="A2374" t="s">
        <v>10</v>
      </c>
      <c r="B2374" t="s">
        <v>1206</v>
      </c>
      <c r="C2374" t="s">
        <v>1618</v>
      </c>
      <c r="D2374" t="s">
        <v>1619</v>
      </c>
      <c r="E2374" t="s">
        <v>3034</v>
      </c>
      <c r="F2374" t="s">
        <v>14</v>
      </c>
      <c r="G2374" t="s">
        <v>28</v>
      </c>
      <c r="H2374" t="s">
        <v>22</v>
      </c>
      <c r="I2374" t="s">
        <v>3239</v>
      </c>
      <c r="J2374" t="s">
        <v>1913</v>
      </c>
      <c r="K2374" t="str">
        <f t="shared" si="333"/>
        <v>5029.9</v>
      </c>
      <c r="N2374" t="str">
        <f t="shared" si="334"/>
        <v>HOLDING REGISTER</v>
      </c>
      <c r="O2374" t="str">
        <f t="shared" si="335"/>
        <v>BOOL</v>
      </c>
      <c r="P2374" t="str">
        <f t="shared" si="336"/>
        <v>TELECAMERA T03S</v>
      </c>
      <c r="R2374" t="str">
        <f t="shared" si="337"/>
        <v>CODA IN GALLERIA</v>
      </c>
      <c r="U2374" t="str">
        <f t="shared" si="338"/>
        <v>Allarme</v>
      </c>
      <c r="V2374" t="str">
        <f t="shared" si="339"/>
        <v>DIREZIONE SUD</v>
      </c>
      <c r="W2374" t="str">
        <f t="shared" si="340"/>
        <v>GALLERIA CASOLA</v>
      </c>
      <c r="Z2374" t="str">
        <f t="shared" si="341"/>
        <v>10.220.80.16</v>
      </c>
    </row>
    <row r="2375" spans="1:26" x14ac:dyDescent="0.25">
      <c r="A2375" t="s">
        <v>10</v>
      </c>
      <c r="B2375" t="s">
        <v>1206</v>
      </c>
      <c r="C2375" t="s">
        <v>1618</v>
      </c>
      <c r="D2375" t="s">
        <v>1619</v>
      </c>
      <c r="E2375" t="s">
        <v>3034</v>
      </c>
      <c r="F2375" t="s">
        <v>14</v>
      </c>
      <c r="G2375" t="s">
        <v>1375</v>
      </c>
      <c r="H2375" t="s">
        <v>22</v>
      </c>
      <c r="I2375" t="s">
        <v>3240</v>
      </c>
      <c r="J2375" t="s">
        <v>1375</v>
      </c>
      <c r="K2375" t="str">
        <f t="shared" si="333"/>
        <v>5029.10</v>
      </c>
      <c r="N2375" t="str">
        <f t="shared" si="334"/>
        <v>HOLDING REGISTER</v>
      </c>
      <c r="O2375" t="str">
        <f t="shared" si="335"/>
        <v>BOOL</v>
      </c>
      <c r="P2375" t="str">
        <f t="shared" si="336"/>
        <v>TELECAMERA T03S</v>
      </c>
      <c r="R2375" t="str">
        <f t="shared" si="337"/>
        <v>disponibile</v>
      </c>
      <c r="U2375" t="str">
        <f t="shared" si="338"/>
        <v>disponibile</v>
      </c>
      <c r="V2375" t="str">
        <f t="shared" si="339"/>
        <v>DIREZIONE SUD</v>
      </c>
      <c r="W2375" t="str">
        <f t="shared" si="340"/>
        <v>GALLERIA CASOLA</v>
      </c>
      <c r="Z2375" t="str">
        <f t="shared" si="341"/>
        <v>10.220.80.16</v>
      </c>
    </row>
    <row r="2376" spans="1:26" x14ac:dyDescent="0.25">
      <c r="A2376" t="s">
        <v>10</v>
      </c>
      <c r="B2376" t="s">
        <v>1206</v>
      </c>
      <c r="C2376" t="s">
        <v>1618</v>
      </c>
      <c r="D2376" t="s">
        <v>1619</v>
      </c>
      <c r="E2376" t="s">
        <v>3034</v>
      </c>
      <c r="F2376" t="s">
        <v>14</v>
      </c>
      <c r="G2376" t="s">
        <v>1375</v>
      </c>
      <c r="H2376" t="s">
        <v>22</v>
      </c>
      <c r="I2376" t="s">
        <v>3241</v>
      </c>
      <c r="J2376" t="s">
        <v>1375</v>
      </c>
      <c r="K2376" t="str">
        <f t="shared" si="333"/>
        <v>5029.11</v>
      </c>
      <c r="N2376" t="str">
        <f t="shared" si="334"/>
        <v>HOLDING REGISTER</v>
      </c>
      <c r="O2376" t="str">
        <f t="shared" si="335"/>
        <v>BOOL</v>
      </c>
      <c r="P2376" t="str">
        <f t="shared" si="336"/>
        <v>TELECAMERA T03S</v>
      </c>
      <c r="R2376" t="str">
        <f t="shared" si="337"/>
        <v>disponibile</v>
      </c>
      <c r="U2376" t="str">
        <f t="shared" si="338"/>
        <v>disponibile</v>
      </c>
      <c r="V2376" t="str">
        <f t="shared" si="339"/>
        <v>DIREZIONE SUD</v>
      </c>
      <c r="W2376" t="str">
        <f t="shared" si="340"/>
        <v>GALLERIA CASOLA</v>
      </c>
      <c r="Z2376" t="str">
        <f t="shared" si="341"/>
        <v>10.220.80.16</v>
      </c>
    </row>
    <row r="2377" spans="1:26" x14ac:dyDescent="0.25">
      <c r="A2377" t="s">
        <v>10</v>
      </c>
      <c r="B2377" t="s">
        <v>1206</v>
      </c>
      <c r="C2377" t="s">
        <v>1618</v>
      </c>
      <c r="D2377" t="s">
        <v>1619</v>
      </c>
      <c r="E2377" t="s">
        <v>3034</v>
      </c>
      <c r="F2377" t="s">
        <v>14</v>
      </c>
      <c r="G2377" t="s">
        <v>1375</v>
      </c>
      <c r="H2377" t="s">
        <v>22</v>
      </c>
      <c r="I2377" t="s">
        <v>3242</v>
      </c>
      <c r="J2377" t="s">
        <v>1375</v>
      </c>
      <c r="K2377" t="str">
        <f t="shared" si="333"/>
        <v>5029.12</v>
      </c>
      <c r="N2377" t="str">
        <f t="shared" si="334"/>
        <v>HOLDING REGISTER</v>
      </c>
      <c r="O2377" t="str">
        <f t="shared" si="335"/>
        <v>BOOL</v>
      </c>
      <c r="P2377" t="str">
        <f t="shared" si="336"/>
        <v>TELECAMERA T03S</v>
      </c>
      <c r="R2377" t="str">
        <f t="shared" si="337"/>
        <v>disponibile</v>
      </c>
      <c r="U2377" t="str">
        <f t="shared" si="338"/>
        <v>disponibile</v>
      </c>
      <c r="V2377" t="str">
        <f t="shared" si="339"/>
        <v>DIREZIONE SUD</v>
      </c>
      <c r="W2377" t="str">
        <f t="shared" si="340"/>
        <v>GALLERIA CASOLA</v>
      </c>
      <c r="Z2377" t="str">
        <f t="shared" si="341"/>
        <v>10.220.80.16</v>
      </c>
    </row>
    <row r="2378" spans="1:26" x14ac:dyDescent="0.25">
      <c r="A2378" t="s">
        <v>10</v>
      </c>
      <c r="B2378" t="s">
        <v>1206</v>
      </c>
      <c r="C2378" t="s">
        <v>1618</v>
      </c>
      <c r="D2378" t="s">
        <v>1619</v>
      </c>
      <c r="E2378" t="s">
        <v>3034</v>
      </c>
      <c r="F2378" t="s">
        <v>14</v>
      </c>
      <c r="G2378" t="s">
        <v>1375</v>
      </c>
      <c r="H2378" t="s">
        <v>22</v>
      </c>
      <c r="I2378" t="s">
        <v>3243</v>
      </c>
      <c r="J2378" t="s">
        <v>1375</v>
      </c>
      <c r="K2378" t="str">
        <f t="shared" si="333"/>
        <v>5029.13</v>
      </c>
      <c r="N2378" t="str">
        <f t="shared" si="334"/>
        <v>HOLDING REGISTER</v>
      </c>
      <c r="O2378" t="str">
        <f t="shared" si="335"/>
        <v>BOOL</v>
      </c>
      <c r="P2378" t="str">
        <f t="shared" si="336"/>
        <v>TELECAMERA T03S</v>
      </c>
      <c r="R2378" t="str">
        <f t="shared" si="337"/>
        <v>disponibile</v>
      </c>
      <c r="U2378" t="str">
        <f t="shared" si="338"/>
        <v>disponibile</v>
      </c>
      <c r="V2378" t="str">
        <f t="shared" si="339"/>
        <v>DIREZIONE SUD</v>
      </c>
      <c r="W2378" t="str">
        <f t="shared" si="340"/>
        <v>GALLERIA CASOLA</v>
      </c>
      <c r="Z2378" t="str">
        <f t="shared" si="341"/>
        <v>10.220.80.16</v>
      </c>
    </row>
    <row r="2379" spans="1:26" x14ac:dyDescent="0.25">
      <c r="A2379" t="s">
        <v>10</v>
      </c>
      <c r="B2379" t="s">
        <v>1206</v>
      </c>
      <c r="C2379" t="s">
        <v>1618</v>
      </c>
      <c r="D2379" t="s">
        <v>1619</v>
      </c>
      <c r="E2379" t="s">
        <v>3034</v>
      </c>
      <c r="F2379" t="s">
        <v>14</v>
      </c>
      <c r="G2379" t="s">
        <v>1375</v>
      </c>
      <c r="H2379" t="s">
        <v>22</v>
      </c>
      <c r="I2379" t="s">
        <v>3244</v>
      </c>
      <c r="J2379" t="s">
        <v>1375</v>
      </c>
      <c r="K2379" t="str">
        <f t="shared" si="333"/>
        <v>5029.14</v>
      </c>
      <c r="N2379" t="str">
        <f t="shared" si="334"/>
        <v>HOLDING REGISTER</v>
      </c>
      <c r="O2379" t="str">
        <f t="shared" si="335"/>
        <v>BOOL</v>
      </c>
      <c r="P2379" t="str">
        <f t="shared" si="336"/>
        <v>TELECAMERA T03S</v>
      </c>
      <c r="R2379" t="str">
        <f t="shared" si="337"/>
        <v>disponibile</v>
      </c>
      <c r="U2379" t="str">
        <f t="shared" si="338"/>
        <v>disponibile</v>
      </c>
      <c r="V2379" t="str">
        <f t="shared" si="339"/>
        <v>DIREZIONE SUD</v>
      </c>
      <c r="W2379" t="str">
        <f t="shared" si="340"/>
        <v>GALLERIA CASOLA</v>
      </c>
      <c r="Z2379" t="str">
        <f t="shared" si="341"/>
        <v>10.220.80.16</v>
      </c>
    </row>
    <row r="2380" spans="1:26" x14ac:dyDescent="0.25">
      <c r="A2380" t="s">
        <v>10</v>
      </c>
      <c r="B2380" t="s">
        <v>1206</v>
      </c>
      <c r="C2380" t="s">
        <v>1618</v>
      </c>
      <c r="D2380" t="s">
        <v>1619</v>
      </c>
      <c r="E2380" t="s">
        <v>3034</v>
      </c>
      <c r="F2380" t="s">
        <v>14</v>
      </c>
      <c r="G2380" t="s">
        <v>1375</v>
      </c>
      <c r="H2380" t="s">
        <v>22</v>
      </c>
      <c r="I2380" t="s">
        <v>3245</v>
      </c>
      <c r="J2380" t="s">
        <v>1375</v>
      </c>
      <c r="K2380" t="str">
        <f t="shared" si="333"/>
        <v>5029.15</v>
      </c>
      <c r="N2380" t="str">
        <f t="shared" si="334"/>
        <v>HOLDING REGISTER</v>
      </c>
      <c r="O2380" t="str">
        <f t="shared" si="335"/>
        <v>BOOL</v>
      </c>
      <c r="P2380" t="str">
        <f t="shared" si="336"/>
        <v>TELECAMERA T03S</v>
      </c>
      <c r="R2380" t="str">
        <f t="shared" si="337"/>
        <v>disponibile</v>
      </c>
      <c r="U2380" t="str">
        <f t="shared" si="338"/>
        <v>disponibile</v>
      </c>
      <c r="V2380" t="str">
        <f t="shared" si="339"/>
        <v>DIREZIONE SUD</v>
      </c>
      <c r="W2380" t="str">
        <f t="shared" si="340"/>
        <v>GALLERIA CASOLA</v>
      </c>
      <c r="Z2380" t="str">
        <f t="shared" si="341"/>
        <v>10.220.80.16</v>
      </c>
    </row>
    <row r="2381" spans="1:26" x14ac:dyDescent="0.25">
      <c r="A2381" t="s">
        <v>10</v>
      </c>
      <c r="B2381" t="s">
        <v>1206</v>
      </c>
      <c r="C2381" t="s">
        <v>1618</v>
      </c>
      <c r="D2381" t="s">
        <v>1619</v>
      </c>
      <c r="E2381" t="s">
        <v>1674</v>
      </c>
      <c r="F2381" t="s">
        <v>14</v>
      </c>
      <c r="G2381" t="s">
        <v>28</v>
      </c>
      <c r="H2381" t="s">
        <v>22</v>
      </c>
      <c r="I2381" t="s">
        <v>3246</v>
      </c>
      <c r="J2381" t="s">
        <v>1897</v>
      </c>
      <c r="K2381" t="str">
        <f t="shared" si="333"/>
        <v>5030.0</v>
      </c>
      <c r="N2381" t="str">
        <f t="shared" si="334"/>
        <v>HOLDING REGISTER</v>
      </c>
      <c r="O2381" t="str">
        <f t="shared" si="335"/>
        <v>BOOL</v>
      </c>
      <c r="P2381" t="str">
        <f t="shared" si="336"/>
        <v>TELECAMERA T06S</v>
      </c>
      <c r="R2381" t="str">
        <f t="shared" si="337"/>
        <v>PERDITA SEGNALE VIDEO</v>
      </c>
      <c r="U2381" t="str">
        <f t="shared" si="338"/>
        <v>Allarme</v>
      </c>
      <c r="V2381" t="str">
        <f t="shared" si="339"/>
        <v>DIREZIONE SUD</v>
      </c>
      <c r="W2381" t="str">
        <f t="shared" si="340"/>
        <v>GALLERIA CASOLA</v>
      </c>
      <c r="Z2381" t="str">
        <f t="shared" si="341"/>
        <v>10.220.80.16</v>
      </c>
    </row>
    <row r="2382" spans="1:26" x14ac:dyDescent="0.25">
      <c r="A2382" t="s">
        <v>10</v>
      </c>
      <c r="B2382" t="s">
        <v>1206</v>
      </c>
      <c r="C2382" t="s">
        <v>1618</v>
      </c>
      <c r="D2382" t="s">
        <v>1619</v>
      </c>
      <c r="E2382" t="s">
        <v>1674</v>
      </c>
      <c r="F2382" t="s">
        <v>14</v>
      </c>
      <c r="G2382" t="s">
        <v>28</v>
      </c>
      <c r="H2382" t="s">
        <v>22</v>
      </c>
      <c r="I2382" t="s">
        <v>3247</v>
      </c>
      <c r="J2382" t="s">
        <v>1899</v>
      </c>
      <c r="K2382" t="str">
        <f t="shared" si="333"/>
        <v>5030.1</v>
      </c>
      <c r="N2382" t="str">
        <f t="shared" si="334"/>
        <v>HOLDING REGISTER</v>
      </c>
      <c r="O2382" t="str">
        <f t="shared" si="335"/>
        <v>BOOL</v>
      </c>
      <c r="P2382" t="str">
        <f t="shared" si="336"/>
        <v>TELECAMERA T06S</v>
      </c>
      <c r="R2382" t="str">
        <f t="shared" si="337"/>
        <v>MANOMISSIONE</v>
      </c>
      <c r="U2382" t="str">
        <f t="shared" si="338"/>
        <v>Allarme</v>
      </c>
      <c r="V2382" t="str">
        <f t="shared" si="339"/>
        <v>DIREZIONE SUD</v>
      </c>
      <c r="W2382" t="str">
        <f t="shared" si="340"/>
        <v>GALLERIA CASOLA</v>
      </c>
      <c r="Z2382" t="str">
        <f t="shared" si="341"/>
        <v>10.220.80.16</v>
      </c>
    </row>
    <row r="2383" spans="1:26" x14ac:dyDescent="0.25">
      <c r="A2383" t="s">
        <v>10</v>
      </c>
      <c r="B2383" t="s">
        <v>1206</v>
      </c>
      <c r="C2383" t="s">
        <v>1618</v>
      </c>
      <c r="D2383" t="s">
        <v>1619</v>
      </c>
      <c r="E2383" t="s">
        <v>1674</v>
      </c>
      <c r="F2383" t="s">
        <v>14</v>
      </c>
      <c r="G2383" t="s">
        <v>1375</v>
      </c>
      <c r="H2383" t="s">
        <v>22</v>
      </c>
      <c r="I2383" t="s">
        <v>3248</v>
      </c>
      <c r="J2383" t="s">
        <v>1375</v>
      </c>
      <c r="K2383" t="str">
        <f t="shared" si="333"/>
        <v>5030.2</v>
      </c>
      <c r="N2383" t="str">
        <f t="shared" si="334"/>
        <v>HOLDING REGISTER</v>
      </c>
      <c r="O2383" t="str">
        <f t="shared" si="335"/>
        <v>BOOL</v>
      </c>
      <c r="P2383" t="str">
        <f t="shared" si="336"/>
        <v>TELECAMERA T06S</v>
      </c>
      <c r="R2383" t="str">
        <f t="shared" si="337"/>
        <v>disponibile</v>
      </c>
      <c r="U2383" t="str">
        <f t="shared" si="338"/>
        <v>disponibile</v>
      </c>
      <c r="V2383" t="str">
        <f t="shared" si="339"/>
        <v>DIREZIONE SUD</v>
      </c>
      <c r="W2383" t="str">
        <f t="shared" si="340"/>
        <v>GALLERIA CASOLA</v>
      </c>
      <c r="Z2383" t="str">
        <f t="shared" si="341"/>
        <v>10.220.80.16</v>
      </c>
    </row>
    <row r="2384" spans="1:26" x14ac:dyDescent="0.25">
      <c r="A2384" t="s">
        <v>10</v>
      </c>
      <c r="B2384" t="s">
        <v>1206</v>
      </c>
      <c r="C2384" t="s">
        <v>1618</v>
      </c>
      <c r="D2384" t="s">
        <v>1619</v>
      </c>
      <c r="E2384" t="s">
        <v>1674</v>
      </c>
      <c r="F2384" t="s">
        <v>14</v>
      </c>
      <c r="G2384" t="s">
        <v>28</v>
      </c>
      <c r="H2384" t="s">
        <v>22</v>
      </c>
      <c r="I2384" t="s">
        <v>3249</v>
      </c>
      <c r="J2384" t="s">
        <v>1902</v>
      </c>
      <c r="K2384" t="str">
        <f t="shared" si="333"/>
        <v>5030.3</v>
      </c>
      <c r="N2384" t="str">
        <f t="shared" si="334"/>
        <v>HOLDING REGISTER</v>
      </c>
      <c r="O2384" t="str">
        <f t="shared" si="335"/>
        <v>BOOL</v>
      </c>
      <c r="P2384" t="str">
        <f t="shared" si="336"/>
        <v>TELECAMERA T06S</v>
      </c>
      <c r="R2384" t="str">
        <f t="shared" si="337"/>
        <v>VEICOLO FERMO</v>
      </c>
      <c r="U2384" t="str">
        <f t="shared" si="338"/>
        <v>Allarme</v>
      </c>
      <c r="V2384" t="str">
        <f t="shared" si="339"/>
        <v>DIREZIONE SUD</v>
      </c>
      <c r="W2384" t="str">
        <f t="shared" si="340"/>
        <v>GALLERIA CASOLA</v>
      </c>
      <c r="Z2384" t="str">
        <f t="shared" si="341"/>
        <v>10.220.80.16</v>
      </c>
    </row>
    <row r="2385" spans="1:26" x14ac:dyDescent="0.25">
      <c r="A2385" t="s">
        <v>10</v>
      </c>
      <c r="B2385" t="s">
        <v>1206</v>
      </c>
      <c r="C2385" t="s">
        <v>1618</v>
      </c>
      <c r="D2385" t="s">
        <v>1619</v>
      </c>
      <c r="E2385" t="s">
        <v>1674</v>
      </c>
      <c r="F2385" t="s">
        <v>14</v>
      </c>
      <c r="G2385" t="s">
        <v>28</v>
      </c>
      <c r="H2385" t="s">
        <v>22</v>
      </c>
      <c r="I2385" t="s">
        <v>3250</v>
      </c>
      <c r="J2385" t="s">
        <v>1904</v>
      </c>
      <c r="K2385" t="str">
        <f t="shared" si="333"/>
        <v>5030.4</v>
      </c>
      <c r="N2385" t="str">
        <f t="shared" si="334"/>
        <v>HOLDING REGISTER</v>
      </c>
      <c r="O2385" t="str">
        <f t="shared" si="335"/>
        <v>BOOL</v>
      </c>
      <c r="P2385" t="str">
        <f t="shared" si="336"/>
        <v>TELECAMERA T06S</v>
      </c>
      <c r="R2385" t="str">
        <f t="shared" si="337"/>
        <v>CARICO DISPERSO</v>
      </c>
      <c r="U2385" t="str">
        <f t="shared" si="338"/>
        <v>Allarme</v>
      </c>
      <c r="V2385" t="str">
        <f t="shared" si="339"/>
        <v>DIREZIONE SUD</v>
      </c>
      <c r="W2385" t="str">
        <f t="shared" si="340"/>
        <v>GALLERIA CASOLA</v>
      </c>
      <c r="Z2385" t="str">
        <f t="shared" si="341"/>
        <v>10.220.80.16</v>
      </c>
    </row>
    <row r="2386" spans="1:26" x14ac:dyDescent="0.25">
      <c r="A2386" t="s">
        <v>10</v>
      </c>
      <c r="B2386" t="s">
        <v>1206</v>
      </c>
      <c r="C2386" t="s">
        <v>1618</v>
      </c>
      <c r="D2386" t="s">
        <v>1619</v>
      </c>
      <c r="E2386" t="s">
        <v>1674</v>
      </c>
      <c r="F2386" t="s">
        <v>14</v>
      </c>
      <c r="G2386" t="s">
        <v>1375</v>
      </c>
      <c r="H2386" t="s">
        <v>22</v>
      </c>
      <c r="I2386" t="s">
        <v>3251</v>
      </c>
      <c r="J2386" t="s">
        <v>1375</v>
      </c>
      <c r="K2386" t="str">
        <f t="shared" si="333"/>
        <v>5030.5</v>
      </c>
      <c r="N2386" t="str">
        <f t="shared" si="334"/>
        <v>HOLDING REGISTER</v>
      </c>
      <c r="O2386" t="str">
        <f t="shared" si="335"/>
        <v>BOOL</v>
      </c>
      <c r="P2386" t="str">
        <f t="shared" si="336"/>
        <v>TELECAMERA T06S</v>
      </c>
      <c r="R2386" t="str">
        <f t="shared" si="337"/>
        <v>disponibile</v>
      </c>
      <c r="U2386" t="str">
        <f t="shared" si="338"/>
        <v>disponibile</v>
      </c>
      <c r="V2386" t="str">
        <f t="shared" si="339"/>
        <v>DIREZIONE SUD</v>
      </c>
      <c r="W2386" t="str">
        <f t="shared" si="340"/>
        <v>GALLERIA CASOLA</v>
      </c>
      <c r="Z2386" t="str">
        <f t="shared" si="341"/>
        <v>10.220.80.16</v>
      </c>
    </row>
    <row r="2387" spans="1:26" x14ac:dyDescent="0.25">
      <c r="A2387" t="s">
        <v>10</v>
      </c>
      <c r="B2387" t="s">
        <v>1206</v>
      </c>
      <c r="C2387" t="s">
        <v>1618</v>
      </c>
      <c r="D2387" t="s">
        <v>1619</v>
      </c>
      <c r="E2387" t="s">
        <v>1674</v>
      </c>
      <c r="F2387" t="s">
        <v>14</v>
      </c>
      <c r="G2387" t="s">
        <v>28</v>
      </c>
      <c r="H2387" t="s">
        <v>22</v>
      </c>
      <c r="I2387" t="s">
        <v>3252</v>
      </c>
      <c r="J2387" t="s">
        <v>1907</v>
      </c>
      <c r="K2387" t="str">
        <f t="shared" si="333"/>
        <v>5030.6</v>
      </c>
      <c r="N2387" t="str">
        <f t="shared" si="334"/>
        <v>HOLDING REGISTER</v>
      </c>
      <c r="O2387" t="str">
        <f t="shared" si="335"/>
        <v>BOOL</v>
      </c>
      <c r="P2387" t="str">
        <f t="shared" si="336"/>
        <v>TELECAMERA T06S</v>
      </c>
      <c r="R2387" t="str">
        <f t="shared" si="337"/>
        <v>PEDONE</v>
      </c>
      <c r="U2387" t="str">
        <f t="shared" si="338"/>
        <v>Allarme</v>
      </c>
      <c r="V2387" t="str">
        <f t="shared" si="339"/>
        <v>DIREZIONE SUD</v>
      </c>
      <c r="W2387" t="str">
        <f t="shared" si="340"/>
        <v>GALLERIA CASOLA</v>
      </c>
      <c r="Z2387" t="str">
        <f t="shared" si="341"/>
        <v>10.220.80.16</v>
      </c>
    </row>
    <row r="2388" spans="1:26" x14ac:dyDescent="0.25">
      <c r="A2388" t="s">
        <v>10</v>
      </c>
      <c r="B2388" t="s">
        <v>1206</v>
      </c>
      <c r="C2388" t="s">
        <v>1618</v>
      </c>
      <c r="D2388" t="s">
        <v>1619</v>
      </c>
      <c r="E2388" t="s">
        <v>1674</v>
      </c>
      <c r="F2388" t="s">
        <v>14</v>
      </c>
      <c r="G2388" t="s">
        <v>28</v>
      </c>
      <c r="H2388" t="s">
        <v>22</v>
      </c>
      <c r="I2388" t="s">
        <v>3253</v>
      </c>
      <c r="J2388" t="s">
        <v>1909</v>
      </c>
      <c r="K2388" t="str">
        <f t="shared" si="333"/>
        <v>5030.7</v>
      </c>
      <c r="N2388" t="str">
        <f t="shared" si="334"/>
        <v>HOLDING REGISTER</v>
      </c>
      <c r="O2388" t="str">
        <f t="shared" si="335"/>
        <v>BOOL</v>
      </c>
      <c r="P2388" t="str">
        <f t="shared" si="336"/>
        <v>TELECAMERA T06S</v>
      </c>
      <c r="R2388" t="str">
        <f t="shared" si="337"/>
        <v>FUMO</v>
      </c>
      <c r="U2388" t="str">
        <f t="shared" si="338"/>
        <v>Allarme</v>
      </c>
      <c r="V2388" t="str">
        <f t="shared" si="339"/>
        <v>DIREZIONE SUD</v>
      </c>
      <c r="W2388" t="str">
        <f t="shared" si="340"/>
        <v>GALLERIA CASOLA</v>
      </c>
      <c r="Z2388" t="str">
        <f t="shared" si="341"/>
        <v>10.220.80.16</v>
      </c>
    </row>
    <row r="2389" spans="1:26" x14ac:dyDescent="0.25">
      <c r="A2389" t="s">
        <v>10</v>
      </c>
      <c r="B2389" t="s">
        <v>1206</v>
      </c>
      <c r="C2389" t="s">
        <v>1618</v>
      </c>
      <c r="D2389" t="s">
        <v>1619</v>
      </c>
      <c r="E2389" t="s">
        <v>1674</v>
      </c>
      <c r="F2389" t="s">
        <v>14</v>
      </c>
      <c r="G2389" t="s">
        <v>28</v>
      </c>
      <c r="H2389" t="s">
        <v>22</v>
      </c>
      <c r="I2389" t="s">
        <v>3254</v>
      </c>
      <c r="J2389" t="s">
        <v>1911</v>
      </c>
      <c r="K2389" t="str">
        <f t="shared" si="333"/>
        <v>5030.8</v>
      </c>
      <c r="N2389" t="str">
        <f t="shared" si="334"/>
        <v>HOLDING REGISTER</v>
      </c>
      <c r="O2389" t="str">
        <f t="shared" si="335"/>
        <v>BOOL</v>
      </c>
      <c r="P2389" t="str">
        <f t="shared" si="336"/>
        <v>TELECAMERA T06S</v>
      </c>
      <c r="R2389" t="str">
        <f t="shared" si="337"/>
        <v>RALLENTAMENTI</v>
      </c>
      <c r="U2389" t="str">
        <f t="shared" si="338"/>
        <v>Allarme</v>
      </c>
      <c r="V2389" t="str">
        <f t="shared" si="339"/>
        <v>DIREZIONE SUD</v>
      </c>
      <c r="W2389" t="str">
        <f t="shared" si="340"/>
        <v>GALLERIA CASOLA</v>
      </c>
      <c r="Z2389" t="str">
        <f t="shared" si="341"/>
        <v>10.220.80.16</v>
      </c>
    </row>
    <row r="2390" spans="1:26" x14ac:dyDescent="0.25">
      <c r="A2390" t="s">
        <v>10</v>
      </c>
      <c r="B2390" t="s">
        <v>1206</v>
      </c>
      <c r="C2390" t="s">
        <v>1618</v>
      </c>
      <c r="D2390" t="s">
        <v>1619</v>
      </c>
      <c r="E2390" t="s">
        <v>1674</v>
      </c>
      <c r="F2390" t="s">
        <v>14</v>
      </c>
      <c r="G2390" t="s">
        <v>28</v>
      </c>
      <c r="H2390" t="s">
        <v>22</v>
      </c>
      <c r="I2390" t="s">
        <v>3255</v>
      </c>
      <c r="J2390" t="s">
        <v>1913</v>
      </c>
      <c r="K2390" t="str">
        <f t="shared" si="333"/>
        <v>5030.9</v>
      </c>
      <c r="N2390" t="str">
        <f t="shared" si="334"/>
        <v>HOLDING REGISTER</v>
      </c>
      <c r="O2390" t="str">
        <f t="shared" si="335"/>
        <v>BOOL</v>
      </c>
      <c r="P2390" t="str">
        <f t="shared" si="336"/>
        <v>TELECAMERA T06S</v>
      </c>
      <c r="R2390" t="str">
        <f t="shared" si="337"/>
        <v>CODA IN GALLERIA</v>
      </c>
      <c r="U2390" t="str">
        <f t="shared" si="338"/>
        <v>Allarme</v>
      </c>
      <c r="V2390" t="str">
        <f t="shared" si="339"/>
        <v>DIREZIONE SUD</v>
      </c>
      <c r="W2390" t="str">
        <f t="shared" si="340"/>
        <v>GALLERIA CASOLA</v>
      </c>
      <c r="Z2390" t="str">
        <f t="shared" si="341"/>
        <v>10.220.80.16</v>
      </c>
    </row>
    <row r="2391" spans="1:26" x14ac:dyDescent="0.25">
      <c r="A2391" t="s">
        <v>10</v>
      </c>
      <c r="B2391" t="s">
        <v>1206</v>
      </c>
      <c r="C2391" t="s">
        <v>1618</v>
      </c>
      <c r="D2391" t="s">
        <v>1619</v>
      </c>
      <c r="E2391" t="s">
        <v>1674</v>
      </c>
      <c r="F2391" t="s">
        <v>14</v>
      </c>
      <c r="G2391" t="s">
        <v>1375</v>
      </c>
      <c r="H2391" t="s">
        <v>22</v>
      </c>
      <c r="I2391" t="s">
        <v>3256</v>
      </c>
      <c r="J2391" t="s">
        <v>1375</v>
      </c>
      <c r="K2391" t="str">
        <f t="shared" si="333"/>
        <v>5030.10</v>
      </c>
      <c r="N2391" t="str">
        <f t="shared" si="334"/>
        <v>HOLDING REGISTER</v>
      </c>
      <c r="O2391" t="str">
        <f t="shared" si="335"/>
        <v>BOOL</v>
      </c>
      <c r="P2391" t="str">
        <f t="shared" si="336"/>
        <v>TELECAMERA T06S</v>
      </c>
      <c r="R2391" t="str">
        <f t="shared" si="337"/>
        <v>disponibile</v>
      </c>
      <c r="U2391" t="str">
        <f t="shared" si="338"/>
        <v>disponibile</v>
      </c>
      <c r="V2391" t="str">
        <f t="shared" si="339"/>
        <v>DIREZIONE SUD</v>
      </c>
      <c r="W2391" t="str">
        <f t="shared" si="340"/>
        <v>GALLERIA CASOLA</v>
      </c>
      <c r="Z2391" t="str">
        <f t="shared" si="341"/>
        <v>10.220.80.16</v>
      </c>
    </row>
    <row r="2392" spans="1:26" x14ac:dyDescent="0.25">
      <c r="A2392" t="s">
        <v>10</v>
      </c>
      <c r="B2392" t="s">
        <v>1206</v>
      </c>
      <c r="C2392" t="s">
        <v>1618</v>
      </c>
      <c r="D2392" t="s">
        <v>1619</v>
      </c>
      <c r="E2392" t="s">
        <v>1674</v>
      </c>
      <c r="F2392" t="s">
        <v>14</v>
      </c>
      <c r="G2392" t="s">
        <v>1375</v>
      </c>
      <c r="H2392" t="s">
        <v>22</v>
      </c>
      <c r="I2392" t="s">
        <v>3257</v>
      </c>
      <c r="J2392" t="s">
        <v>1375</v>
      </c>
      <c r="K2392" t="str">
        <f t="shared" si="333"/>
        <v>5030.11</v>
      </c>
      <c r="N2392" t="str">
        <f t="shared" si="334"/>
        <v>HOLDING REGISTER</v>
      </c>
      <c r="O2392" t="str">
        <f t="shared" si="335"/>
        <v>BOOL</v>
      </c>
      <c r="P2392" t="str">
        <f t="shared" si="336"/>
        <v>TELECAMERA T06S</v>
      </c>
      <c r="R2392" t="str">
        <f t="shared" si="337"/>
        <v>disponibile</v>
      </c>
      <c r="U2392" t="str">
        <f t="shared" si="338"/>
        <v>disponibile</v>
      </c>
      <c r="V2392" t="str">
        <f t="shared" si="339"/>
        <v>DIREZIONE SUD</v>
      </c>
      <c r="W2392" t="str">
        <f t="shared" si="340"/>
        <v>GALLERIA CASOLA</v>
      </c>
      <c r="Z2392" t="str">
        <f t="shared" si="341"/>
        <v>10.220.80.16</v>
      </c>
    </row>
    <row r="2393" spans="1:26" x14ac:dyDescent="0.25">
      <c r="A2393" t="s">
        <v>10</v>
      </c>
      <c r="B2393" t="s">
        <v>1206</v>
      </c>
      <c r="C2393" t="s">
        <v>1618</v>
      </c>
      <c r="D2393" t="s">
        <v>1619</v>
      </c>
      <c r="E2393" t="s">
        <v>1674</v>
      </c>
      <c r="F2393" t="s">
        <v>14</v>
      </c>
      <c r="G2393" t="s">
        <v>1375</v>
      </c>
      <c r="H2393" t="s">
        <v>22</v>
      </c>
      <c r="I2393" t="s">
        <v>3258</v>
      </c>
      <c r="J2393" t="s">
        <v>1375</v>
      </c>
      <c r="K2393" t="str">
        <f t="shared" si="333"/>
        <v>5030.12</v>
      </c>
      <c r="N2393" t="str">
        <f t="shared" si="334"/>
        <v>HOLDING REGISTER</v>
      </c>
      <c r="O2393" t="str">
        <f t="shared" si="335"/>
        <v>BOOL</v>
      </c>
      <c r="P2393" t="str">
        <f t="shared" si="336"/>
        <v>TELECAMERA T06S</v>
      </c>
      <c r="R2393" t="str">
        <f t="shared" si="337"/>
        <v>disponibile</v>
      </c>
      <c r="U2393" t="str">
        <f t="shared" si="338"/>
        <v>disponibile</v>
      </c>
      <c r="V2393" t="str">
        <f t="shared" si="339"/>
        <v>DIREZIONE SUD</v>
      </c>
      <c r="W2393" t="str">
        <f t="shared" si="340"/>
        <v>GALLERIA CASOLA</v>
      </c>
      <c r="Z2393" t="str">
        <f t="shared" si="341"/>
        <v>10.220.80.16</v>
      </c>
    </row>
    <row r="2394" spans="1:26" x14ac:dyDescent="0.25">
      <c r="A2394" t="s">
        <v>10</v>
      </c>
      <c r="B2394" t="s">
        <v>1206</v>
      </c>
      <c r="C2394" t="s">
        <v>1618</v>
      </c>
      <c r="D2394" t="s">
        <v>1619</v>
      </c>
      <c r="E2394" t="s">
        <v>1674</v>
      </c>
      <c r="F2394" t="s">
        <v>14</v>
      </c>
      <c r="G2394" t="s">
        <v>1375</v>
      </c>
      <c r="H2394" t="s">
        <v>22</v>
      </c>
      <c r="I2394" t="s">
        <v>3259</v>
      </c>
      <c r="J2394" t="s">
        <v>1375</v>
      </c>
      <c r="K2394" t="str">
        <f t="shared" si="333"/>
        <v>5030.13</v>
      </c>
      <c r="N2394" t="str">
        <f t="shared" si="334"/>
        <v>HOLDING REGISTER</v>
      </c>
      <c r="O2394" t="str">
        <f t="shared" si="335"/>
        <v>BOOL</v>
      </c>
      <c r="P2394" t="str">
        <f t="shared" si="336"/>
        <v>TELECAMERA T06S</v>
      </c>
      <c r="R2394" t="str">
        <f t="shared" si="337"/>
        <v>disponibile</v>
      </c>
      <c r="U2394" t="str">
        <f t="shared" si="338"/>
        <v>disponibile</v>
      </c>
      <c r="V2394" t="str">
        <f t="shared" si="339"/>
        <v>DIREZIONE SUD</v>
      </c>
      <c r="W2394" t="str">
        <f t="shared" si="340"/>
        <v>GALLERIA CASOLA</v>
      </c>
      <c r="Z2394" t="str">
        <f t="shared" si="341"/>
        <v>10.220.80.16</v>
      </c>
    </row>
    <row r="2395" spans="1:26" x14ac:dyDescent="0.25">
      <c r="A2395" t="s">
        <v>10</v>
      </c>
      <c r="B2395" t="s">
        <v>1206</v>
      </c>
      <c r="C2395" t="s">
        <v>1618</v>
      </c>
      <c r="D2395" t="s">
        <v>1619</v>
      </c>
      <c r="E2395" t="s">
        <v>1674</v>
      </c>
      <c r="F2395" t="s">
        <v>14</v>
      </c>
      <c r="G2395" t="s">
        <v>1375</v>
      </c>
      <c r="H2395" t="s">
        <v>22</v>
      </c>
      <c r="I2395" t="s">
        <v>3260</v>
      </c>
      <c r="J2395" t="s">
        <v>1375</v>
      </c>
      <c r="K2395" t="str">
        <f t="shared" si="333"/>
        <v>5030.14</v>
      </c>
      <c r="N2395" t="str">
        <f t="shared" si="334"/>
        <v>HOLDING REGISTER</v>
      </c>
      <c r="O2395" t="str">
        <f t="shared" si="335"/>
        <v>BOOL</v>
      </c>
      <c r="P2395" t="str">
        <f t="shared" si="336"/>
        <v>TELECAMERA T06S</v>
      </c>
      <c r="R2395" t="str">
        <f t="shared" si="337"/>
        <v>disponibile</v>
      </c>
      <c r="U2395" t="str">
        <f t="shared" si="338"/>
        <v>disponibile</v>
      </c>
      <c r="V2395" t="str">
        <f t="shared" si="339"/>
        <v>DIREZIONE SUD</v>
      </c>
      <c r="W2395" t="str">
        <f t="shared" si="340"/>
        <v>GALLERIA CASOLA</v>
      </c>
      <c r="Z2395" t="str">
        <f t="shared" si="341"/>
        <v>10.220.80.16</v>
      </c>
    </row>
    <row r="2396" spans="1:26" x14ac:dyDescent="0.25">
      <c r="A2396" t="s">
        <v>10</v>
      </c>
      <c r="B2396" t="s">
        <v>1206</v>
      </c>
      <c r="C2396" t="s">
        <v>1618</v>
      </c>
      <c r="D2396" t="s">
        <v>1619</v>
      </c>
      <c r="E2396" t="s">
        <v>1674</v>
      </c>
      <c r="F2396" t="s">
        <v>14</v>
      </c>
      <c r="G2396" t="s">
        <v>1375</v>
      </c>
      <c r="H2396" t="s">
        <v>22</v>
      </c>
      <c r="I2396" t="s">
        <v>3261</v>
      </c>
      <c r="J2396" t="s">
        <v>1375</v>
      </c>
      <c r="K2396" t="str">
        <f t="shared" si="333"/>
        <v>5030.15</v>
      </c>
      <c r="N2396" t="str">
        <f t="shared" si="334"/>
        <v>HOLDING REGISTER</v>
      </c>
      <c r="O2396" t="str">
        <f t="shared" si="335"/>
        <v>BOOL</v>
      </c>
      <c r="P2396" t="str">
        <f t="shared" si="336"/>
        <v>TELECAMERA T06S</v>
      </c>
      <c r="R2396" t="str">
        <f t="shared" si="337"/>
        <v>disponibile</v>
      </c>
      <c r="U2396" t="str">
        <f t="shared" si="338"/>
        <v>disponibile</v>
      </c>
      <c r="V2396" t="str">
        <f t="shared" si="339"/>
        <v>DIREZIONE SUD</v>
      </c>
      <c r="W2396" t="str">
        <f t="shared" si="340"/>
        <v>GALLERIA CASOLA</v>
      </c>
      <c r="Z2396" t="str">
        <f t="shared" si="341"/>
        <v>10.220.80.16</v>
      </c>
    </row>
    <row r="2397" spans="1:26" x14ac:dyDescent="0.25">
      <c r="A2397" t="s">
        <v>10</v>
      </c>
      <c r="B2397" t="s">
        <v>1206</v>
      </c>
      <c r="C2397" t="s">
        <v>1618</v>
      </c>
      <c r="D2397" t="s">
        <v>1619</v>
      </c>
      <c r="E2397" t="s">
        <v>3067</v>
      </c>
      <c r="F2397" t="s">
        <v>14</v>
      </c>
      <c r="G2397" t="s">
        <v>28</v>
      </c>
      <c r="H2397" t="s">
        <v>22</v>
      </c>
      <c r="I2397" t="s">
        <v>3262</v>
      </c>
      <c r="J2397" t="s">
        <v>1897</v>
      </c>
      <c r="K2397" t="str">
        <f t="shared" si="333"/>
        <v>5031.0</v>
      </c>
      <c r="N2397" t="str">
        <f t="shared" si="334"/>
        <v>HOLDING REGISTER</v>
      </c>
      <c r="O2397" t="str">
        <f t="shared" si="335"/>
        <v>BOOL</v>
      </c>
      <c r="P2397" t="str">
        <f t="shared" si="336"/>
        <v>TELECAMERA T09S</v>
      </c>
      <c r="R2397" t="str">
        <f t="shared" si="337"/>
        <v>PERDITA SEGNALE VIDEO</v>
      </c>
      <c r="U2397" t="str">
        <f t="shared" si="338"/>
        <v>Allarme</v>
      </c>
      <c r="V2397" t="str">
        <f t="shared" si="339"/>
        <v>DIREZIONE SUD</v>
      </c>
      <c r="W2397" t="str">
        <f t="shared" si="340"/>
        <v>GALLERIA CASOLA</v>
      </c>
      <c r="Z2397" t="str">
        <f t="shared" si="341"/>
        <v>10.220.80.16</v>
      </c>
    </row>
    <row r="2398" spans="1:26" x14ac:dyDescent="0.25">
      <c r="A2398" t="s">
        <v>10</v>
      </c>
      <c r="B2398" t="s">
        <v>1206</v>
      </c>
      <c r="C2398" t="s">
        <v>1618</v>
      </c>
      <c r="D2398" t="s">
        <v>1619</v>
      </c>
      <c r="E2398" t="s">
        <v>3067</v>
      </c>
      <c r="F2398" t="s">
        <v>14</v>
      </c>
      <c r="G2398" t="s">
        <v>28</v>
      </c>
      <c r="H2398" t="s">
        <v>22</v>
      </c>
      <c r="I2398" t="s">
        <v>3263</v>
      </c>
      <c r="J2398" t="s">
        <v>1899</v>
      </c>
      <c r="K2398" t="str">
        <f t="shared" si="333"/>
        <v>5031.1</v>
      </c>
      <c r="N2398" t="str">
        <f t="shared" si="334"/>
        <v>HOLDING REGISTER</v>
      </c>
      <c r="O2398" t="str">
        <f t="shared" si="335"/>
        <v>BOOL</v>
      </c>
      <c r="P2398" t="str">
        <f t="shared" si="336"/>
        <v>TELECAMERA T09S</v>
      </c>
      <c r="R2398" t="str">
        <f t="shared" si="337"/>
        <v>MANOMISSIONE</v>
      </c>
      <c r="U2398" t="str">
        <f t="shared" si="338"/>
        <v>Allarme</v>
      </c>
      <c r="V2398" t="str">
        <f t="shared" si="339"/>
        <v>DIREZIONE SUD</v>
      </c>
      <c r="W2398" t="str">
        <f t="shared" si="340"/>
        <v>GALLERIA CASOLA</v>
      </c>
      <c r="Z2398" t="str">
        <f t="shared" si="341"/>
        <v>10.220.80.16</v>
      </c>
    </row>
    <row r="2399" spans="1:26" x14ac:dyDescent="0.25">
      <c r="A2399" t="s">
        <v>10</v>
      </c>
      <c r="B2399" t="s">
        <v>1206</v>
      </c>
      <c r="C2399" t="s">
        <v>1618</v>
      </c>
      <c r="D2399" t="s">
        <v>1619</v>
      </c>
      <c r="E2399" t="s">
        <v>3067</v>
      </c>
      <c r="F2399" t="s">
        <v>14</v>
      </c>
      <c r="G2399" t="s">
        <v>1375</v>
      </c>
      <c r="H2399" t="s">
        <v>22</v>
      </c>
      <c r="I2399" t="s">
        <v>3264</v>
      </c>
      <c r="J2399" t="s">
        <v>1375</v>
      </c>
      <c r="K2399" t="str">
        <f t="shared" si="333"/>
        <v>5031.2</v>
      </c>
      <c r="N2399" t="str">
        <f t="shared" si="334"/>
        <v>HOLDING REGISTER</v>
      </c>
      <c r="O2399" t="str">
        <f t="shared" si="335"/>
        <v>BOOL</v>
      </c>
      <c r="P2399" t="str">
        <f t="shared" si="336"/>
        <v>TELECAMERA T09S</v>
      </c>
      <c r="R2399" t="str">
        <f t="shared" si="337"/>
        <v>disponibile</v>
      </c>
      <c r="U2399" t="str">
        <f t="shared" si="338"/>
        <v>disponibile</v>
      </c>
      <c r="V2399" t="str">
        <f t="shared" si="339"/>
        <v>DIREZIONE SUD</v>
      </c>
      <c r="W2399" t="str">
        <f t="shared" si="340"/>
        <v>GALLERIA CASOLA</v>
      </c>
      <c r="Z2399" t="str">
        <f t="shared" si="341"/>
        <v>10.220.80.16</v>
      </c>
    </row>
    <row r="2400" spans="1:26" x14ac:dyDescent="0.25">
      <c r="A2400" t="s">
        <v>10</v>
      </c>
      <c r="B2400" t="s">
        <v>1206</v>
      </c>
      <c r="C2400" t="s">
        <v>1618</v>
      </c>
      <c r="D2400" t="s">
        <v>1619</v>
      </c>
      <c r="E2400" t="s">
        <v>3067</v>
      </c>
      <c r="F2400" t="s">
        <v>14</v>
      </c>
      <c r="G2400" t="s">
        <v>28</v>
      </c>
      <c r="H2400" t="s">
        <v>22</v>
      </c>
      <c r="I2400" t="s">
        <v>3265</v>
      </c>
      <c r="J2400" t="s">
        <v>1902</v>
      </c>
      <c r="K2400" t="str">
        <f t="shared" si="333"/>
        <v>5031.3</v>
      </c>
      <c r="N2400" t="str">
        <f t="shared" si="334"/>
        <v>HOLDING REGISTER</v>
      </c>
      <c r="O2400" t="str">
        <f t="shared" si="335"/>
        <v>BOOL</v>
      </c>
      <c r="P2400" t="str">
        <f t="shared" si="336"/>
        <v>TELECAMERA T09S</v>
      </c>
      <c r="R2400" t="str">
        <f t="shared" si="337"/>
        <v>VEICOLO FERMO</v>
      </c>
      <c r="U2400" t="str">
        <f t="shared" si="338"/>
        <v>Allarme</v>
      </c>
      <c r="V2400" t="str">
        <f t="shared" si="339"/>
        <v>DIREZIONE SUD</v>
      </c>
      <c r="W2400" t="str">
        <f t="shared" si="340"/>
        <v>GALLERIA CASOLA</v>
      </c>
      <c r="Z2400" t="str">
        <f t="shared" si="341"/>
        <v>10.220.80.16</v>
      </c>
    </row>
    <row r="2401" spans="1:26" x14ac:dyDescent="0.25">
      <c r="A2401" t="s">
        <v>10</v>
      </c>
      <c r="B2401" t="s">
        <v>1206</v>
      </c>
      <c r="C2401" t="s">
        <v>1618</v>
      </c>
      <c r="D2401" t="s">
        <v>1619</v>
      </c>
      <c r="E2401" t="s">
        <v>3067</v>
      </c>
      <c r="F2401" t="s">
        <v>14</v>
      </c>
      <c r="G2401" t="s">
        <v>28</v>
      </c>
      <c r="H2401" t="s">
        <v>22</v>
      </c>
      <c r="I2401" t="s">
        <v>3266</v>
      </c>
      <c r="J2401" t="s">
        <v>1904</v>
      </c>
      <c r="K2401" t="str">
        <f t="shared" si="333"/>
        <v>5031.4</v>
      </c>
      <c r="N2401" t="str">
        <f t="shared" si="334"/>
        <v>HOLDING REGISTER</v>
      </c>
      <c r="O2401" t="str">
        <f t="shared" si="335"/>
        <v>BOOL</v>
      </c>
      <c r="P2401" t="str">
        <f t="shared" si="336"/>
        <v>TELECAMERA T09S</v>
      </c>
      <c r="R2401" t="str">
        <f t="shared" si="337"/>
        <v>CARICO DISPERSO</v>
      </c>
      <c r="U2401" t="str">
        <f t="shared" si="338"/>
        <v>Allarme</v>
      </c>
      <c r="V2401" t="str">
        <f t="shared" si="339"/>
        <v>DIREZIONE SUD</v>
      </c>
      <c r="W2401" t="str">
        <f t="shared" si="340"/>
        <v>GALLERIA CASOLA</v>
      </c>
      <c r="Z2401" t="str">
        <f t="shared" si="341"/>
        <v>10.220.80.16</v>
      </c>
    </row>
    <row r="2402" spans="1:26" x14ac:dyDescent="0.25">
      <c r="A2402" t="s">
        <v>10</v>
      </c>
      <c r="B2402" t="s">
        <v>1206</v>
      </c>
      <c r="C2402" t="s">
        <v>1618</v>
      </c>
      <c r="D2402" t="s">
        <v>1619</v>
      </c>
      <c r="E2402" t="s">
        <v>3067</v>
      </c>
      <c r="F2402" t="s">
        <v>14</v>
      </c>
      <c r="G2402" t="s">
        <v>1375</v>
      </c>
      <c r="H2402" t="s">
        <v>22</v>
      </c>
      <c r="I2402" t="s">
        <v>3267</v>
      </c>
      <c r="J2402" t="s">
        <v>1375</v>
      </c>
      <c r="K2402" t="str">
        <f t="shared" si="333"/>
        <v>5031.5</v>
      </c>
      <c r="N2402" t="str">
        <f t="shared" si="334"/>
        <v>HOLDING REGISTER</v>
      </c>
      <c r="O2402" t="str">
        <f t="shared" si="335"/>
        <v>BOOL</v>
      </c>
      <c r="P2402" t="str">
        <f t="shared" si="336"/>
        <v>TELECAMERA T09S</v>
      </c>
      <c r="R2402" t="str">
        <f t="shared" si="337"/>
        <v>disponibile</v>
      </c>
      <c r="U2402" t="str">
        <f t="shared" si="338"/>
        <v>disponibile</v>
      </c>
      <c r="V2402" t="str">
        <f t="shared" si="339"/>
        <v>DIREZIONE SUD</v>
      </c>
      <c r="W2402" t="str">
        <f t="shared" si="340"/>
        <v>GALLERIA CASOLA</v>
      </c>
      <c r="Z2402" t="str">
        <f t="shared" si="341"/>
        <v>10.220.80.16</v>
      </c>
    </row>
    <row r="2403" spans="1:26" x14ac:dyDescent="0.25">
      <c r="A2403" t="s">
        <v>10</v>
      </c>
      <c r="B2403" t="s">
        <v>1206</v>
      </c>
      <c r="C2403" t="s">
        <v>1618</v>
      </c>
      <c r="D2403" t="s">
        <v>1619</v>
      </c>
      <c r="E2403" t="s">
        <v>3067</v>
      </c>
      <c r="F2403" t="s">
        <v>14</v>
      </c>
      <c r="G2403" t="s">
        <v>28</v>
      </c>
      <c r="H2403" t="s">
        <v>22</v>
      </c>
      <c r="I2403" t="s">
        <v>3268</v>
      </c>
      <c r="J2403" t="s">
        <v>1907</v>
      </c>
      <c r="K2403" t="str">
        <f t="shared" si="333"/>
        <v>5031.6</v>
      </c>
      <c r="N2403" t="str">
        <f t="shared" si="334"/>
        <v>HOLDING REGISTER</v>
      </c>
      <c r="O2403" t="str">
        <f t="shared" si="335"/>
        <v>BOOL</v>
      </c>
      <c r="P2403" t="str">
        <f t="shared" si="336"/>
        <v>TELECAMERA T09S</v>
      </c>
      <c r="R2403" t="str">
        <f t="shared" si="337"/>
        <v>PEDONE</v>
      </c>
      <c r="U2403" t="str">
        <f t="shared" si="338"/>
        <v>Allarme</v>
      </c>
      <c r="V2403" t="str">
        <f t="shared" si="339"/>
        <v>DIREZIONE SUD</v>
      </c>
      <c r="W2403" t="str">
        <f t="shared" si="340"/>
        <v>GALLERIA CASOLA</v>
      </c>
      <c r="Z2403" t="str">
        <f t="shared" si="341"/>
        <v>10.220.80.16</v>
      </c>
    </row>
    <row r="2404" spans="1:26" x14ac:dyDescent="0.25">
      <c r="A2404" t="s">
        <v>10</v>
      </c>
      <c r="B2404" t="s">
        <v>1206</v>
      </c>
      <c r="C2404" t="s">
        <v>1618</v>
      </c>
      <c r="D2404" t="s">
        <v>1619</v>
      </c>
      <c r="E2404" t="s">
        <v>3067</v>
      </c>
      <c r="F2404" t="s">
        <v>14</v>
      </c>
      <c r="G2404" t="s">
        <v>28</v>
      </c>
      <c r="H2404" t="s">
        <v>22</v>
      </c>
      <c r="I2404" t="s">
        <v>3269</v>
      </c>
      <c r="J2404" t="s">
        <v>1909</v>
      </c>
      <c r="K2404" t="str">
        <f t="shared" si="333"/>
        <v>5031.7</v>
      </c>
      <c r="N2404" t="str">
        <f t="shared" si="334"/>
        <v>HOLDING REGISTER</v>
      </c>
      <c r="O2404" t="str">
        <f t="shared" si="335"/>
        <v>BOOL</v>
      </c>
      <c r="P2404" t="str">
        <f t="shared" si="336"/>
        <v>TELECAMERA T09S</v>
      </c>
      <c r="R2404" t="str">
        <f t="shared" si="337"/>
        <v>FUMO</v>
      </c>
      <c r="U2404" t="str">
        <f t="shared" si="338"/>
        <v>Allarme</v>
      </c>
      <c r="V2404" t="str">
        <f t="shared" si="339"/>
        <v>DIREZIONE SUD</v>
      </c>
      <c r="W2404" t="str">
        <f t="shared" si="340"/>
        <v>GALLERIA CASOLA</v>
      </c>
      <c r="Z2404" t="str">
        <f t="shared" si="341"/>
        <v>10.220.80.16</v>
      </c>
    </row>
    <row r="2405" spans="1:26" x14ac:dyDescent="0.25">
      <c r="A2405" t="s">
        <v>10</v>
      </c>
      <c r="B2405" t="s">
        <v>1206</v>
      </c>
      <c r="C2405" t="s">
        <v>1618</v>
      </c>
      <c r="D2405" t="s">
        <v>1619</v>
      </c>
      <c r="E2405" t="s">
        <v>3067</v>
      </c>
      <c r="F2405" t="s">
        <v>14</v>
      </c>
      <c r="G2405" t="s">
        <v>28</v>
      </c>
      <c r="H2405" t="s">
        <v>22</v>
      </c>
      <c r="I2405" t="s">
        <v>3270</v>
      </c>
      <c r="J2405" t="s">
        <v>1911</v>
      </c>
      <c r="K2405" t="str">
        <f t="shared" si="333"/>
        <v>5031.8</v>
      </c>
      <c r="N2405" t="str">
        <f t="shared" si="334"/>
        <v>HOLDING REGISTER</v>
      </c>
      <c r="O2405" t="str">
        <f t="shared" si="335"/>
        <v>BOOL</v>
      </c>
      <c r="P2405" t="str">
        <f t="shared" si="336"/>
        <v>TELECAMERA T09S</v>
      </c>
      <c r="R2405" t="str">
        <f t="shared" si="337"/>
        <v>RALLENTAMENTI</v>
      </c>
      <c r="U2405" t="str">
        <f t="shared" si="338"/>
        <v>Allarme</v>
      </c>
      <c r="V2405" t="str">
        <f t="shared" si="339"/>
        <v>DIREZIONE SUD</v>
      </c>
      <c r="W2405" t="str">
        <f t="shared" si="340"/>
        <v>GALLERIA CASOLA</v>
      </c>
      <c r="Z2405" t="str">
        <f t="shared" si="341"/>
        <v>10.220.80.16</v>
      </c>
    </row>
    <row r="2406" spans="1:26" x14ac:dyDescent="0.25">
      <c r="A2406" t="s">
        <v>10</v>
      </c>
      <c r="B2406" t="s">
        <v>1206</v>
      </c>
      <c r="C2406" t="s">
        <v>1618</v>
      </c>
      <c r="D2406" t="s">
        <v>1619</v>
      </c>
      <c r="E2406" t="s">
        <v>3067</v>
      </c>
      <c r="F2406" t="s">
        <v>14</v>
      </c>
      <c r="G2406" t="s">
        <v>28</v>
      </c>
      <c r="H2406" t="s">
        <v>22</v>
      </c>
      <c r="I2406" t="s">
        <v>3271</v>
      </c>
      <c r="J2406" t="s">
        <v>1913</v>
      </c>
      <c r="K2406" t="str">
        <f t="shared" si="333"/>
        <v>5031.9</v>
      </c>
      <c r="N2406" t="str">
        <f t="shared" si="334"/>
        <v>HOLDING REGISTER</v>
      </c>
      <c r="O2406" t="str">
        <f t="shared" si="335"/>
        <v>BOOL</v>
      </c>
      <c r="P2406" t="str">
        <f t="shared" si="336"/>
        <v>TELECAMERA T09S</v>
      </c>
      <c r="R2406" t="str">
        <f t="shared" si="337"/>
        <v>CODA IN GALLERIA</v>
      </c>
      <c r="U2406" t="str">
        <f t="shared" si="338"/>
        <v>Allarme</v>
      </c>
      <c r="V2406" t="str">
        <f t="shared" si="339"/>
        <v>DIREZIONE SUD</v>
      </c>
      <c r="W2406" t="str">
        <f t="shared" si="340"/>
        <v>GALLERIA CASOLA</v>
      </c>
      <c r="Z2406" t="str">
        <f t="shared" si="341"/>
        <v>10.220.80.16</v>
      </c>
    </row>
    <row r="2407" spans="1:26" x14ac:dyDescent="0.25">
      <c r="A2407" t="s">
        <v>10</v>
      </c>
      <c r="B2407" t="s">
        <v>1206</v>
      </c>
      <c r="C2407" t="s">
        <v>1618</v>
      </c>
      <c r="D2407" t="s">
        <v>1619</v>
      </c>
      <c r="E2407" t="s">
        <v>3067</v>
      </c>
      <c r="F2407" t="s">
        <v>14</v>
      </c>
      <c r="G2407" t="s">
        <v>1375</v>
      </c>
      <c r="H2407" t="s">
        <v>22</v>
      </c>
      <c r="I2407" t="s">
        <v>3272</v>
      </c>
      <c r="J2407" t="s">
        <v>1375</v>
      </c>
      <c r="K2407" t="str">
        <f t="shared" si="333"/>
        <v>5031.10</v>
      </c>
      <c r="N2407" t="str">
        <f t="shared" si="334"/>
        <v>HOLDING REGISTER</v>
      </c>
      <c r="O2407" t="str">
        <f t="shared" si="335"/>
        <v>BOOL</v>
      </c>
      <c r="P2407" t="str">
        <f t="shared" si="336"/>
        <v>TELECAMERA T09S</v>
      </c>
      <c r="R2407" t="str">
        <f t="shared" si="337"/>
        <v>disponibile</v>
      </c>
      <c r="U2407" t="str">
        <f t="shared" si="338"/>
        <v>disponibile</v>
      </c>
      <c r="V2407" t="str">
        <f t="shared" si="339"/>
        <v>DIREZIONE SUD</v>
      </c>
      <c r="W2407" t="str">
        <f t="shared" si="340"/>
        <v>GALLERIA CASOLA</v>
      </c>
      <c r="Z2407" t="str">
        <f t="shared" si="341"/>
        <v>10.220.80.16</v>
      </c>
    </row>
    <row r="2408" spans="1:26" x14ac:dyDescent="0.25">
      <c r="A2408" t="s">
        <v>10</v>
      </c>
      <c r="B2408" t="s">
        <v>1206</v>
      </c>
      <c r="C2408" t="s">
        <v>1618</v>
      </c>
      <c r="D2408" t="s">
        <v>1619</v>
      </c>
      <c r="E2408" t="s">
        <v>3067</v>
      </c>
      <c r="F2408" t="s">
        <v>14</v>
      </c>
      <c r="G2408" t="s">
        <v>1375</v>
      </c>
      <c r="H2408" t="s">
        <v>22</v>
      </c>
      <c r="I2408" t="s">
        <v>3273</v>
      </c>
      <c r="J2408" t="s">
        <v>1375</v>
      </c>
      <c r="K2408" t="str">
        <f t="shared" si="333"/>
        <v>5031.11</v>
      </c>
      <c r="N2408" t="str">
        <f t="shared" si="334"/>
        <v>HOLDING REGISTER</v>
      </c>
      <c r="O2408" t="str">
        <f t="shared" si="335"/>
        <v>BOOL</v>
      </c>
      <c r="P2408" t="str">
        <f t="shared" si="336"/>
        <v>TELECAMERA T09S</v>
      </c>
      <c r="R2408" t="str">
        <f t="shared" si="337"/>
        <v>disponibile</v>
      </c>
      <c r="U2408" t="str">
        <f t="shared" si="338"/>
        <v>disponibile</v>
      </c>
      <c r="V2408" t="str">
        <f t="shared" si="339"/>
        <v>DIREZIONE SUD</v>
      </c>
      <c r="W2408" t="str">
        <f t="shared" si="340"/>
        <v>GALLERIA CASOLA</v>
      </c>
      <c r="Z2408" t="str">
        <f t="shared" si="341"/>
        <v>10.220.80.16</v>
      </c>
    </row>
    <row r="2409" spans="1:26" x14ac:dyDescent="0.25">
      <c r="A2409" t="s">
        <v>10</v>
      </c>
      <c r="B2409" t="s">
        <v>1206</v>
      </c>
      <c r="C2409" t="s">
        <v>1618</v>
      </c>
      <c r="D2409" t="s">
        <v>1619</v>
      </c>
      <c r="E2409" t="s">
        <v>3067</v>
      </c>
      <c r="F2409" t="s">
        <v>14</v>
      </c>
      <c r="G2409" t="s">
        <v>1375</v>
      </c>
      <c r="H2409" t="s">
        <v>22</v>
      </c>
      <c r="I2409" t="s">
        <v>3274</v>
      </c>
      <c r="J2409" t="s">
        <v>1375</v>
      </c>
      <c r="K2409" t="str">
        <f t="shared" si="333"/>
        <v>5031.12</v>
      </c>
      <c r="N2409" t="str">
        <f t="shared" si="334"/>
        <v>HOLDING REGISTER</v>
      </c>
      <c r="O2409" t="str">
        <f t="shared" si="335"/>
        <v>BOOL</v>
      </c>
      <c r="P2409" t="str">
        <f t="shared" si="336"/>
        <v>TELECAMERA T09S</v>
      </c>
      <c r="R2409" t="str">
        <f t="shared" si="337"/>
        <v>disponibile</v>
      </c>
      <c r="U2409" t="str">
        <f t="shared" si="338"/>
        <v>disponibile</v>
      </c>
      <c r="V2409" t="str">
        <f t="shared" si="339"/>
        <v>DIREZIONE SUD</v>
      </c>
      <c r="W2409" t="str">
        <f t="shared" si="340"/>
        <v>GALLERIA CASOLA</v>
      </c>
      <c r="Z2409" t="str">
        <f t="shared" si="341"/>
        <v>10.220.80.16</v>
      </c>
    </row>
    <row r="2410" spans="1:26" x14ac:dyDescent="0.25">
      <c r="A2410" t="s">
        <v>10</v>
      </c>
      <c r="B2410" t="s">
        <v>1206</v>
      </c>
      <c r="C2410" t="s">
        <v>1618</v>
      </c>
      <c r="D2410" t="s">
        <v>1619</v>
      </c>
      <c r="E2410" t="s">
        <v>3067</v>
      </c>
      <c r="F2410" t="s">
        <v>14</v>
      </c>
      <c r="G2410" t="s">
        <v>1375</v>
      </c>
      <c r="H2410" t="s">
        <v>22</v>
      </c>
      <c r="I2410" t="s">
        <v>3275</v>
      </c>
      <c r="J2410" t="s">
        <v>1375</v>
      </c>
      <c r="K2410" t="str">
        <f t="shared" si="333"/>
        <v>5031.13</v>
      </c>
      <c r="N2410" t="str">
        <f t="shared" si="334"/>
        <v>HOLDING REGISTER</v>
      </c>
      <c r="O2410" t="str">
        <f t="shared" si="335"/>
        <v>BOOL</v>
      </c>
      <c r="P2410" t="str">
        <f t="shared" si="336"/>
        <v>TELECAMERA T09S</v>
      </c>
      <c r="R2410" t="str">
        <f t="shared" si="337"/>
        <v>disponibile</v>
      </c>
      <c r="U2410" t="str">
        <f t="shared" si="338"/>
        <v>disponibile</v>
      </c>
      <c r="V2410" t="str">
        <f t="shared" si="339"/>
        <v>DIREZIONE SUD</v>
      </c>
      <c r="W2410" t="str">
        <f t="shared" si="340"/>
        <v>GALLERIA CASOLA</v>
      </c>
      <c r="Z2410" t="str">
        <f t="shared" si="341"/>
        <v>10.220.80.16</v>
      </c>
    </row>
    <row r="2411" spans="1:26" x14ac:dyDescent="0.25">
      <c r="A2411" t="s">
        <v>10</v>
      </c>
      <c r="B2411" t="s">
        <v>1206</v>
      </c>
      <c r="C2411" t="s">
        <v>1618</v>
      </c>
      <c r="D2411" t="s">
        <v>1619</v>
      </c>
      <c r="E2411" t="s">
        <v>3067</v>
      </c>
      <c r="F2411" t="s">
        <v>14</v>
      </c>
      <c r="G2411" t="s">
        <v>1375</v>
      </c>
      <c r="H2411" t="s">
        <v>22</v>
      </c>
      <c r="I2411" t="s">
        <v>3276</v>
      </c>
      <c r="J2411" t="s">
        <v>1375</v>
      </c>
      <c r="K2411" t="str">
        <f t="shared" si="333"/>
        <v>5031.14</v>
      </c>
      <c r="N2411" t="str">
        <f t="shared" si="334"/>
        <v>HOLDING REGISTER</v>
      </c>
      <c r="O2411" t="str">
        <f t="shared" si="335"/>
        <v>BOOL</v>
      </c>
      <c r="P2411" t="str">
        <f t="shared" si="336"/>
        <v>TELECAMERA T09S</v>
      </c>
      <c r="R2411" t="str">
        <f t="shared" si="337"/>
        <v>disponibile</v>
      </c>
      <c r="U2411" t="str">
        <f t="shared" si="338"/>
        <v>disponibile</v>
      </c>
      <c r="V2411" t="str">
        <f t="shared" si="339"/>
        <v>DIREZIONE SUD</v>
      </c>
      <c r="W2411" t="str">
        <f t="shared" si="340"/>
        <v>GALLERIA CASOLA</v>
      </c>
      <c r="Z2411" t="str">
        <f t="shared" si="341"/>
        <v>10.220.80.16</v>
      </c>
    </row>
    <row r="2412" spans="1:26" x14ac:dyDescent="0.25">
      <c r="A2412" t="s">
        <v>10</v>
      </c>
      <c r="B2412" t="s">
        <v>1206</v>
      </c>
      <c r="C2412" t="s">
        <v>1618</v>
      </c>
      <c r="D2412" t="s">
        <v>1619</v>
      </c>
      <c r="E2412" t="s">
        <v>3067</v>
      </c>
      <c r="F2412" t="s">
        <v>14</v>
      </c>
      <c r="G2412" t="s">
        <v>1375</v>
      </c>
      <c r="H2412" t="s">
        <v>22</v>
      </c>
      <c r="I2412" t="s">
        <v>3277</v>
      </c>
      <c r="J2412" t="s">
        <v>1375</v>
      </c>
      <c r="K2412" t="str">
        <f t="shared" si="333"/>
        <v>5031.15</v>
      </c>
      <c r="N2412" t="str">
        <f t="shared" si="334"/>
        <v>HOLDING REGISTER</v>
      </c>
      <c r="O2412" t="str">
        <f t="shared" si="335"/>
        <v>BOOL</v>
      </c>
      <c r="P2412" t="str">
        <f t="shared" si="336"/>
        <v>TELECAMERA T09S</v>
      </c>
      <c r="R2412" t="str">
        <f t="shared" si="337"/>
        <v>disponibile</v>
      </c>
      <c r="U2412" t="str">
        <f t="shared" si="338"/>
        <v>disponibile</v>
      </c>
      <c r="V2412" t="str">
        <f t="shared" si="339"/>
        <v>DIREZIONE SUD</v>
      </c>
      <c r="W2412" t="str">
        <f t="shared" si="340"/>
        <v>GALLERIA CASOLA</v>
      </c>
      <c r="Z2412" t="str">
        <f t="shared" si="341"/>
        <v>10.220.80.16</v>
      </c>
    </row>
    <row r="2413" spans="1:26" x14ac:dyDescent="0.25">
      <c r="A2413" t="s">
        <v>10</v>
      </c>
      <c r="B2413" t="s">
        <v>1206</v>
      </c>
      <c r="C2413" t="s">
        <v>1618</v>
      </c>
      <c r="D2413" t="s">
        <v>1619</v>
      </c>
      <c r="E2413" t="s">
        <v>1708</v>
      </c>
      <c r="F2413" t="s">
        <v>14</v>
      </c>
      <c r="G2413" t="s">
        <v>28</v>
      </c>
      <c r="H2413" t="s">
        <v>22</v>
      </c>
      <c r="I2413" t="s">
        <v>3278</v>
      </c>
      <c r="J2413" t="s">
        <v>1897</v>
      </c>
      <c r="K2413" t="str">
        <f t="shared" si="333"/>
        <v>5032.0</v>
      </c>
      <c r="N2413" t="str">
        <f t="shared" si="334"/>
        <v>HOLDING REGISTER</v>
      </c>
      <c r="O2413" t="str">
        <f t="shared" si="335"/>
        <v>BOOL</v>
      </c>
      <c r="P2413" t="str">
        <f t="shared" si="336"/>
        <v>TELECAMERA T10S</v>
      </c>
      <c r="R2413" t="str">
        <f t="shared" si="337"/>
        <v>PERDITA SEGNALE VIDEO</v>
      </c>
      <c r="U2413" t="str">
        <f t="shared" si="338"/>
        <v>Allarme</v>
      </c>
      <c r="V2413" t="str">
        <f t="shared" si="339"/>
        <v>DIREZIONE SUD</v>
      </c>
      <c r="W2413" t="str">
        <f t="shared" si="340"/>
        <v>GALLERIA CASOLA</v>
      </c>
      <c r="Z2413" t="str">
        <f t="shared" si="341"/>
        <v>10.220.80.16</v>
      </c>
    </row>
    <row r="2414" spans="1:26" x14ac:dyDescent="0.25">
      <c r="A2414" t="s">
        <v>10</v>
      </c>
      <c r="B2414" t="s">
        <v>1206</v>
      </c>
      <c r="C2414" t="s">
        <v>1618</v>
      </c>
      <c r="D2414" t="s">
        <v>1619</v>
      </c>
      <c r="E2414" t="s">
        <v>1708</v>
      </c>
      <c r="F2414" t="s">
        <v>14</v>
      </c>
      <c r="G2414" t="s">
        <v>28</v>
      </c>
      <c r="H2414" t="s">
        <v>22</v>
      </c>
      <c r="I2414" t="s">
        <v>3279</v>
      </c>
      <c r="J2414" t="s">
        <v>1899</v>
      </c>
      <c r="K2414" t="str">
        <f t="shared" si="333"/>
        <v>5032.1</v>
      </c>
      <c r="N2414" t="str">
        <f t="shared" si="334"/>
        <v>HOLDING REGISTER</v>
      </c>
      <c r="O2414" t="str">
        <f t="shared" si="335"/>
        <v>BOOL</v>
      </c>
      <c r="P2414" t="str">
        <f t="shared" si="336"/>
        <v>TELECAMERA T10S</v>
      </c>
      <c r="R2414" t="str">
        <f t="shared" si="337"/>
        <v>MANOMISSIONE</v>
      </c>
      <c r="U2414" t="str">
        <f t="shared" si="338"/>
        <v>Allarme</v>
      </c>
      <c r="V2414" t="str">
        <f t="shared" si="339"/>
        <v>DIREZIONE SUD</v>
      </c>
      <c r="W2414" t="str">
        <f t="shared" si="340"/>
        <v>GALLERIA CASOLA</v>
      </c>
      <c r="Z2414" t="str">
        <f t="shared" si="341"/>
        <v>10.220.80.16</v>
      </c>
    </row>
    <row r="2415" spans="1:26" x14ac:dyDescent="0.25">
      <c r="A2415" t="s">
        <v>10</v>
      </c>
      <c r="B2415" t="s">
        <v>1206</v>
      </c>
      <c r="C2415" t="s">
        <v>1618</v>
      </c>
      <c r="D2415" t="s">
        <v>1619</v>
      </c>
      <c r="E2415" t="s">
        <v>1708</v>
      </c>
      <c r="F2415" t="s">
        <v>14</v>
      </c>
      <c r="G2415" t="s">
        <v>21</v>
      </c>
      <c r="H2415" t="s">
        <v>22</v>
      </c>
      <c r="I2415" t="s">
        <v>3280</v>
      </c>
      <c r="J2415" t="s">
        <v>1375</v>
      </c>
      <c r="K2415" t="str">
        <f t="shared" si="333"/>
        <v>5032.2</v>
      </c>
      <c r="N2415" t="str">
        <f t="shared" si="334"/>
        <v>HOLDING REGISTER</v>
      </c>
      <c r="O2415" t="str">
        <f t="shared" si="335"/>
        <v>BOOL</v>
      </c>
      <c r="P2415" t="str">
        <f t="shared" si="336"/>
        <v>TELECAMERA T10S</v>
      </c>
      <c r="R2415" t="str">
        <f t="shared" si="337"/>
        <v>disponibile</v>
      </c>
      <c r="U2415" t="str">
        <f t="shared" si="338"/>
        <v>Stato</v>
      </c>
      <c r="V2415" t="str">
        <f t="shared" si="339"/>
        <v>DIREZIONE SUD</v>
      </c>
      <c r="W2415" t="str">
        <f t="shared" si="340"/>
        <v>GALLERIA CASOLA</v>
      </c>
      <c r="Z2415" t="str">
        <f t="shared" si="341"/>
        <v>10.220.80.16</v>
      </c>
    </row>
    <row r="2416" spans="1:26" x14ac:dyDescent="0.25">
      <c r="A2416" t="s">
        <v>10</v>
      </c>
      <c r="B2416" t="s">
        <v>1206</v>
      </c>
      <c r="C2416" t="s">
        <v>1618</v>
      </c>
      <c r="D2416" t="s">
        <v>1619</v>
      </c>
      <c r="E2416" t="s">
        <v>1708</v>
      </c>
      <c r="F2416" t="s">
        <v>14</v>
      </c>
      <c r="G2416" t="s">
        <v>28</v>
      </c>
      <c r="H2416" t="s">
        <v>22</v>
      </c>
      <c r="I2416" t="s">
        <v>3281</v>
      </c>
      <c r="J2416" t="s">
        <v>1902</v>
      </c>
      <c r="K2416" t="str">
        <f t="shared" si="333"/>
        <v>5032.3</v>
      </c>
      <c r="N2416" t="str">
        <f t="shared" si="334"/>
        <v>HOLDING REGISTER</v>
      </c>
      <c r="O2416" t="str">
        <f t="shared" si="335"/>
        <v>BOOL</v>
      </c>
      <c r="P2416" t="str">
        <f t="shared" si="336"/>
        <v>TELECAMERA T10S</v>
      </c>
      <c r="R2416" t="str">
        <f t="shared" si="337"/>
        <v>VEICOLO FERMO</v>
      </c>
      <c r="U2416" t="str">
        <f t="shared" si="338"/>
        <v>Allarme</v>
      </c>
      <c r="V2416" t="str">
        <f t="shared" si="339"/>
        <v>DIREZIONE SUD</v>
      </c>
      <c r="W2416" t="str">
        <f t="shared" si="340"/>
        <v>GALLERIA CASOLA</v>
      </c>
      <c r="Z2416" t="str">
        <f t="shared" si="341"/>
        <v>10.220.80.16</v>
      </c>
    </row>
    <row r="2417" spans="1:26" x14ac:dyDescent="0.25">
      <c r="A2417" t="s">
        <v>10</v>
      </c>
      <c r="B2417" t="s">
        <v>1206</v>
      </c>
      <c r="C2417" t="s">
        <v>1618</v>
      </c>
      <c r="D2417" t="s">
        <v>1619</v>
      </c>
      <c r="E2417" t="s">
        <v>1708</v>
      </c>
      <c r="F2417" t="s">
        <v>14</v>
      </c>
      <c r="G2417" t="s">
        <v>28</v>
      </c>
      <c r="H2417" t="s">
        <v>22</v>
      </c>
      <c r="I2417" t="s">
        <v>3282</v>
      </c>
      <c r="J2417" t="s">
        <v>1904</v>
      </c>
      <c r="K2417" t="str">
        <f t="shared" si="333"/>
        <v>5032.4</v>
      </c>
      <c r="N2417" t="str">
        <f t="shared" si="334"/>
        <v>HOLDING REGISTER</v>
      </c>
      <c r="O2417" t="str">
        <f t="shared" si="335"/>
        <v>BOOL</v>
      </c>
      <c r="P2417" t="str">
        <f t="shared" si="336"/>
        <v>TELECAMERA T10S</v>
      </c>
      <c r="R2417" t="str">
        <f t="shared" si="337"/>
        <v>CARICO DISPERSO</v>
      </c>
      <c r="U2417" t="str">
        <f t="shared" si="338"/>
        <v>Allarme</v>
      </c>
      <c r="V2417" t="str">
        <f t="shared" si="339"/>
        <v>DIREZIONE SUD</v>
      </c>
      <c r="W2417" t="str">
        <f t="shared" si="340"/>
        <v>GALLERIA CASOLA</v>
      </c>
      <c r="Z2417" t="str">
        <f t="shared" si="341"/>
        <v>10.220.80.16</v>
      </c>
    </row>
    <row r="2418" spans="1:26" x14ac:dyDescent="0.25">
      <c r="A2418" t="s">
        <v>10</v>
      </c>
      <c r="B2418" t="s">
        <v>1206</v>
      </c>
      <c r="C2418" t="s">
        <v>1618</v>
      </c>
      <c r="D2418" t="s">
        <v>1619</v>
      </c>
      <c r="E2418" t="s">
        <v>1708</v>
      </c>
      <c r="F2418" t="s">
        <v>14</v>
      </c>
      <c r="G2418" t="s">
        <v>1375</v>
      </c>
      <c r="H2418" t="s">
        <v>22</v>
      </c>
      <c r="I2418" t="s">
        <v>3283</v>
      </c>
      <c r="J2418" t="s">
        <v>1375</v>
      </c>
      <c r="K2418" t="str">
        <f t="shared" si="333"/>
        <v>5032.5</v>
      </c>
      <c r="N2418" t="str">
        <f t="shared" si="334"/>
        <v>HOLDING REGISTER</v>
      </c>
      <c r="O2418" t="str">
        <f t="shared" si="335"/>
        <v>BOOL</v>
      </c>
      <c r="P2418" t="str">
        <f t="shared" si="336"/>
        <v>TELECAMERA T10S</v>
      </c>
      <c r="R2418" t="str">
        <f t="shared" si="337"/>
        <v>disponibile</v>
      </c>
      <c r="U2418" t="str">
        <f t="shared" si="338"/>
        <v>disponibile</v>
      </c>
      <c r="V2418" t="str">
        <f t="shared" si="339"/>
        <v>DIREZIONE SUD</v>
      </c>
      <c r="W2418" t="str">
        <f t="shared" si="340"/>
        <v>GALLERIA CASOLA</v>
      </c>
      <c r="Z2418" t="str">
        <f t="shared" si="341"/>
        <v>10.220.80.16</v>
      </c>
    </row>
    <row r="2419" spans="1:26" x14ac:dyDescent="0.25">
      <c r="A2419" t="s">
        <v>10</v>
      </c>
      <c r="B2419" t="s">
        <v>1206</v>
      </c>
      <c r="C2419" t="s">
        <v>1618</v>
      </c>
      <c r="D2419" t="s">
        <v>1619</v>
      </c>
      <c r="E2419" t="s">
        <v>1708</v>
      </c>
      <c r="F2419" t="s">
        <v>14</v>
      </c>
      <c r="G2419" t="s">
        <v>28</v>
      </c>
      <c r="H2419" t="s">
        <v>22</v>
      </c>
      <c r="I2419" t="s">
        <v>3284</v>
      </c>
      <c r="J2419" t="s">
        <v>1907</v>
      </c>
      <c r="K2419" t="str">
        <f t="shared" si="333"/>
        <v>5032.6</v>
      </c>
      <c r="N2419" t="str">
        <f t="shared" si="334"/>
        <v>HOLDING REGISTER</v>
      </c>
      <c r="O2419" t="str">
        <f t="shared" si="335"/>
        <v>BOOL</v>
      </c>
      <c r="P2419" t="str">
        <f t="shared" si="336"/>
        <v>TELECAMERA T10S</v>
      </c>
      <c r="R2419" t="str">
        <f t="shared" si="337"/>
        <v>PEDONE</v>
      </c>
      <c r="U2419" t="str">
        <f t="shared" si="338"/>
        <v>Allarme</v>
      </c>
      <c r="V2419" t="str">
        <f t="shared" si="339"/>
        <v>DIREZIONE SUD</v>
      </c>
      <c r="W2419" t="str">
        <f t="shared" si="340"/>
        <v>GALLERIA CASOLA</v>
      </c>
      <c r="Z2419" t="str">
        <f t="shared" si="341"/>
        <v>10.220.80.16</v>
      </c>
    </row>
    <row r="2420" spans="1:26" x14ac:dyDescent="0.25">
      <c r="A2420" t="s">
        <v>10</v>
      </c>
      <c r="B2420" t="s">
        <v>1206</v>
      </c>
      <c r="C2420" t="s">
        <v>1618</v>
      </c>
      <c r="D2420" t="s">
        <v>1619</v>
      </c>
      <c r="E2420" t="s">
        <v>1708</v>
      </c>
      <c r="F2420" t="s">
        <v>14</v>
      </c>
      <c r="G2420" t="s">
        <v>28</v>
      </c>
      <c r="H2420" t="s">
        <v>22</v>
      </c>
      <c r="I2420" t="s">
        <v>3285</v>
      </c>
      <c r="J2420" t="s">
        <v>1909</v>
      </c>
      <c r="K2420" t="str">
        <f t="shared" si="333"/>
        <v>5032.7</v>
      </c>
      <c r="N2420" t="str">
        <f t="shared" si="334"/>
        <v>HOLDING REGISTER</v>
      </c>
      <c r="O2420" t="str">
        <f t="shared" si="335"/>
        <v>BOOL</v>
      </c>
      <c r="P2420" t="str">
        <f t="shared" si="336"/>
        <v>TELECAMERA T10S</v>
      </c>
      <c r="R2420" t="str">
        <f t="shared" si="337"/>
        <v>FUMO</v>
      </c>
      <c r="U2420" t="str">
        <f t="shared" si="338"/>
        <v>Allarme</v>
      </c>
      <c r="V2420" t="str">
        <f t="shared" si="339"/>
        <v>DIREZIONE SUD</v>
      </c>
      <c r="W2420" t="str">
        <f t="shared" si="340"/>
        <v>GALLERIA CASOLA</v>
      </c>
      <c r="Z2420" t="str">
        <f t="shared" si="341"/>
        <v>10.220.80.16</v>
      </c>
    </row>
    <row r="2421" spans="1:26" x14ac:dyDescent="0.25">
      <c r="A2421" t="s">
        <v>10</v>
      </c>
      <c r="B2421" t="s">
        <v>1206</v>
      </c>
      <c r="C2421" t="s">
        <v>1618</v>
      </c>
      <c r="D2421" t="s">
        <v>1619</v>
      </c>
      <c r="E2421" t="s">
        <v>1708</v>
      </c>
      <c r="F2421" t="s">
        <v>14</v>
      </c>
      <c r="G2421" t="s">
        <v>28</v>
      </c>
      <c r="H2421" t="s">
        <v>22</v>
      </c>
      <c r="I2421" t="s">
        <v>3286</v>
      </c>
      <c r="J2421" t="s">
        <v>1911</v>
      </c>
      <c r="K2421" t="str">
        <f t="shared" si="333"/>
        <v>5032.8</v>
      </c>
      <c r="N2421" t="str">
        <f t="shared" si="334"/>
        <v>HOLDING REGISTER</v>
      </c>
      <c r="O2421" t="str">
        <f t="shared" si="335"/>
        <v>BOOL</v>
      </c>
      <c r="P2421" t="str">
        <f t="shared" si="336"/>
        <v>TELECAMERA T10S</v>
      </c>
      <c r="R2421" t="str">
        <f t="shared" si="337"/>
        <v>RALLENTAMENTI</v>
      </c>
      <c r="U2421" t="str">
        <f t="shared" si="338"/>
        <v>Allarme</v>
      </c>
      <c r="V2421" t="str">
        <f t="shared" si="339"/>
        <v>DIREZIONE SUD</v>
      </c>
      <c r="W2421" t="str">
        <f t="shared" si="340"/>
        <v>GALLERIA CASOLA</v>
      </c>
      <c r="Z2421" t="str">
        <f t="shared" si="341"/>
        <v>10.220.80.16</v>
      </c>
    </row>
    <row r="2422" spans="1:26" x14ac:dyDescent="0.25">
      <c r="A2422" t="s">
        <v>10</v>
      </c>
      <c r="B2422" t="s">
        <v>1206</v>
      </c>
      <c r="C2422" t="s">
        <v>1618</v>
      </c>
      <c r="D2422" t="s">
        <v>1619</v>
      </c>
      <c r="E2422" t="s">
        <v>1708</v>
      </c>
      <c r="F2422" t="s">
        <v>14</v>
      </c>
      <c r="G2422" t="s">
        <v>28</v>
      </c>
      <c r="H2422" t="s">
        <v>22</v>
      </c>
      <c r="I2422" t="s">
        <v>3287</v>
      </c>
      <c r="J2422" t="s">
        <v>1913</v>
      </c>
      <c r="K2422" t="str">
        <f t="shared" si="333"/>
        <v>5032.9</v>
      </c>
      <c r="N2422" t="str">
        <f t="shared" si="334"/>
        <v>HOLDING REGISTER</v>
      </c>
      <c r="O2422" t="str">
        <f t="shared" si="335"/>
        <v>BOOL</v>
      </c>
      <c r="P2422" t="str">
        <f t="shared" si="336"/>
        <v>TELECAMERA T10S</v>
      </c>
      <c r="R2422" t="str">
        <f t="shared" si="337"/>
        <v>CODA IN GALLERIA</v>
      </c>
      <c r="U2422" t="str">
        <f t="shared" si="338"/>
        <v>Allarme</v>
      </c>
      <c r="V2422" t="str">
        <f t="shared" si="339"/>
        <v>DIREZIONE SUD</v>
      </c>
      <c r="W2422" t="str">
        <f t="shared" si="340"/>
        <v>GALLERIA CASOLA</v>
      </c>
      <c r="Z2422" t="str">
        <f t="shared" si="341"/>
        <v>10.220.80.16</v>
      </c>
    </row>
    <row r="2423" spans="1:26" x14ac:dyDescent="0.25">
      <c r="A2423" t="s">
        <v>10</v>
      </c>
      <c r="B2423" t="s">
        <v>1206</v>
      </c>
      <c r="C2423" t="s">
        <v>1618</v>
      </c>
      <c r="D2423" t="s">
        <v>1619</v>
      </c>
      <c r="E2423" t="s">
        <v>1708</v>
      </c>
      <c r="F2423" t="s">
        <v>14</v>
      </c>
      <c r="G2423" t="s">
        <v>28</v>
      </c>
      <c r="H2423" t="s">
        <v>22</v>
      </c>
      <c r="I2423" t="s">
        <v>3288</v>
      </c>
      <c r="J2423" t="s">
        <v>1375</v>
      </c>
      <c r="K2423" t="str">
        <f t="shared" si="333"/>
        <v>5032.10</v>
      </c>
      <c r="N2423" t="str">
        <f t="shared" si="334"/>
        <v>HOLDING REGISTER</v>
      </c>
      <c r="O2423" t="str">
        <f t="shared" si="335"/>
        <v>BOOL</v>
      </c>
      <c r="P2423" t="str">
        <f t="shared" si="336"/>
        <v>TELECAMERA T10S</v>
      </c>
      <c r="R2423" t="str">
        <f t="shared" si="337"/>
        <v>disponibile</v>
      </c>
      <c r="U2423" t="str">
        <f t="shared" si="338"/>
        <v>Allarme</v>
      </c>
      <c r="V2423" t="str">
        <f t="shared" si="339"/>
        <v>DIREZIONE SUD</v>
      </c>
      <c r="W2423" t="str">
        <f t="shared" si="340"/>
        <v>GALLERIA CASOLA</v>
      </c>
      <c r="Z2423" t="str">
        <f t="shared" si="341"/>
        <v>10.220.80.16</v>
      </c>
    </row>
    <row r="2424" spans="1:26" x14ac:dyDescent="0.25">
      <c r="A2424" t="s">
        <v>10</v>
      </c>
      <c r="B2424" t="s">
        <v>1206</v>
      </c>
      <c r="C2424" t="s">
        <v>1618</v>
      </c>
      <c r="D2424" t="s">
        <v>1619</v>
      </c>
      <c r="E2424" t="s">
        <v>1708</v>
      </c>
      <c r="F2424" t="s">
        <v>14</v>
      </c>
      <c r="G2424" t="s">
        <v>1375</v>
      </c>
      <c r="H2424" t="s">
        <v>22</v>
      </c>
      <c r="I2424" t="s">
        <v>3289</v>
      </c>
      <c r="J2424" t="s">
        <v>1375</v>
      </c>
      <c r="K2424" t="str">
        <f t="shared" si="333"/>
        <v>5032.11</v>
      </c>
      <c r="N2424" t="str">
        <f t="shared" si="334"/>
        <v>HOLDING REGISTER</v>
      </c>
      <c r="O2424" t="str">
        <f t="shared" si="335"/>
        <v>BOOL</v>
      </c>
      <c r="P2424" t="str">
        <f t="shared" si="336"/>
        <v>TELECAMERA T10S</v>
      </c>
      <c r="R2424" t="str">
        <f t="shared" si="337"/>
        <v>disponibile</v>
      </c>
      <c r="U2424" t="str">
        <f t="shared" si="338"/>
        <v>disponibile</v>
      </c>
      <c r="V2424" t="str">
        <f t="shared" si="339"/>
        <v>DIREZIONE SUD</v>
      </c>
      <c r="W2424" t="str">
        <f t="shared" si="340"/>
        <v>GALLERIA CASOLA</v>
      </c>
      <c r="Z2424" t="str">
        <f t="shared" si="341"/>
        <v>10.220.80.16</v>
      </c>
    </row>
    <row r="2425" spans="1:26" x14ac:dyDescent="0.25">
      <c r="A2425" t="s">
        <v>10</v>
      </c>
      <c r="B2425" t="s">
        <v>1206</v>
      </c>
      <c r="C2425" t="s">
        <v>1618</v>
      </c>
      <c r="D2425" t="s">
        <v>1619</v>
      </c>
      <c r="E2425" t="s">
        <v>1708</v>
      </c>
      <c r="F2425" t="s">
        <v>14</v>
      </c>
      <c r="G2425" t="s">
        <v>1375</v>
      </c>
      <c r="H2425" t="s">
        <v>22</v>
      </c>
      <c r="I2425" t="s">
        <v>3290</v>
      </c>
      <c r="J2425" t="s">
        <v>1375</v>
      </c>
      <c r="K2425" t="str">
        <f t="shared" si="333"/>
        <v>5032.12</v>
      </c>
      <c r="N2425" t="str">
        <f t="shared" si="334"/>
        <v>HOLDING REGISTER</v>
      </c>
      <c r="O2425" t="str">
        <f t="shared" si="335"/>
        <v>BOOL</v>
      </c>
      <c r="P2425" t="str">
        <f t="shared" si="336"/>
        <v>TELECAMERA T10S</v>
      </c>
      <c r="R2425" t="str">
        <f t="shared" si="337"/>
        <v>disponibile</v>
      </c>
      <c r="U2425" t="str">
        <f t="shared" si="338"/>
        <v>disponibile</v>
      </c>
      <c r="V2425" t="str">
        <f t="shared" si="339"/>
        <v>DIREZIONE SUD</v>
      </c>
      <c r="W2425" t="str">
        <f t="shared" si="340"/>
        <v>GALLERIA CASOLA</v>
      </c>
      <c r="Z2425" t="str">
        <f t="shared" si="341"/>
        <v>10.220.80.16</v>
      </c>
    </row>
    <row r="2426" spans="1:26" x14ac:dyDescent="0.25">
      <c r="A2426" t="s">
        <v>10</v>
      </c>
      <c r="B2426" t="s">
        <v>1206</v>
      </c>
      <c r="C2426" t="s">
        <v>1618</v>
      </c>
      <c r="D2426" t="s">
        <v>1619</v>
      </c>
      <c r="E2426" t="s">
        <v>1708</v>
      </c>
      <c r="F2426" t="s">
        <v>14</v>
      </c>
      <c r="G2426" t="s">
        <v>1375</v>
      </c>
      <c r="H2426" t="s">
        <v>22</v>
      </c>
      <c r="I2426" t="s">
        <v>3291</v>
      </c>
      <c r="J2426" t="s">
        <v>1375</v>
      </c>
      <c r="K2426" t="str">
        <f t="shared" si="333"/>
        <v>5032.13</v>
      </c>
      <c r="N2426" t="str">
        <f t="shared" si="334"/>
        <v>HOLDING REGISTER</v>
      </c>
      <c r="O2426" t="str">
        <f t="shared" si="335"/>
        <v>BOOL</v>
      </c>
      <c r="P2426" t="str">
        <f t="shared" si="336"/>
        <v>TELECAMERA T10S</v>
      </c>
      <c r="R2426" t="str">
        <f t="shared" si="337"/>
        <v>disponibile</v>
      </c>
      <c r="U2426" t="str">
        <f t="shared" si="338"/>
        <v>disponibile</v>
      </c>
      <c r="V2426" t="str">
        <f t="shared" si="339"/>
        <v>DIREZIONE SUD</v>
      </c>
      <c r="W2426" t="str">
        <f t="shared" si="340"/>
        <v>GALLERIA CASOLA</v>
      </c>
      <c r="Z2426" t="str">
        <f t="shared" si="341"/>
        <v>10.220.80.16</v>
      </c>
    </row>
    <row r="2427" spans="1:26" x14ac:dyDescent="0.25">
      <c r="A2427" t="s">
        <v>10</v>
      </c>
      <c r="B2427" t="s">
        <v>1206</v>
      </c>
      <c r="C2427" t="s">
        <v>1618</v>
      </c>
      <c r="D2427" t="s">
        <v>1619</v>
      </c>
      <c r="E2427" t="s">
        <v>1708</v>
      </c>
      <c r="F2427" t="s">
        <v>14</v>
      </c>
      <c r="G2427" t="s">
        <v>1375</v>
      </c>
      <c r="H2427" t="s">
        <v>22</v>
      </c>
      <c r="I2427" t="s">
        <v>3292</v>
      </c>
      <c r="J2427" t="s">
        <v>1375</v>
      </c>
      <c r="K2427" t="str">
        <f t="shared" si="333"/>
        <v>5032.14</v>
      </c>
      <c r="N2427" t="str">
        <f t="shared" si="334"/>
        <v>HOLDING REGISTER</v>
      </c>
      <c r="O2427" t="str">
        <f t="shared" si="335"/>
        <v>BOOL</v>
      </c>
      <c r="P2427" t="str">
        <f t="shared" si="336"/>
        <v>TELECAMERA T10S</v>
      </c>
      <c r="R2427" t="str">
        <f t="shared" si="337"/>
        <v>disponibile</v>
      </c>
      <c r="U2427" t="str">
        <f t="shared" si="338"/>
        <v>disponibile</v>
      </c>
      <c r="V2427" t="str">
        <f t="shared" si="339"/>
        <v>DIREZIONE SUD</v>
      </c>
      <c r="W2427" t="str">
        <f t="shared" si="340"/>
        <v>GALLERIA CASOLA</v>
      </c>
      <c r="Z2427" t="str">
        <f t="shared" si="341"/>
        <v>10.220.80.16</v>
      </c>
    </row>
    <row r="2428" spans="1:26" x14ac:dyDescent="0.25">
      <c r="A2428" t="s">
        <v>10</v>
      </c>
      <c r="B2428" t="s">
        <v>1206</v>
      </c>
      <c r="C2428" t="s">
        <v>1618</v>
      </c>
      <c r="D2428" t="s">
        <v>1619</v>
      </c>
      <c r="E2428" t="s">
        <v>1708</v>
      </c>
      <c r="F2428" t="s">
        <v>14</v>
      </c>
      <c r="G2428" t="s">
        <v>1375</v>
      </c>
      <c r="H2428" t="s">
        <v>22</v>
      </c>
      <c r="I2428" t="s">
        <v>3293</v>
      </c>
      <c r="J2428" t="s">
        <v>1375</v>
      </c>
      <c r="K2428" t="str">
        <f t="shared" si="333"/>
        <v>5032.15</v>
      </c>
      <c r="N2428" t="str">
        <f t="shared" si="334"/>
        <v>HOLDING REGISTER</v>
      </c>
      <c r="O2428" t="str">
        <f t="shared" si="335"/>
        <v>BOOL</v>
      </c>
      <c r="P2428" t="str">
        <f t="shared" si="336"/>
        <v>TELECAMERA T10S</v>
      </c>
      <c r="R2428" t="str">
        <f t="shared" si="337"/>
        <v>disponibile</v>
      </c>
      <c r="U2428" t="str">
        <f t="shared" si="338"/>
        <v>disponibile</v>
      </c>
      <c r="V2428" t="str">
        <f t="shared" si="339"/>
        <v>DIREZIONE SUD</v>
      </c>
      <c r="W2428" t="str">
        <f t="shared" si="340"/>
        <v>GALLERIA CASOLA</v>
      </c>
      <c r="Z2428" t="str">
        <f t="shared" si="341"/>
        <v>10.220.80.16</v>
      </c>
    </row>
    <row r="2429" spans="1:26" x14ac:dyDescent="0.25">
      <c r="A2429" t="s">
        <v>10</v>
      </c>
      <c r="B2429" t="s">
        <v>1206</v>
      </c>
      <c r="C2429" t="s">
        <v>1618</v>
      </c>
      <c r="D2429" t="s">
        <v>1619</v>
      </c>
      <c r="E2429" t="s">
        <v>3100</v>
      </c>
      <c r="F2429" t="s">
        <v>14</v>
      </c>
      <c r="G2429" t="s">
        <v>28</v>
      </c>
      <c r="H2429" t="s">
        <v>22</v>
      </c>
      <c r="I2429" t="s">
        <v>3294</v>
      </c>
      <c r="J2429" t="s">
        <v>1897</v>
      </c>
      <c r="K2429" t="str">
        <f t="shared" si="333"/>
        <v>5033.0</v>
      </c>
      <c r="N2429" t="str">
        <f t="shared" si="334"/>
        <v>HOLDING REGISTER</v>
      </c>
      <c r="O2429" t="str">
        <f t="shared" si="335"/>
        <v>BOOL</v>
      </c>
      <c r="P2429" t="str">
        <f t="shared" si="336"/>
        <v>TELECAMERA T11N</v>
      </c>
      <c r="R2429" t="str">
        <f t="shared" si="337"/>
        <v>PERDITA SEGNALE VIDEO</v>
      </c>
      <c r="U2429" t="str">
        <f t="shared" si="338"/>
        <v>Allarme</v>
      </c>
      <c r="V2429" t="str">
        <f t="shared" si="339"/>
        <v>DIREZIONE SUD</v>
      </c>
      <c r="W2429" t="str">
        <f t="shared" si="340"/>
        <v>GALLERIA CASOLA</v>
      </c>
      <c r="Z2429" t="str">
        <f t="shared" si="341"/>
        <v>10.220.80.16</v>
      </c>
    </row>
    <row r="2430" spans="1:26" x14ac:dyDescent="0.25">
      <c r="A2430" t="s">
        <v>10</v>
      </c>
      <c r="B2430" t="s">
        <v>1206</v>
      </c>
      <c r="C2430" t="s">
        <v>1618</v>
      </c>
      <c r="D2430" t="s">
        <v>1619</v>
      </c>
      <c r="E2430" t="s">
        <v>3100</v>
      </c>
      <c r="F2430" t="s">
        <v>14</v>
      </c>
      <c r="G2430" t="s">
        <v>28</v>
      </c>
      <c r="H2430" t="s">
        <v>22</v>
      </c>
      <c r="I2430" t="s">
        <v>3295</v>
      </c>
      <c r="J2430" t="s">
        <v>1899</v>
      </c>
      <c r="K2430" t="str">
        <f t="shared" si="333"/>
        <v>5033.1</v>
      </c>
      <c r="N2430" t="str">
        <f t="shared" si="334"/>
        <v>HOLDING REGISTER</v>
      </c>
      <c r="O2430" t="str">
        <f t="shared" si="335"/>
        <v>BOOL</v>
      </c>
      <c r="P2430" t="str">
        <f t="shared" si="336"/>
        <v>TELECAMERA T11N</v>
      </c>
      <c r="R2430" t="str">
        <f t="shared" si="337"/>
        <v>MANOMISSIONE</v>
      </c>
      <c r="U2430" t="str">
        <f t="shared" si="338"/>
        <v>Allarme</v>
      </c>
      <c r="V2430" t="str">
        <f t="shared" si="339"/>
        <v>DIREZIONE SUD</v>
      </c>
      <c r="W2430" t="str">
        <f t="shared" si="340"/>
        <v>GALLERIA CASOLA</v>
      </c>
      <c r="Z2430" t="str">
        <f t="shared" si="341"/>
        <v>10.220.80.16</v>
      </c>
    </row>
    <row r="2431" spans="1:26" x14ac:dyDescent="0.25">
      <c r="A2431" t="s">
        <v>10</v>
      </c>
      <c r="B2431" t="s">
        <v>1206</v>
      </c>
      <c r="C2431" t="s">
        <v>1618</v>
      </c>
      <c r="D2431" t="s">
        <v>1619</v>
      </c>
      <c r="E2431" t="s">
        <v>3100</v>
      </c>
      <c r="F2431" t="s">
        <v>14</v>
      </c>
      <c r="G2431" t="s">
        <v>1375</v>
      </c>
      <c r="H2431" t="s">
        <v>22</v>
      </c>
      <c r="I2431" t="s">
        <v>3296</v>
      </c>
      <c r="J2431" t="s">
        <v>1375</v>
      </c>
      <c r="K2431" t="str">
        <f t="shared" si="333"/>
        <v>5033.2</v>
      </c>
      <c r="N2431" t="str">
        <f t="shared" si="334"/>
        <v>HOLDING REGISTER</v>
      </c>
      <c r="O2431" t="str">
        <f t="shared" si="335"/>
        <v>BOOL</v>
      </c>
      <c r="P2431" t="str">
        <f t="shared" si="336"/>
        <v>TELECAMERA T11N</v>
      </c>
      <c r="R2431" t="str">
        <f t="shared" si="337"/>
        <v>disponibile</v>
      </c>
      <c r="U2431" t="str">
        <f t="shared" si="338"/>
        <v>disponibile</v>
      </c>
      <c r="V2431" t="str">
        <f t="shared" si="339"/>
        <v>DIREZIONE SUD</v>
      </c>
      <c r="W2431" t="str">
        <f t="shared" si="340"/>
        <v>GALLERIA CASOLA</v>
      </c>
      <c r="Z2431" t="str">
        <f t="shared" si="341"/>
        <v>10.220.80.16</v>
      </c>
    </row>
    <row r="2432" spans="1:26" x14ac:dyDescent="0.25">
      <c r="A2432" t="s">
        <v>10</v>
      </c>
      <c r="B2432" t="s">
        <v>1206</v>
      </c>
      <c r="C2432" t="s">
        <v>1618</v>
      </c>
      <c r="D2432" t="s">
        <v>1619</v>
      </c>
      <c r="E2432" t="s">
        <v>3100</v>
      </c>
      <c r="F2432" t="s">
        <v>14</v>
      </c>
      <c r="G2432" t="s">
        <v>28</v>
      </c>
      <c r="H2432" t="s">
        <v>22</v>
      </c>
      <c r="I2432" t="s">
        <v>3297</v>
      </c>
      <c r="J2432" t="s">
        <v>1902</v>
      </c>
      <c r="K2432" t="str">
        <f t="shared" si="333"/>
        <v>5033.3</v>
      </c>
      <c r="N2432" t="str">
        <f t="shared" si="334"/>
        <v>HOLDING REGISTER</v>
      </c>
      <c r="O2432" t="str">
        <f t="shared" si="335"/>
        <v>BOOL</v>
      </c>
      <c r="P2432" t="str">
        <f t="shared" si="336"/>
        <v>TELECAMERA T11N</v>
      </c>
      <c r="R2432" t="str">
        <f t="shared" si="337"/>
        <v>VEICOLO FERMO</v>
      </c>
      <c r="U2432" t="str">
        <f t="shared" si="338"/>
        <v>Allarme</v>
      </c>
      <c r="V2432" t="str">
        <f t="shared" si="339"/>
        <v>DIREZIONE SUD</v>
      </c>
      <c r="W2432" t="str">
        <f t="shared" si="340"/>
        <v>GALLERIA CASOLA</v>
      </c>
      <c r="Z2432" t="str">
        <f t="shared" si="341"/>
        <v>10.220.80.16</v>
      </c>
    </row>
    <row r="2433" spans="1:26" x14ac:dyDescent="0.25">
      <c r="A2433" t="s">
        <v>10</v>
      </c>
      <c r="B2433" t="s">
        <v>1206</v>
      </c>
      <c r="C2433" t="s">
        <v>1618</v>
      </c>
      <c r="D2433" t="s">
        <v>1619</v>
      </c>
      <c r="E2433" t="s">
        <v>3100</v>
      </c>
      <c r="F2433" t="s">
        <v>14</v>
      </c>
      <c r="G2433" t="s">
        <v>28</v>
      </c>
      <c r="H2433" t="s">
        <v>22</v>
      </c>
      <c r="I2433" t="s">
        <v>3298</v>
      </c>
      <c r="J2433" t="s">
        <v>1904</v>
      </c>
      <c r="K2433" t="str">
        <f t="shared" si="333"/>
        <v>5033.4</v>
      </c>
      <c r="N2433" t="str">
        <f t="shared" si="334"/>
        <v>HOLDING REGISTER</v>
      </c>
      <c r="O2433" t="str">
        <f t="shared" si="335"/>
        <v>BOOL</v>
      </c>
      <c r="P2433" t="str">
        <f t="shared" si="336"/>
        <v>TELECAMERA T11N</v>
      </c>
      <c r="R2433" t="str">
        <f t="shared" si="337"/>
        <v>CARICO DISPERSO</v>
      </c>
      <c r="U2433" t="str">
        <f t="shared" si="338"/>
        <v>Allarme</v>
      </c>
      <c r="V2433" t="str">
        <f t="shared" si="339"/>
        <v>DIREZIONE SUD</v>
      </c>
      <c r="W2433" t="str">
        <f t="shared" si="340"/>
        <v>GALLERIA CASOLA</v>
      </c>
      <c r="Z2433" t="str">
        <f t="shared" si="341"/>
        <v>10.220.80.16</v>
      </c>
    </row>
    <row r="2434" spans="1:26" x14ac:dyDescent="0.25">
      <c r="A2434" t="s">
        <v>10</v>
      </c>
      <c r="B2434" t="s">
        <v>1206</v>
      </c>
      <c r="C2434" t="s">
        <v>1618</v>
      </c>
      <c r="D2434" t="s">
        <v>1619</v>
      </c>
      <c r="E2434" t="s">
        <v>3100</v>
      </c>
      <c r="F2434" t="s">
        <v>14</v>
      </c>
      <c r="G2434" t="s">
        <v>1375</v>
      </c>
      <c r="H2434" t="s">
        <v>22</v>
      </c>
      <c r="I2434" t="s">
        <v>3299</v>
      </c>
      <c r="J2434" t="s">
        <v>1375</v>
      </c>
      <c r="K2434" t="str">
        <f t="shared" si="333"/>
        <v>5033.5</v>
      </c>
      <c r="N2434" t="str">
        <f t="shared" si="334"/>
        <v>HOLDING REGISTER</v>
      </c>
      <c r="O2434" t="str">
        <f t="shared" si="335"/>
        <v>BOOL</v>
      </c>
      <c r="P2434" t="str">
        <f t="shared" si="336"/>
        <v>TELECAMERA T11N</v>
      </c>
      <c r="R2434" t="str">
        <f t="shared" si="337"/>
        <v>disponibile</v>
      </c>
      <c r="U2434" t="str">
        <f t="shared" si="338"/>
        <v>disponibile</v>
      </c>
      <c r="V2434" t="str">
        <f t="shared" si="339"/>
        <v>DIREZIONE SUD</v>
      </c>
      <c r="W2434" t="str">
        <f t="shared" si="340"/>
        <v>GALLERIA CASOLA</v>
      </c>
      <c r="Z2434" t="str">
        <f t="shared" si="341"/>
        <v>10.220.80.16</v>
      </c>
    </row>
    <row r="2435" spans="1:26" x14ac:dyDescent="0.25">
      <c r="A2435" t="s">
        <v>10</v>
      </c>
      <c r="B2435" t="s">
        <v>1206</v>
      </c>
      <c r="C2435" t="s">
        <v>1618</v>
      </c>
      <c r="D2435" t="s">
        <v>1619</v>
      </c>
      <c r="E2435" t="s">
        <v>3100</v>
      </c>
      <c r="F2435" t="s">
        <v>14</v>
      </c>
      <c r="G2435" t="s">
        <v>28</v>
      </c>
      <c r="H2435" t="s">
        <v>22</v>
      </c>
      <c r="I2435" t="s">
        <v>3300</v>
      </c>
      <c r="J2435" t="s">
        <v>1907</v>
      </c>
      <c r="K2435" t="str">
        <f t="shared" ref="K2435:K2498" si="342">IF(I2435="","",I2435)</f>
        <v>5033.6</v>
      </c>
      <c r="N2435" t="str">
        <f t="shared" ref="N2435:N2498" si="343">IF(F2435="","",F2435)</f>
        <v>HOLDING REGISTER</v>
      </c>
      <c r="O2435" t="str">
        <f t="shared" ref="O2435:O2498" si="344">IF(H2435="","",H2435)</f>
        <v>BOOL</v>
      </c>
      <c r="P2435" t="str">
        <f t="shared" ref="P2435:P2498" si="345">_xlfn.CONCAT(D2435," ",E2435)</f>
        <v>TELECAMERA T11N</v>
      </c>
      <c r="R2435" t="str">
        <f t="shared" ref="R2435:R2498" si="346">IF(J2435="","",J2435)</f>
        <v>PEDONE</v>
      </c>
      <c r="U2435" t="str">
        <f t="shared" ref="U2435:U2498" si="347">IF(G2435="","",G2435)</f>
        <v>Allarme</v>
      </c>
      <c r="V2435" t="str">
        <f t="shared" ref="V2435:V2498" si="348">IF(C2435="","",C2435)</f>
        <v>DIREZIONE SUD</v>
      </c>
      <c r="W2435" t="str">
        <f t="shared" ref="W2435:W2498" si="349">IF(B2435="","",B2435)</f>
        <v>GALLERIA CASOLA</v>
      </c>
      <c r="Z2435" t="str">
        <f t="shared" ref="Z2435:Z2498" si="350">IF(A2435="","",A2435)</f>
        <v>10.220.80.16</v>
      </c>
    </row>
    <row r="2436" spans="1:26" x14ac:dyDescent="0.25">
      <c r="A2436" t="s">
        <v>10</v>
      </c>
      <c r="B2436" t="s">
        <v>1206</v>
      </c>
      <c r="C2436" t="s">
        <v>1618</v>
      </c>
      <c r="D2436" t="s">
        <v>1619</v>
      </c>
      <c r="E2436" t="s">
        <v>3100</v>
      </c>
      <c r="F2436" t="s">
        <v>14</v>
      </c>
      <c r="G2436" t="s">
        <v>28</v>
      </c>
      <c r="H2436" t="s">
        <v>22</v>
      </c>
      <c r="I2436" t="s">
        <v>3301</v>
      </c>
      <c r="J2436" t="s">
        <v>1909</v>
      </c>
      <c r="K2436" t="str">
        <f t="shared" si="342"/>
        <v>5033.7</v>
      </c>
      <c r="N2436" t="str">
        <f t="shared" si="343"/>
        <v>HOLDING REGISTER</v>
      </c>
      <c r="O2436" t="str">
        <f t="shared" si="344"/>
        <v>BOOL</v>
      </c>
      <c r="P2436" t="str">
        <f t="shared" si="345"/>
        <v>TELECAMERA T11N</v>
      </c>
      <c r="R2436" t="str">
        <f t="shared" si="346"/>
        <v>FUMO</v>
      </c>
      <c r="U2436" t="str">
        <f t="shared" si="347"/>
        <v>Allarme</v>
      </c>
      <c r="V2436" t="str">
        <f t="shared" si="348"/>
        <v>DIREZIONE SUD</v>
      </c>
      <c r="W2436" t="str">
        <f t="shared" si="349"/>
        <v>GALLERIA CASOLA</v>
      </c>
      <c r="Z2436" t="str">
        <f t="shared" si="350"/>
        <v>10.220.80.16</v>
      </c>
    </row>
    <row r="2437" spans="1:26" x14ac:dyDescent="0.25">
      <c r="A2437" t="s">
        <v>10</v>
      </c>
      <c r="B2437" t="s">
        <v>1206</v>
      </c>
      <c r="C2437" t="s">
        <v>1618</v>
      </c>
      <c r="D2437" t="s">
        <v>1619</v>
      </c>
      <c r="E2437" t="s">
        <v>3100</v>
      </c>
      <c r="F2437" t="s">
        <v>14</v>
      </c>
      <c r="G2437" t="s">
        <v>28</v>
      </c>
      <c r="H2437" t="s">
        <v>22</v>
      </c>
      <c r="I2437" t="s">
        <v>3302</v>
      </c>
      <c r="J2437" t="s">
        <v>1911</v>
      </c>
      <c r="K2437" t="str">
        <f t="shared" si="342"/>
        <v>5033.8</v>
      </c>
      <c r="N2437" t="str">
        <f t="shared" si="343"/>
        <v>HOLDING REGISTER</v>
      </c>
      <c r="O2437" t="str">
        <f t="shared" si="344"/>
        <v>BOOL</v>
      </c>
      <c r="P2437" t="str">
        <f t="shared" si="345"/>
        <v>TELECAMERA T11N</v>
      </c>
      <c r="R2437" t="str">
        <f t="shared" si="346"/>
        <v>RALLENTAMENTI</v>
      </c>
      <c r="U2437" t="str">
        <f t="shared" si="347"/>
        <v>Allarme</v>
      </c>
      <c r="V2437" t="str">
        <f t="shared" si="348"/>
        <v>DIREZIONE SUD</v>
      </c>
      <c r="W2437" t="str">
        <f t="shared" si="349"/>
        <v>GALLERIA CASOLA</v>
      </c>
      <c r="Z2437" t="str">
        <f t="shared" si="350"/>
        <v>10.220.80.16</v>
      </c>
    </row>
    <row r="2438" spans="1:26" x14ac:dyDescent="0.25">
      <c r="A2438" t="s">
        <v>10</v>
      </c>
      <c r="B2438" t="s">
        <v>1206</v>
      </c>
      <c r="C2438" t="s">
        <v>1618</v>
      </c>
      <c r="D2438" t="s">
        <v>1619</v>
      </c>
      <c r="E2438" t="s">
        <v>3100</v>
      </c>
      <c r="F2438" t="s">
        <v>14</v>
      </c>
      <c r="G2438" t="s">
        <v>28</v>
      </c>
      <c r="H2438" t="s">
        <v>22</v>
      </c>
      <c r="I2438" t="s">
        <v>3303</v>
      </c>
      <c r="J2438" t="s">
        <v>1913</v>
      </c>
      <c r="K2438" t="str">
        <f t="shared" si="342"/>
        <v>5033.9</v>
      </c>
      <c r="N2438" t="str">
        <f t="shared" si="343"/>
        <v>HOLDING REGISTER</v>
      </c>
      <c r="O2438" t="str">
        <f t="shared" si="344"/>
        <v>BOOL</v>
      </c>
      <c r="P2438" t="str">
        <f t="shared" si="345"/>
        <v>TELECAMERA T11N</v>
      </c>
      <c r="R2438" t="str">
        <f t="shared" si="346"/>
        <v>CODA IN GALLERIA</v>
      </c>
      <c r="U2438" t="str">
        <f t="shared" si="347"/>
        <v>Allarme</v>
      </c>
      <c r="V2438" t="str">
        <f t="shared" si="348"/>
        <v>DIREZIONE SUD</v>
      </c>
      <c r="W2438" t="str">
        <f t="shared" si="349"/>
        <v>GALLERIA CASOLA</v>
      </c>
      <c r="Z2438" t="str">
        <f t="shared" si="350"/>
        <v>10.220.80.16</v>
      </c>
    </row>
    <row r="2439" spans="1:26" x14ac:dyDescent="0.25">
      <c r="A2439" t="s">
        <v>10</v>
      </c>
      <c r="B2439" t="s">
        <v>1206</v>
      </c>
      <c r="C2439" t="s">
        <v>1618</v>
      </c>
      <c r="D2439" t="s">
        <v>1619</v>
      </c>
      <c r="E2439" t="s">
        <v>3100</v>
      </c>
      <c r="F2439" t="s">
        <v>14</v>
      </c>
      <c r="G2439" t="s">
        <v>1375</v>
      </c>
      <c r="H2439" t="s">
        <v>22</v>
      </c>
      <c r="I2439" t="s">
        <v>3304</v>
      </c>
      <c r="J2439" t="s">
        <v>1375</v>
      </c>
      <c r="K2439" t="str">
        <f t="shared" si="342"/>
        <v>5033.10</v>
      </c>
      <c r="N2439" t="str">
        <f t="shared" si="343"/>
        <v>HOLDING REGISTER</v>
      </c>
      <c r="O2439" t="str">
        <f t="shared" si="344"/>
        <v>BOOL</v>
      </c>
      <c r="P2439" t="str">
        <f t="shared" si="345"/>
        <v>TELECAMERA T11N</v>
      </c>
      <c r="R2439" t="str">
        <f t="shared" si="346"/>
        <v>disponibile</v>
      </c>
      <c r="U2439" t="str">
        <f t="shared" si="347"/>
        <v>disponibile</v>
      </c>
      <c r="V2439" t="str">
        <f t="shared" si="348"/>
        <v>DIREZIONE SUD</v>
      </c>
      <c r="W2439" t="str">
        <f t="shared" si="349"/>
        <v>GALLERIA CASOLA</v>
      </c>
      <c r="Z2439" t="str">
        <f t="shared" si="350"/>
        <v>10.220.80.16</v>
      </c>
    </row>
    <row r="2440" spans="1:26" x14ac:dyDescent="0.25">
      <c r="A2440" t="s">
        <v>10</v>
      </c>
      <c r="B2440" t="s">
        <v>1206</v>
      </c>
      <c r="C2440" t="s">
        <v>1618</v>
      </c>
      <c r="D2440" t="s">
        <v>1619</v>
      </c>
      <c r="E2440" t="s">
        <v>3100</v>
      </c>
      <c r="F2440" t="s">
        <v>14</v>
      </c>
      <c r="G2440" t="s">
        <v>1375</v>
      </c>
      <c r="H2440" t="s">
        <v>22</v>
      </c>
      <c r="I2440" t="s">
        <v>3305</v>
      </c>
      <c r="J2440" t="s">
        <v>1375</v>
      </c>
      <c r="K2440" t="str">
        <f t="shared" si="342"/>
        <v>5033.11</v>
      </c>
      <c r="N2440" t="str">
        <f t="shared" si="343"/>
        <v>HOLDING REGISTER</v>
      </c>
      <c r="O2440" t="str">
        <f t="shared" si="344"/>
        <v>BOOL</v>
      </c>
      <c r="P2440" t="str">
        <f t="shared" si="345"/>
        <v>TELECAMERA T11N</v>
      </c>
      <c r="R2440" t="str">
        <f t="shared" si="346"/>
        <v>disponibile</v>
      </c>
      <c r="U2440" t="str">
        <f t="shared" si="347"/>
        <v>disponibile</v>
      </c>
      <c r="V2440" t="str">
        <f t="shared" si="348"/>
        <v>DIREZIONE SUD</v>
      </c>
      <c r="W2440" t="str">
        <f t="shared" si="349"/>
        <v>GALLERIA CASOLA</v>
      </c>
      <c r="Z2440" t="str">
        <f t="shared" si="350"/>
        <v>10.220.80.16</v>
      </c>
    </row>
    <row r="2441" spans="1:26" x14ac:dyDescent="0.25">
      <c r="A2441" t="s">
        <v>10</v>
      </c>
      <c r="B2441" t="s">
        <v>1206</v>
      </c>
      <c r="C2441" t="s">
        <v>1618</v>
      </c>
      <c r="D2441" t="s">
        <v>1619</v>
      </c>
      <c r="E2441" t="s">
        <v>3100</v>
      </c>
      <c r="F2441" t="s">
        <v>14</v>
      </c>
      <c r="G2441" t="s">
        <v>1375</v>
      </c>
      <c r="H2441" t="s">
        <v>22</v>
      </c>
      <c r="I2441" t="s">
        <v>3306</v>
      </c>
      <c r="J2441" t="s">
        <v>1375</v>
      </c>
      <c r="K2441" t="str">
        <f t="shared" si="342"/>
        <v>5033.12</v>
      </c>
      <c r="N2441" t="str">
        <f t="shared" si="343"/>
        <v>HOLDING REGISTER</v>
      </c>
      <c r="O2441" t="str">
        <f t="shared" si="344"/>
        <v>BOOL</v>
      </c>
      <c r="P2441" t="str">
        <f t="shared" si="345"/>
        <v>TELECAMERA T11N</v>
      </c>
      <c r="R2441" t="str">
        <f t="shared" si="346"/>
        <v>disponibile</v>
      </c>
      <c r="U2441" t="str">
        <f t="shared" si="347"/>
        <v>disponibile</v>
      </c>
      <c r="V2441" t="str">
        <f t="shared" si="348"/>
        <v>DIREZIONE SUD</v>
      </c>
      <c r="W2441" t="str">
        <f t="shared" si="349"/>
        <v>GALLERIA CASOLA</v>
      </c>
      <c r="Z2441" t="str">
        <f t="shared" si="350"/>
        <v>10.220.80.16</v>
      </c>
    </row>
    <row r="2442" spans="1:26" x14ac:dyDescent="0.25">
      <c r="A2442" t="s">
        <v>10</v>
      </c>
      <c r="B2442" t="s">
        <v>1206</v>
      </c>
      <c r="C2442" t="s">
        <v>1618</v>
      </c>
      <c r="D2442" t="s">
        <v>1619</v>
      </c>
      <c r="E2442" t="s">
        <v>3100</v>
      </c>
      <c r="F2442" t="s">
        <v>14</v>
      </c>
      <c r="G2442" t="s">
        <v>1375</v>
      </c>
      <c r="H2442" t="s">
        <v>22</v>
      </c>
      <c r="I2442" t="s">
        <v>3307</v>
      </c>
      <c r="J2442" t="s">
        <v>1375</v>
      </c>
      <c r="K2442" t="str">
        <f t="shared" si="342"/>
        <v>5033.13</v>
      </c>
      <c r="N2442" t="str">
        <f t="shared" si="343"/>
        <v>HOLDING REGISTER</v>
      </c>
      <c r="O2442" t="str">
        <f t="shared" si="344"/>
        <v>BOOL</v>
      </c>
      <c r="P2442" t="str">
        <f t="shared" si="345"/>
        <v>TELECAMERA T11N</v>
      </c>
      <c r="R2442" t="str">
        <f t="shared" si="346"/>
        <v>disponibile</v>
      </c>
      <c r="U2442" t="str">
        <f t="shared" si="347"/>
        <v>disponibile</v>
      </c>
      <c r="V2442" t="str">
        <f t="shared" si="348"/>
        <v>DIREZIONE SUD</v>
      </c>
      <c r="W2442" t="str">
        <f t="shared" si="349"/>
        <v>GALLERIA CASOLA</v>
      </c>
      <c r="Z2442" t="str">
        <f t="shared" si="350"/>
        <v>10.220.80.16</v>
      </c>
    </row>
    <row r="2443" spans="1:26" x14ac:dyDescent="0.25">
      <c r="A2443" t="s">
        <v>10</v>
      </c>
      <c r="B2443" t="s">
        <v>1206</v>
      </c>
      <c r="C2443" t="s">
        <v>1618</v>
      </c>
      <c r="D2443" t="s">
        <v>1619</v>
      </c>
      <c r="E2443" t="s">
        <v>3100</v>
      </c>
      <c r="F2443" t="s">
        <v>14</v>
      </c>
      <c r="G2443" t="s">
        <v>1375</v>
      </c>
      <c r="H2443" t="s">
        <v>22</v>
      </c>
      <c r="I2443" t="s">
        <v>3308</v>
      </c>
      <c r="J2443" t="s">
        <v>1375</v>
      </c>
      <c r="K2443" t="str">
        <f t="shared" si="342"/>
        <v>5033.14</v>
      </c>
      <c r="N2443" t="str">
        <f t="shared" si="343"/>
        <v>HOLDING REGISTER</v>
      </c>
      <c r="O2443" t="str">
        <f t="shared" si="344"/>
        <v>BOOL</v>
      </c>
      <c r="P2443" t="str">
        <f t="shared" si="345"/>
        <v>TELECAMERA T11N</v>
      </c>
      <c r="R2443" t="str">
        <f t="shared" si="346"/>
        <v>disponibile</v>
      </c>
      <c r="U2443" t="str">
        <f t="shared" si="347"/>
        <v>disponibile</v>
      </c>
      <c r="V2443" t="str">
        <f t="shared" si="348"/>
        <v>DIREZIONE SUD</v>
      </c>
      <c r="W2443" t="str">
        <f t="shared" si="349"/>
        <v>GALLERIA CASOLA</v>
      </c>
      <c r="Z2443" t="str">
        <f t="shared" si="350"/>
        <v>10.220.80.16</v>
      </c>
    </row>
    <row r="2444" spans="1:26" x14ac:dyDescent="0.25">
      <c r="A2444" t="s">
        <v>10</v>
      </c>
      <c r="B2444" t="s">
        <v>1206</v>
      </c>
      <c r="C2444" t="s">
        <v>1618</v>
      </c>
      <c r="D2444" t="s">
        <v>1619</v>
      </c>
      <c r="E2444" t="s">
        <v>3100</v>
      </c>
      <c r="F2444" t="s">
        <v>14</v>
      </c>
      <c r="G2444" t="s">
        <v>1375</v>
      </c>
      <c r="H2444" t="s">
        <v>22</v>
      </c>
      <c r="I2444" t="s">
        <v>3309</v>
      </c>
      <c r="J2444" t="s">
        <v>1375</v>
      </c>
      <c r="K2444" t="str">
        <f t="shared" si="342"/>
        <v>5033.15</v>
      </c>
      <c r="N2444" t="str">
        <f t="shared" si="343"/>
        <v>HOLDING REGISTER</v>
      </c>
      <c r="O2444" t="str">
        <f t="shared" si="344"/>
        <v>BOOL</v>
      </c>
      <c r="P2444" t="str">
        <f t="shared" si="345"/>
        <v>TELECAMERA T11N</v>
      </c>
      <c r="R2444" t="str">
        <f t="shared" si="346"/>
        <v>disponibile</v>
      </c>
      <c r="U2444" t="str">
        <f t="shared" si="347"/>
        <v>disponibile</v>
      </c>
      <c r="V2444" t="str">
        <f t="shared" si="348"/>
        <v>DIREZIONE SUD</v>
      </c>
      <c r="W2444" t="str">
        <f t="shared" si="349"/>
        <v>GALLERIA CASOLA</v>
      </c>
      <c r="Z2444" t="str">
        <f t="shared" si="350"/>
        <v>10.220.80.16</v>
      </c>
    </row>
    <row r="2445" spans="1:26" x14ac:dyDescent="0.25">
      <c r="A2445" t="s">
        <v>10</v>
      </c>
      <c r="B2445" t="s">
        <v>1206</v>
      </c>
      <c r="C2445" t="s">
        <v>1618</v>
      </c>
      <c r="D2445" t="s">
        <v>1619</v>
      </c>
      <c r="E2445" t="s">
        <v>3117</v>
      </c>
      <c r="F2445" t="s">
        <v>14</v>
      </c>
      <c r="G2445" t="s">
        <v>28</v>
      </c>
      <c r="H2445" t="s">
        <v>22</v>
      </c>
      <c r="I2445" t="s">
        <v>3310</v>
      </c>
      <c r="J2445" t="s">
        <v>1897</v>
      </c>
      <c r="K2445" t="str">
        <f t="shared" si="342"/>
        <v>5034.0</v>
      </c>
      <c r="N2445" t="str">
        <f t="shared" si="343"/>
        <v>HOLDING REGISTER</v>
      </c>
      <c r="O2445" t="str">
        <f t="shared" si="344"/>
        <v>BOOL</v>
      </c>
      <c r="P2445" t="str">
        <f t="shared" si="345"/>
        <v>TELECAMERA T12N</v>
      </c>
      <c r="R2445" t="str">
        <f t="shared" si="346"/>
        <v>PERDITA SEGNALE VIDEO</v>
      </c>
      <c r="U2445" t="str">
        <f t="shared" si="347"/>
        <v>Allarme</v>
      </c>
      <c r="V2445" t="str">
        <f t="shared" si="348"/>
        <v>DIREZIONE SUD</v>
      </c>
      <c r="W2445" t="str">
        <f t="shared" si="349"/>
        <v>GALLERIA CASOLA</v>
      </c>
      <c r="Z2445" t="str">
        <f t="shared" si="350"/>
        <v>10.220.80.16</v>
      </c>
    </row>
    <row r="2446" spans="1:26" x14ac:dyDescent="0.25">
      <c r="A2446" t="s">
        <v>10</v>
      </c>
      <c r="B2446" t="s">
        <v>1206</v>
      </c>
      <c r="C2446" t="s">
        <v>1618</v>
      </c>
      <c r="D2446" t="s">
        <v>1619</v>
      </c>
      <c r="E2446" t="s">
        <v>3117</v>
      </c>
      <c r="F2446" t="s">
        <v>14</v>
      </c>
      <c r="G2446" t="s">
        <v>28</v>
      </c>
      <c r="H2446" t="s">
        <v>22</v>
      </c>
      <c r="I2446" t="s">
        <v>3311</v>
      </c>
      <c r="J2446" t="s">
        <v>1899</v>
      </c>
      <c r="K2446" t="str">
        <f t="shared" si="342"/>
        <v>5034.1</v>
      </c>
      <c r="N2446" t="str">
        <f t="shared" si="343"/>
        <v>HOLDING REGISTER</v>
      </c>
      <c r="O2446" t="str">
        <f t="shared" si="344"/>
        <v>BOOL</v>
      </c>
      <c r="P2446" t="str">
        <f t="shared" si="345"/>
        <v>TELECAMERA T12N</v>
      </c>
      <c r="R2446" t="str">
        <f t="shared" si="346"/>
        <v>MANOMISSIONE</v>
      </c>
      <c r="U2446" t="str">
        <f t="shared" si="347"/>
        <v>Allarme</v>
      </c>
      <c r="V2446" t="str">
        <f t="shared" si="348"/>
        <v>DIREZIONE SUD</v>
      </c>
      <c r="W2446" t="str">
        <f t="shared" si="349"/>
        <v>GALLERIA CASOLA</v>
      </c>
      <c r="Z2446" t="str">
        <f t="shared" si="350"/>
        <v>10.220.80.16</v>
      </c>
    </row>
    <row r="2447" spans="1:26" x14ac:dyDescent="0.25">
      <c r="A2447" t="s">
        <v>10</v>
      </c>
      <c r="B2447" t="s">
        <v>1206</v>
      </c>
      <c r="C2447" t="s">
        <v>1618</v>
      </c>
      <c r="D2447" t="s">
        <v>1619</v>
      </c>
      <c r="E2447" t="s">
        <v>3117</v>
      </c>
      <c r="F2447" t="s">
        <v>14</v>
      </c>
      <c r="G2447" t="s">
        <v>1375</v>
      </c>
      <c r="H2447" t="s">
        <v>22</v>
      </c>
      <c r="I2447" t="s">
        <v>3312</v>
      </c>
      <c r="J2447" t="s">
        <v>1375</v>
      </c>
      <c r="K2447" t="str">
        <f t="shared" si="342"/>
        <v>5034.2</v>
      </c>
      <c r="N2447" t="str">
        <f t="shared" si="343"/>
        <v>HOLDING REGISTER</v>
      </c>
      <c r="O2447" t="str">
        <f t="shared" si="344"/>
        <v>BOOL</v>
      </c>
      <c r="P2447" t="str">
        <f t="shared" si="345"/>
        <v>TELECAMERA T12N</v>
      </c>
      <c r="R2447" t="str">
        <f t="shared" si="346"/>
        <v>disponibile</v>
      </c>
      <c r="U2447" t="str">
        <f t="shared" si="347"/>
        <v>disponibile</v>
      </c>
      <c r="V2447" t="str">
        <f t="shared" si="348"/>
        <v>DIREZIONE SUD</v>
      </c>
      <c r="W2447" t="str">
        <f t="shared" si="349"/>
        <v>GALLERIA CASOLA</v>
      </c>
      <c r="Z2447" t="str">
        <f t="shared" si="350"/>
        <v>10.220.80.16</v>
      </c>
    </row>
    <row r="2448" spans="1:26" x14ac:dyDescent="0.25">
      <c r="A2448" t="s">
        <v>10</v>
      </c>
      <c r="B2448" t="s">
        <v>1206</v>
      </c>
      <c r="C2448" t="s">
        <v>1618</v>
      </c>
      <c r="D2448" t="s">
        <v>1619</v>
      </c>
      <c r="E2448" t="s">
        <v>3117</v>
      </c>
      <c r="F2448" t="s">
        <v>14</v>
      </c>
      <c r="G2448" t="s">
        <v>28</v>
      </c>
      <c r="H2448" t="s">
        <v>22</v>
      </c>
      <c r="I2448" t="s">
        <v>3313</v>
      </c>
      <c r="J2448" t="s">
        <v>1902</v>
      </c>
      <c r="K2448" t="str">
        <f t="shared" si="342"/>
        <v>5034.3</v>
      </c>
      <c r="N2448" t="str">
        <f t="shared" si="343"/>
        <v>HOLDING REGISTER</v>
      </c>
      <c r="O2448" t="str">
        <f t="shared" si="344"/>
        <v>BOOL</v>
      </c>
      <c r="P2448" t="str">
        <f t="shared" si="345"/>
        <v>TELECAMERA T12N</v>
      </c>
      <c r="R2448" t="str">
        <f t="shared" si="346"/>
        <v>VEICOLO FERMO</v>
      </c>
      <c r="U2448" t="str">
        <f t="shared" si="347"/>
        <v>Allarme</v>
      </c>
      <c r="V2448" t="str">
        <f t="shared" si="348"/>
        <v>DIREZIONE SUD</v>
      </c>
      <c r="W2448" t="str">
        <f t="shared" si="349"/>
        <v>GALLERIA CASOLA</v>
      </c>
      <c r="Z2448" t="str">
        <f t="shared" si="350"/>
        <v>10.220.80.16</v>
      </c>
    </row>
    <row r="2449" spans="1:26" x14ac:dyDescent="0.25">
      <c r="A2449" t="s">
        <v>10</v>
      </c>
      <c r="B2449" t="s">
        <v>1206</v>
      </c>
      <c r="C2449" t="s">
        <v>1618</v>
      </c>
      <c r="D2449" t="s">
        <v>1619</v>
      </c>
      <c r="E2449" t="s">
        <v>3117</v>
      </c>
      <c r="F2449" t="s">
        <v>14</v>
      </c>
      <c r="G2449" t="s">
        <v>28</v>
      </c>
      <c r="H2449" t="s">
        <v>22</v>
      </c>
      <c r="I2449" t="s">
        <v>3314</v>
      </c>
      <c r="J2449" t="s">
        <v>1904</v>
      </c>
      <c r="K2449" t="str">
        <f t="shared" si="342"/>
        <v>5034.4</v>
      </c>
      <c r="N2449" t="str">
        <f t="shared" si="343"/>
        <v>HOLDING REGISTER</v>
      </c>
      <c r="O2449" t="str">
        <f t="shared" si="344"/>
        <v>BOOL</v>
      </c>
      <c r="P2449" t="str">
        <f t="shared" si="345"/>
        <v>TELECAMERA T12N</v>
      </c>
      <c r="R2449" t="str">
        <f t="shared" si="346"/>
        <v>CARICO DISPERSO</v>
      </c>
      <c r="U2449" t="str">
        <f t="shared" si="347"/>
        <v>Allarme</v>
      </c>
      <c r="V2449" t="str">
        <f t="shared" si="348"/>
        <v>DIREZIONE SUD</v>
      </c>
      <c r="W2449" t="str">
        <f t="shared" si="349"/>
        <v>GALLERIA CASOLA</v>
      </c>
      <c r="Z2449" t="str">
        <f t="shared" si="350"/>
        <v>10.220.80.16</v>
      </c>
    </row>
    <row r="2450" spans="1:26" x14ac:dyDescent="0.25">
      <c r="A2450" t="s">
        <v>10</v>
      </c>
      <c r="B2450" t="s">
        <v>1206</v>
      </c>
      <c r="C2450" t="s">
        <v>1618</v>
      </c>
      <c r="D2450" t="s">
        <v>1619</v>
      </c>
      <c r="E2450" t="s">
        <v>3117</v>
      </c>
      <c r="F2450" t="s">
        <v>14</v>
      </c>
      <c r="G2450" t="s">
        <v>1375</v>
      </c>
      <c r="H2450" t="s">
        <v>22</v>
      </c>
      <c r="I2450" t="s">
        <v>3315</v>
      </c>
      <c r="J2450" t="s">
        <v>1375</v>
      </c>
      <c r="K2450" t="str">
        <f t="shared" si="342"/>
        <v>5034.5</v>
      </c>
      <c r="N2450" t="str">
        <f t="shared" si="343"/>
        <v>HOLDING REGISTER</v>
      </c>
      <c r="O2450" t="str">
        <f t="shared" si="344"/>
        <v>BOOL</v>
      </c>
      <c r="P2450" t="str">
        <f t="shared" si="345"/>
        <v>TELECAMERA T12N</v>
      </c>
      <c r="R2450" t="str">
        <f t="shared" si="346"/>
        <v>disponibile</v>
      </c>
      <c r="U2450" t="str">
        <f t="shared" si="347"/>
        <v>disponibile</v>
      </c>
      <c r="V2450" t="str">
        <f t="shared" si="348"/>
        <v>DIREZIONE SUD</v>
      </c>
      <c r="W2450" t="str">
        <f t="shared" si="349"/>
        <v>GALLERIA CASOLA</v>
      </c>
      <c r="Z2450" t="str">
        <f t="shared" si="350"/>
        <v>10.220.80.16</v>
      </c>
    </row>
    <row r="2451" spans="1:26" x14ac:dyDescent="0.25">
      <c r="A2451" t="s">
        <v>10</v>
      </c>
      <c r="B2451" t="s">
        <v>1206</v>
      </c>
      <c r="C2451" t="s">
        <v>1618</v>
      </c>
      <c r="D2451" t="s">
        <v>1619</v>
      </c>
      <c r="E2451" t="s">
        <v>3117</v>
      </c>
      <c r="F2451" t="s">
        <v>14</v>
      </c>
      <c r="G2451" t="s">
        <v>28</v>
      </c>
      <c r="H2451" t="s">
        <v>22</v>
      </c>
      <c r="I2451" t="s">
        <v>3316</v>
      </c>
      <c r="J2451" t="s">
        <v>1907</v>
      </c>
      <c r="K2451" t="str">
        <f t="shared" si="342"/>
        <v>5034.6</v>
      </c>
      <c r="N2451" t="str">
        <f t="shared" si="343"/>
        <v>HOLDING REGISTER</v>
      </c>
      <c r="O2451" t="str">
        <f t="shared" si="344"/>
        <v>BOOL</v>
      </c>
      <c r="P2451" t="str">
        <f t="shared" si="345"/>
        <v>TELECAMERA T12N</v>
      </c>
      <c r="R2451" t="str">
        <f t="shared" si="346"/>
        <v>PEDONE</v>
      </c>
      <c r="U2451" t="str">
        <f t="shared" si="347"/>
        <v>Allarme</v>
      </c>
      <c r="V2451" t="str">
        <f t="shared" si="348"/>
        <v>DIREZIONE SUD</v>
      </c>
      <c r="W2451" t="str">
        <f t="shared" si="349"/>
        <v>GALLERIA CASOLA</v>
      </c>
      <c r="Z2451" t="str">
        <f t="shared" si="350"/>
        <v>10.220.80.16</v>
      </c>
    </row>
    <row r="2452" spans="1:26" x14ac:dyDescent="0.25">
      <c r="A2452" t="s">
        <v>10</v>
      </c>
      <c r="B2452" t="s">
        <v>1206</v>
      </c>
      <c r="C2452" t="s">
        <v>1618</v>
      </c>
      <c r="D2452" t="s">
        <v>1619</v>
      </c>
      <c r="E2452" t="s">
        <v>3117</v>
      </c>
      <c r="F2452" t="s">
        <v>14</v>
      </c>
      <c r="G2452" t="s">
        <v>28</v>
      </c>
      <c r="H2452" t="s">
        <v>22</v>
      </c>
      <c r="I2452" t="s">
        <v>3317</v>
      </c>
      <c r="J2452" t="s">
        <v>1909</v>
      </c>
      <c r="K2452" t="str">
        <f t="shared" si="342"/>
        <v>5034.7</v>
      </c>
      <c r="N2452" t="str">
        <f t="shared" si="343"/>
        <v>HOLDING REGISTER</v>
      </c>
      <c r="O2452" t="str">
        <f t="shared" si="344"/>
        <v>BOOL</v>
      </c>
      <c r="P2452" t="str">
        <f t="shared" si="345"/>
        <v>TELECAMERA T12N</v>
      </c>
      <c r="R2452" t="str">
        <f t="shared" si="346"/>
        <v>FUMO</v>
      </c>
      <c r="U2452" t="str">
        <f t="shared" si="347"/>
        <v>Allarme</v>
      </c>
      <c r="V2452" t="str">
        <f t="shared" si="348"/>
        <v>DIREZIONE SUD</v>
      </c>
      <c r="W2452" t="str">
        <f t="shared" si="349"/>
        <v>GALLERIA CASOLA</v>
      </c>
      <c r="Z2452" t="str">
        <f t="shared" si="350"/>
        <v>10.220.80.16</v>
      </c>
    </row>
    <row r="2453" spans="1:26" x14ac:dyDescent="0.25">
      <c r="A2453" t="s">
        <v>10</v>
      </c>
      <c r="B2453" t="s">
        <v>1206</v>
      </c>
      <c r="C2453" t="s">
        <v>1618</v>
      </c>
      <c r="D2453" t="s">
        <v>1619</v>
      </c>
      <c r="E2453" t="s">
        <v>3117</v>
      </c>
      <c r="F2453" t="s">
        <v>14</v>
      </c>
      <c r="G2453" t="s">
        <v>28</v>
      </c>
      <c r="H2453" t="s">
        <v>22</v>
      </c>
      <c r="I2453" t="s">
        <v>3318</v>
      </c>
      <c r="J2453" t="s">
        <v>1911</v>
      </c>
      <c r="K2453" t="str">
        <f t="shared" si="342"/>
        <v>5034.8</v>
      </c>
      <c r="N2453" t="str">
        <f t="shared" si="343"/>
        <v>HOLDING REGISTER</v>
      </c>
      <c r="O2453" t="str">
        <f t="shared" si="344"/>
        <v>BOOL</v>
      </c>
      <c r="P2453" t="str">
        <f t="shared" si="345"/>
        <v>TELECAMERA T12N</v>
      </c>
      <c r="R2453" t="str">
        <f t="shared" si="346"/>
        <v>RALLENTAMENTI</v>
      </c>
      <c r="U2453" t="str">
        <f t="shared" si="347"/>
        <v>Allarme</v>
      </c>
      <c r="V2453" t="str">
        <f t="shared" si="348"/>
        <v>DIREZIONE SUD</v>
      </c>
      <c r="W2453" t="str">
        <f t="shared" si="349"/>
        <v>GALLERIA CASOLA</v>
      </c>
      <c r="Z2453" t="str">
        <f t="shared" si="350"/>
        <v>10.220.80.16</v>
      </c>
    </row>
    <row r="2454" spans="1:26" x14ac:dyDescent="0.25">
      <c r="A2454" t="s">
        <v>10</v>
      </c>
      <c r="B2454" t="s">
        <v>1206</v>
      </c>
      <c r="C2454" t="s">
        <v>1618</v>
      </c>
      <c r="D2454" t="s">
        <v>1619</v>
      </c>
      <c r="E2454" t="s">
        <v>3117</v>
      </c>
      <c r="F2454" t="s">
        <v>14</v>
      </c>
      <c r="G2454" t="s">
        <v>28</v>
      </c>
      <c r="H2454" t="s">
        <v>22</v>
      </c>
      <c r="I2454" t="s">
        <v>3319</v>
      </c>
      <c r="J2454" t="s">
        <v>1913</v>
      </c>
      <c r="K2454" t="str">
        <f t="shared" si="342"/>
        <v>5034.9</v>
      </c>
      <c r="N2454" t="str">
        <f t="shared" si="343"/>
        <v>HOLDING REGISTER</v>
      </c>
      <c r="O2454" t="str">
        <f t="shared" si="344"/>
        <v>BOOL</v>
      </c>
      <c r="P2454" t="str">
        <f t="shared" si="345"/>
        <v>TELECAMERA T12N</v>
      </c>
      <c r="R2454" t="str">
        <f t="shared" si="346"/>
        <v>CODA IN GALLERIA</v>
      </c>
      <c r="U2454" t="str">
        <f t="shared" si="347"/>
        <v>Allarme</v>
      </c>
      <c r="V2454" t="str">
        <f t="shared" si="348"/>
        <v>DIREZIONE SUD</v>
      </c>
      <c r="W2454" t="str">
        <f t="shared" si="349"/>
        <v>GALLERIA CASOLA</v>
      </c>
      <c r="Z2454" t="str">
        <f t="shared" si="350"/>
        <v>10.220.80.16</v>
      </c>
    </row>
    <row r="2455" spans="1:26" x14ac:dyDescent="0.25">
      <c r="A2455" t="s">
        <v>10</v>
      </c>
      <c r="B2455" t="s">
        <v>1206</v>
      </c>
      <c r="C2455" t="s">
        <v>1618</v>
      </c>
      <c r="D2455" t="s">
        <v>1619</v>
      </c>
      <c r="E2455" t="s">
        <v>3117</v>
      </c>
      <c r="F2455" t="s">
        <v>14</v>
      </c>
      <c r="G2455" t="s">
        <v>1375</v>
      </c>
      <c r="H2455" t="s">
        <v>22</v>
      </c>
      <c r="I2455" t="s">
        <v>3320</v>
      </c>
      <c r="J2455" t="s">
        <v>1375</v>
      </c>
      <c r="K2455" t="str">
        <f t="shared" si="342"/>
        <v>5034.10</v>
      </c>
      <c r="N2455" t="str">
        <f t="shared" si="343"/>
        <v>HOLDING REGISTER</v>
      </c>
      <c r="O2455" t="str">
        <f t="shared" si="344"/>
        <v>BOOL</v>
      </c>
      <c r="P2455" t="str">
        <f t="shared" si="345"/>
        <v>TELECAMERA T12N</v>
      </c>
      <c r="R2455" t="str">
        <f t="shared" si="346"/>
        <v>disponibile</v>
      </c>
      <c r="U2455" t="str">
        <f t="shared" si="347"/>
        <v>disponibile</v>
      </c>
      <c r="V2455" t="str">
        <f t="shared" si="348"/>
        <v>DIREZIONE SUD</v>
      </c>
      <c r="W2455" t="str">
        <f t="shared" si="349"/>
        <v>GALLERIA CASOLA</v>
      </c>
      <c r="Z2455" t="str">
        <f t="shared" si="350"/>
        <v>10.220.80.16</v>
      </c>
    </row>
    <row r="2456" spans="1:26" x14ac:dyDescent="0.25">
      <c r="A2456" t="s">
        <v>10</v>
      </c>
      <c r="B2456" t="s">
        <v>1206</v>
      </c>
      <c r="C2456" t="s">
        <v>1618</v>
      </c>
      <c r="D2456" t="s">
        <v>1619</v>
      </c>
      <c r="E2456" t="s">
        <v>3117</v>
      </c>
      <c r="F2456" t="s">
        <v>14</v>
      </c>
      <c r="G2456" t="s">
        <v>1375</v>
      </c>
      <c r="H2456" t="s">
        <v>22</v>
      </c>
      <c r="I2456" t="s">
        <v>3321</v>
      </c>
      <c r="J2456" t="s">
        <v>1375</v>
      </c>
      <c r="K2456" t="str">
        <f t="shared" si="342"/>
        <v>5034.11</v>
      </c>
      <c r="N2456" t="str">
        <f t="shared" si="343"/>
        <v>HOLDING REGISTER</v>
      </c>
      <c r="O2456" t="str">
        <f t="shared" si="344"/>
        <v>BOOL</v>
      </c>
      <c r="P2456" t="str">
        <f t="shared" si="345"/>
        <v>TELECAMERA T12N</v>
      </c>
      <c r="R2456" t="str">
        <f t="shared" si="346"/>
        <v>disponibile</v>
      </c>
      <c r="U2456" t="str">
        <f t="shared" si="347"/>
        <v>disponibile</v>
      </c>
      <c r="V2456" t="str">
        <f t="shared" si="348"/>
        <v>DIREZIONE SUD</v>
      </c>
      <c r="W2456" t="str">
        <f t="shared" si="349"/>
        <v>GALLERIA CASOLA</v>
      </c>
      <c r="Z2456" t="str">
        <f t="shared" si="350"/>
        <v>10.220.80.16</v>
      </c>
    </row>
    <row r="2457" spans="1:26" x14ac:dyDescent="0.25">
      <c r="A2457" t="s">
        <v>10</v>
      </c>
      <c r="B2457" t="s">
        <v>1206</v>
      </c>
      <c r="C2457" t="s">
        <v>1618</v>
      </c>
      <c r="D2457" t="s">
        <v>1619</v>
      </c>
      <c r="E2457" t="s">
        <v>3117</v>
      </c>
      <c r="F2457" t="s">
        <v>14</v>
      </c>
      <c r="G2457" t="s">
        <v>1375</v>
      </c>
      <c r="H2457" t="s">
        <v>22</v>
      </c>
      <c r="I2457" t="s">
        <v>3322</v>
      </c>
      <c r="J2457" t="s">
        <v>1375</v>
      </c>
      <c r="K2457" t="str">
        <f t="shared" si="342"/>
        <v>5034.12</v>
      </c>
      <c r="N2457" t="str">
        <f t="shared" si="343"/>
        <v>HOLDING REGISTER</v>
      </c>
      <c r="O2457" t="str">
        <f t="shared" si="344"/>
        <v>BOOL</v>
      </c>
      <c r="P2457" t="str">
        <f t="shared" si="345"/>
        <v>TELECAMERA T12N</v>
      </c>
      <c r="R2457" t="str">
        <f t="shared" si="346"/>
        <v>disponibile</v>
      </c>
      <c r="U2457" t="str">
        <f t="shared" si="347"/>
        <v>disponibile</v>
      </c>
      <c r="V2457" t="str">
        <f t="shared" si="348"/>
        <v>DIREZIONE SUD</v>
      </c>
      <c r="W2457" t="str">
        <f t="shared" si="349"/>
        <v>GALLERIA CASOLA</v>
      </c>
      <c r="Z2457" t="str">
        <f t="shared" si="350"/>
        <v>10.220.80.16</v>
      </c>
    </row>
    <row r="2458" spans="1:26" x14ac:dyDescent="0.25">
      <c r="A2458" t="s">
        <v>10</v>
      </c>
      <c r="B2458" t="s">
        <v>1206</v>
      </c>
      <c r="C2458" t="s">
        <v>1618</v>
      </c>
      <c r="D2458" t="s">
        <v>1619</v>
      </c>
      <c r="E2458" t="s">
        <v>3117</v>
      </c>
      <c r="F2458" t="s">
        <v>14</v>
      </c>
      <c r="G2458" t="s">
        <v>1375</v>
      </c>
      <c r="H2458" t="s">
        <v>22</v>
      </c>
      <c r="I2458" t="s">
        <v>3323</v>
      </c>
      <c r="J2458" t="s">
        <v>1375</v>
      </c>
      <c r="K2458" t="str">
        <f t="shared" si="342"/>
        <v>5034.13</v>
      </c>
      <c r="N2458" t="str">
        <f t="shared" si="343"/>
        <v>HOLDING REGISTER</v>
      </c>
      <c r="O2458" t="str">
        <f t="shared" si="344"/>
        <v>BOOL</v>
      </c>
      <c r="P2458" t="str">
        <f t="shared" si="345"/>
        <v>TELECAMERA T12N</v>
      </c>
      <c r="R2458" t="str">
        <f t="shared" si="346"/>
        <v>disponibile</v>
      </c>
      <c r="U2458" t="str">
        <f t="shared" si="347"/>
        <v>disponibile</v>
      </c>
      <c r="V2458" t="str">
        <f t="shared" si="348"/>
        <v>DIREZIONE SUD</v>
      </c>
      <c r="W2458" t="str">
        <f t="shared" si="349"/>
        <v>GALLERIA CASOLA</v>
      </c>
      <c r="Z2458" t="str">
        <f t="shared" si="350"/>
        <v>10.220.80.16</v>
      </c>
    </row>
    <row r="2459" spans="1:26" x14ac:dyDescent="0.25">
      <c r="A2459" t="s">
        <v>10</v>
      </c>
      <c r="B2459" t="s">
        <v>1206</v>
      </c>
      <c r="C2459" t="s">
        <v>1618</v>
      </c>
      <c r="D2459" t="s">
        <v>1619</v>
      </c>
      <c r="E2459" t="s">
        <v>3117</v>
      </c>
      <c r="F2459" t="s">
        <v>14</v>
      </c>
      <c r="G2459" t="s">
        <v>1375</v>
      </c>
      <c r="H2459" t="s">
        <v>22</v>
      </c>
      <c r="I2459" t="s">
        <v>3324</v>
      </c>
      <c r="J2459" t="s">
        <v>1375</v>
      </c>
      <c r="K2459" t="str">
        <f t="shared" si="342"/>
        <v>5034.14</v>
      </c>
      <c r="N2459" t="str">
        <f t="shared" si="343"/>
        <v>HOLDING REGISTER</v>
      </c>
      <c r="O2459" t="str">
        <f t="shared" si="344"/>
        <v>BOOL</v>
      </c>
      <c r="P2459" t="str">
        <f t="shared" si="345"/>
        <v>TELECAMERA T12N</v>
      </c>
      <c r="R2459" t="str">
        <f t="shared" si="346"/>
        <v>disponibile</v>
      </c>
      <c r="U2459" t="str">
        <f t="shared" si="347"/>
        <v>disponibile</v>
      </c>
      <c r="V2459" t="str">
        <f t="shared" si="348"/>
        <v>DIREZIONE SUD</v>
      </c>
      <c r="W2459" t="str">
        <f t="shared" si="349"/>
        <v>GALLERIA CASOLA</v>
      </c>
      <c r="Z2459" t="str">
        <f t="shared" si="350"/>
        <v>10.220.80.16</v>
      </c>
    </row>
    <row r="2460" spans="1:26" x14ac:dyDescent="0.25">
      <c r="A2460" t="s">
        <v>10</v>
      </c>
      <c r="B2460" t="s">
        <v>1206</v>
      </c>
      <c r="C2460" t="s">
        <v>1618</v>
      </c>
      <c r="D2460" t="s">
        <v>1619</v>
      </c>
      <c r="E2460" t="s">
        <v>3117</v>
      </c>
      <c r="F2460" t="s">
        <v>14</v>
      </c>
      <c r="G2460" t="s">
        <v>1375</v>
      </c>
      <c r="H2460" t="s">
        <v>22</v>
      </c>
      <c r="I2460" t="s">
        <v>3325</v>
      </c>
      <c r="J2460" t="s">
        <v>1375</v>
      </c>
      <c r="K2460" t="str">
        <f t="shared" si="342"/>
        <v>5034.15</v>
      </c>
      <c r="N2460" t="str">
        <f t="shared" si="343"/>
        <v>HOLDING REGISTER</v>
      </c>
      <c r="O2460" t="str">
        <f t="shared" si="344"/>
        <v>BOOL</v>
      </c>
      <c r="P2460" t="str">
        <f t="shared" si="345"/>
        <v>TELECAMERA T12N</v>
      </c>
      <c r="R2460" t="str">
        <f t="shared" si="346"/>
        <v>disponibile</v>
      </c>
      <c r="U2460" t="str">
        <f t="shared" si="347"/>
        <v>disponibile</v>
      </c>
      <c r="V2460" t="str">
        <f t="shared" si="348"/>
        <v>DIREZIONE SUD</v>
      </c>
      <c r="W2460" t="str">
        <f t="shared" si="349"/>
        <v>GALLERIA CASOLA</v>
      </c>
      <c r="Z2460" t="str">
        <f t="shared" si="350"/>
        <v>10.220.80.16</v>
      </c>
    </row>
    <row r="2461" spans="1:26" x14ac:dyDescent="0.25">
      <c r="A2461" t="s">
        <v>10</v>
      </c>
      <c r="B2461" t="s">
        <v>1206</v>
      </c>
      <c r="C2461" t="s">
        <v>1618</v>
      </c>
      <c r="D2461" t="s">
        <v>1619</v>
      </c>
      <c r="E2461" t="s">
        <v>1759</v>
      </c>
      <c r="F2461" t="s">
        <v>14</v>
      </c>
      <c r="G2461" t="s">
        <v>28</v>
      </c>
      <c r="H2461" t="s">
        <v>22</v>
      </c>
      <c r="I2461" t="s">
        <v>3326</v>
      </c>
      <c r="J2461" t="s">
        <v>1897</v>
      </c>
      <c r="K2461" t="str">
        <f t="shared" si="342"/>
        <v>5035.0</v>
      </c>
      <c r="N2461" t="str">
        <f t="shared" si="343"/>
        <v>HOLDING REGISTER</v>
      </c>
      <c r="O2461" t="str">
        <f t="shared" si="344"/>
        <v>BOOL</v>
      </c>
      <c r="P2461" t="str">
        <f t="shared" si="345"/>
        <v>TELECAMERA T13N</v>
      </c>
      <c r="R2461" t="str">
        <f t="shared" si="346"/>
        <v>PERDITA SEGNALE VIDEO</v>
      </c>
      <c r="U2461" t="str">
        <f t="shared" si="347"/>
        <v>Allarme</v>
      </c>
      <c r="V2461" t="str">
        <f t="shared" si="348"/>
        <v>DIREZIONE SUD</v>
      </c>
      <c r="W2461" t="str">
        <f t="shared" si="349"/>
        <v>GALLERIA CASOLA</v>
      </c>
      <c r="Z2461" t="str">
        <f t="shared" si="350"/>
        <v>10.220.80.16</v>
      </c>
    </row>
    <row r="2462" spans="1:26" x14ac:dyDescent="0.25">
      <c r="A2462" t="s">
        <v>10</v>
      </c>
      <c r="B2462" t="s">
        <v>1206</v>
      </c>
      <c r="C2462" t="s">
        <v>1761</v>
      </c>
      <c r="D2462" t="s">
        <v>1619</v>
      </c>
      <c r="E2462" t="s">
        <v>1759</v>
      </c>
      <c r="F2462" t="s">
        <v>14</v>
      </c>
      <c r="G2462" t="s">
        <v>28</v>
      </c>
      <c r="H2462" t="s">
        <v>22</v>
      </c>
      <c r="I2462" t="s">
        <v>3327</v>
      </c>
      <c r="J2462" t="s">
        <v>1899</v>
      </c>
      <c r="K2462" t="str">
        <f t="shared" si="342"/>
        <v>5035.1</v>
      </c>
      <c r="N2462" t="str">
        <f t="shared" si="343"/>
        <v>HOLDING REGISTER</v>
      </c>
      <c r="O2462" t="str">
        <f t="shared" si="344"/>
        <v>BOOL</v>
      </c>
      <c r="P2462" t="str">
        <f t="shared" si="345"/>
        <v>TELECAMERA T13N</v>
      </c>
      <c r="R2462" t="str">
        <f t="shared" si="346"/>
        <v>MANOMISSIONE</v>
      </c>
      <c r="U2462" t="str">
        <f t="shared" si="347"/>
        <v>Allarme</v>
      </c>
      <c r="V2462" t="str">
        <f t="shared" si="348"/>
        <v>DIREZIONE NORD</v>
      </c>
      <c r="W2462" t="str">
        <f t="shared" si="349"/>
        <v>GALLERIA CASOLA</v>
      </c>
      <c r="Z2462" t="str">
        <f t="shared" si="350"/>
        <v>10.220.80.16</v>
      </c>
    </row>
    <row r="2463" spans="1:26" x14ac:dyDescent="0.25">
      <c r="A2463" t="s">
        <v>10</v>
      </c>
      <c r="B2463" t="s">
        <v>1206</v>
      </c>
      <c r="C2463" t="s">
        <v>1761</v>
      </c>
      <c r="D2463" t="s">
        <v>1619</v>
      </c>
      <c r="E2463" t="s">
        <v>1759</v>
      </c>
      <c r="F2463" t="s">
        <v>14</v>
      </c>
      <c r="G2463" t="s">
        <v>1375</v>
      </c>
      <c r="H2463" t="s">
        <v>22</v>
      </c>
      <c r="I2463" t="s">
        <v>3328</v>
      </c>
      <c r="J2463" t="s">
        <v>1375</v>
      </c>
      <c r="K2463" t="str">
        <f t="shared" si="342"/>
        <v>5035.2</v>
      </c>
      <c r="N2463" t="str">
        <f t="shared" si="343"/>
        <v>HOLDING REGISTER</v>
      </c>
      <c r="O2463" t="str">
        <f t="shared" si="344"/>
        <v>BOOL</v>
      </c>
      <c r="P2463" t="str">
        <f t="shared" si="345"/>
        <v>TELECAMERA T13N</v>
      </c>
      <c r="R2463" t="str">
        <f t="shared" si="346"/>
        <v>disponibile</v>
      </c>
      <c r="U2463" t="str">
        <f t="shared" si="347"/>
        <v>disponibile</v>
      </c>
      <c r="V2463" t="str">
        <f t="shared" si="348"/>
        <v>DIREZIONE NORD</v>
      </c>
      <c r="W2463" t="str">
        <f t="shared" si="349"/>
        <v>GALLERIA CASOLA</v>
      </c>
      <c r="Z2463" t="str">
        <f t="shared" si="350"/>
        <v>10.220.80.16</v>
      </c>
    </row>
    <row r="2464" spans="1:26" x14ac:dyDescent="0.25">
      <c r="A2464" t="s">
        <v>10</v>
      </c>
      <c r="B2464" t="s">
        <v>1206</v>
      </c>
      <c r="C2464" t="s">
        <v>1761</v>
      </c>
      <c r="D2464" t="s">
        <v>1619</v>
      </c>
      <c r="E2464" t="s">
        <v>1759</v>
      </c>
      <c r="F2464" t="s">
        <v>14</v>
      </c>
      <c r="G2464" t="s">
        <v>28</v>
      </c>
      <c r="H2464" t="s">
        <v>22</v>
      </c>
      <c r="I2464" t="s">
        <v>3329</v>
      </c>
      <c r="J2464" t="s">
        <v>1902</v>
      </c>
      <c r="K2464" t="str">
        <f t="shared" si="342"/>
        <v>5035.3</v>
      </c>
      <c r="N2464" t="str">
        <f t="shared" si="343"/>
        <v>HOLDING REGISTER</v>
      </c>
      <c r="O2464" t="str">
        <f t="shared" si="344"/>
        <v>BOOL</v>
      </c>
      <c r="P2464" t="str">
        <f t="shared" si="345"/>
        <v>TELECAMERA T13N</v>
      </c>
      <c r="R2464" t="str">
        <f t="shared" si="346"/>
        <v>VEICOLO FERMO</v>
      </c>
      <c r="U2464" t="str">
        <f t="shared" si="347"/>
        <v>Allarme</v>
      </c>
      <c r="V2464" t="str">
        <f t="shared" si="348"/>
        <v>DIREZIONE NORD</v>
      </c>
      <c r="W2464" t="str">
        <f t="shared" si="349"/>
        <v>GALLERIA CASOLA</v>
      </c>
      <c r="Z2464" t="str">
        <f t="shared" si="350"/>
        <v>10.220.80.16</v>
      </c>
    </row>
    <row r="2465" spans="1:26" x14ac:dyDescent="0.25">
      <c r="A2465" t="s">
        <v>10</v>
      </c>
      <c r="B2465" t="s">
        <v>1206</v>
      </c>
      <c r="C2465" t="s">
        <v>1761</v>
      </c>
      <c r="D2465" t="s">
        <v>1619</v>
      </c>
      <c r="E2465" t="s">
        <v>1759</v>
      </c>
      <c r="F2465" t="s">
        <v>14</v>
      </c>
      <c r="G2465" t="s">
        <v>28</v>
      </c>
      <c r="H2465" t="s">
        <v>22</v>
      </c>
      <c r="I2465" t="s">
        <v>3330</v>
      </c>
      <c r="J2465" t="s">
        <v>1904</v>
      </c>
      <c r="K2465" t="str">
        <f t="shared" si="342"/>
        <v>5035.4</v>
      </c>
      <c r="N2465" t="str">
        <f t="shared" si="343"/>
        <v>HOLDING REGISTER</v>
      </c>
      <c r="O2465" t="str">
        <f t="shared" si="344"/>
        <v>BOOL</v>
      </c>
      <c r="P2465" t="str">
        <f t="shared" si="345"/>
        <v>TELECAMERA T13N</v>
      </c>
      <c r="R2465" t="str">
        <f t="shared" si="346"/>
        <v>CARICO DISPERSO</v>
      </c>
      <c r="U2465" t="str">
        <f t="shared" si="347"/>
        <v>Allarme</v>
      </c>
      <c r="V2465" t="str">
        <f t="shared" si="348"/>
        <v>DIREZIONE NORD</v>
      </c>
      <c r="W2465" t="str">
        <f t="shared" si="349"/>
        <v>GALLERIA CASOLA</v>
      </c>
      <c r="Z2465" t="str">
        <f t="shared" si="350"/>
        <v>10.220.80.16</v>
      </c>
    </row>
    <row r="2466" spans="1:26" x14ac:dyDescent="0.25">
      <c r="A2466" t="s">
        <v>10</v>
      </c>
      <c r="B2466" t="s">
        <v>1206</v>
      </c>
      <c r="C2466" t="s">
        <v>1761</v>
      </c>
      <c r="D2466" t="s">
        <v>1619</v>
      </c>
      <c r="E2466" t="s">
        <v>1759</v>
      </c>
      <c r="F2466" t="s">
        <v>14</v>
      </c>
      <c r="G2466" t="s">
        <v>1375</v>
      </c>
      <c r="H2466" t="s">
        <v>22</v>
      </c>
      <c r="I2466" t="s">
        <v>3331</v>
      </c>
      <c r="J2466" t="s">
        <v>1375</v>
      </c>
      <c r="K2466" t="str">
        <f t="shared" si="342"/>
        <v>5035.5</v>
      </c>
      <c r="N2466" t="str">
        <f t="shared" si="343"/>
        <v>HOLDING REGISTER</v>
      </c>
      <c r="O2466" t="str">
        <f t="shared" si="344"/>
        <v>BOOL</v>
      </c>
      <c r="P2466" t="str">
        <f t="shared" si="345"/>
        <v>TELECAMERA T13N</v>
      </c>
      <c r="R2466" t="str">
        <f t="shared" si="346"/>
        <v>disponibile</v>
      </c>
      <c r="U2466" t="str">
        <f t="shared" si="347"/>
        <v>disponibile</v>
      </c>
      <c r="V2466" t="str">
        <f t="shared" si="348"/>
        <v>DIREZIONE NORD</v>
      </c>
      <c r="W2466" t="str">
        <f t="shared" si="349"/>
        <v>GALLERIA CASOLA</v>
      </c>
      <c r="Z2466" t="str">
        <f t="shared" si="350"/>
        <v>10.220.80.16</v>
      </c>
    </row>
    <row r="2467" spans="1:26" x14ac:dyDescent="0.25">
      <c r="A2467" t="s">
        <v>10</v>
      </c>
      <c r="B2467" t="s">
        <v>1206</v>
      </c>
      <c r="C2467" t="s">
        <v>1761</v>
      </c>
      <c r="D2467" t="s">
        <v>1619</v>
      </c>
      <c r="E2467" t="s">
        <v>1759</v>
      </c>
      <c r="F2467" t="s">
        <v>14</v>
      </c>
      <c r="G2467" t="s">
        <v>28</v>
      </c>
      <c r="H2467" t="s">
        <v>22</v>
      </c>
      <c r="I2467" t="s">
        <v>3332</v>
      </c>
      <c r="J2467" t="s">
        <v>1907</v>
      </c>
      <c r="K2467" t="str">
        <f t="shared" si="342"/>
        <v>5035.6</v>
      </c>
      <c r="N2467" t="str">
        <f t="shared" si="343"/>
        <v>HOLDING REGISTER</v>
      </c>
      <c r="O2467" t="str">
        <f t="shared" si="344"/>
        <v>BOOL</v>
      </c>
      <c r="P2467" t="str">
        <f t="shared" si="345"/>
        <v>TELECAMERA T13N</v>
      </c>
      <c r="R2467" t="str">
        <f t="shared" si="346"/>
        <v>PEDONE</v>
      </c>
      <c r="U2467" t="str">
        <f t="shared" si="347"/>
        <v>Allarme</v>
      </c>
      <c r="V2467" t="str">
        <f t="shared" si="348"/>
        <v>DIREZIONE NORD</v>
      </c>
      <c r="W2467" t="str">
        <f t="shared" si="349"/>
        <v>GALLERIA CASOLA</v>
      </c>
      <c r="Z2467" t="str">
        <f t="shared" si="350"/>
        <v>10.220.80.16</v>
      </c>
    </row>
    <row r="2468" spans="1:26" x14ac:dyDescent="0.25">
      <c r="A2468" t="s">
        <v>10</v>
      </c>
      <c r="B2468" t="s">
        <v>1206</v>
      </c>
      <c r="C2468" t="s">
        <v>1761</v>
      </c>
      <c r="D2468" t="s">
        <v>1619</v>
      </c>
      <c r="E2468" t="s">
        <v>1759</v>
      </c>
      <c r="F2468" t="s">
        <v>14</v>
      </c>
      <c r="G2468" t="s">
        <v>28</v>
      </c>
      <c r="H2468" t="s">
        <v>22</v>
      </c>
      <c r="I2468" t="s">
        <v>3333</v>
      </c>
      <c r="J2468" t="s">
        <v>1909</v>
      </c>
      <c r="K2468" t="str">
        <f t="shared" si="342"/>
        <v>5035.7</v>
      </c>
      <c r="N2468" t="str">
        <f t="shared" si="343"/>
        <v>HOLDING REGISTER</v>
      </c>
      <c r="O2468" t="str">
        <f t="shared" si="344"/>
        <v>BOOL</v>
      </c>
      <c r="P2468" t="str">
        <f t="shared" si="345"/>
        <v>TELECAMERA T13N</v>
      </c>
      <c r="R2468" t="str">
        <f t="shared" si="346"/>
        <v>FUMO</v>
      </c>
      <c r="U2468" t="str">
        <f t="shared" si="347"/>
        <v>Allarme</v>
      </c>
      <c r="V2468" t="str">
        <f t="shared" si="348"/>
        <v>DIREZIONE NORD</v>
      </c>
      <c r="W2468" t="str">
        <f t="shared" si="349"/>
        <v>GALLERIA CASOLA</v>
      </c>
      <c r="Z2468" t="str">
        <f t="shared" si="350"/>
        <v>10.220.80.16</v>
      </c>
    </row>
    <row r="2469" spans="1:26" x14ac:dyDescent="0.25">
      <c r="A2469" t="s">
        <v>10</v>
      </c>
      <c r="B2469" t="s">
        <v>1206</v>
      </c>
      <c r="C2469" t="s">
        <v>1761</v>
      </c>
      <c r="D2469" t="s">
        <v>1619</v>
      </c>
      <c r="E2469" t="s">
        <v>1759</v>
      </c>
      <c r="F2469" t="s">
        <v>14</v>
      </c>
      <c r="G2469" t="s">
        <v>28</v>
      </c>
      <c r="H2469" t="s">
        <v>22</v>
      </c>
      <c r="I2469" t="s">
        <v>3334</v>
      </c>
      <c r="J2469" t="s">
        <v>1911</v>
      </c>
      <c r="K2469" t="str">
        <f t="shared" si="342"/>
        <v>5035.8</v>
      </c>
      <c r="N2469" t="str">
        <f t="shared" si="343"/>
        <v>HOLDING REGISTER</v>
      </c>
      <c r="O2469" t="str">
        <f t="shared" si="344"/>
        <v>BOOL</v>
      </c>
      <c r="P2469" t="str">
        <f t="shared" si="345"/>
        <v>TELECAMERA T13N</v>
      </c>
      <c r="R2469" t="str">
        <f t="shared" si="346"/>
        <v>RALLENTAMENTI</v>
      </c>
      <c r="U2469" t="str">
        <f t="shared" si="347"/>
        <v>Allarme</v>
      </c>
      <c r="V2469" t="str">
        <f t="shared" si="348"/>
        <v>DIREZIONE NORD</v>
      </c>
      <c r="W2469" t="str">
        <f t="shared" si="349"/>
        <v>GALLERIA CASOLA</v>
      </c>
      <c r="Z2469" t="str">
        <f t="shared" si="350"/>
        <v>10.220.80.16</v>
      </c>
    </row>
    <row r="2470" spans="1:26" x14ac:dyDescent="0.25">
      <c r="A2470" t="s">
        <v>10</v>
      </c>
      <c r="B2470" t="s">
        <v>1206</v>
      </c>
      <c r="C2470" t="s">
        <v>1761</v>
      </c>
      <c r="D2470" t="s">
        <v>1619</v>
      </c>
      <c r="E2470" t="s">
        <v>1759</v>
      </c>
      <c r="F2470" t="s">
        <v>14</v>
      </c>
      <c r="G2470" t="s">
        <v>28</v>
      </c>
      <c r="H2470" t="s">
        <v>22</v>
      </c>
      <c r="I2470" t="s">
        <v>3335</v>
      </c>
      <c r="J2470" t="s">
        <v>1913</v>
      </c>
      <c r="K2470" t="str">
        <f t="shared" si="342"/>
        <v>5035.9</v>
      </c>
      <c r="N2470" t="str">
        <f t="shared" si="343"/>
        <v>HOLDING REGISTER</v>
      </c>
      <c r="O2470" t="str">
        <f t="shared" si="344"/>
        <v>BOOL</v>
      </c>
      <c r="P2470" t="str">
        <f t="shared" si="345"/>
        <v>TELECAMERA T13N</v>
      </c>
      <c r="R2470" t="str">
        <f t="shared" si="346"/>
        <v>CODA IN GALLERIA</v>
      </c>
      <c r="U2470" t="str">
        <f t="shared" si="347"/>
        <v>Allarme</v>
      </c>
      <c r="V2470" t="str">
        <f t="shared" si="348"/>
        <v>DIREZIONE NORD</v>
      </c>
      <c r="W2470" t="str">
        <f t="shared" si="349"/>
        <v>GALLERIA CASOLA</v>
      </c>
      <c r="Z2470" t="str">
        <f t="shared" si="350"/>
        <v>10.220.80.16</v>
      </c>
    </row>
    <row r="2471" spans="1:26" x14ac:dyDescent="0.25">
      <c r="A2471" t="s">
        <v>10</v>
      </c>
      <c r="B2471" t="s">
        <v>1206</v>
      </c>
      <c r="C2471" t="s">
        <v>1761</v>
      </c>
      <c r="D2471" t="s">
        <v>1619</v>
      </c>
      <c r="E2471" t="s">
        <v>1759</v>
      </c>
      <c r="F2471" t="s">
        <v>14</v>
      </c>
      <c r="G2471" t="s">
        <v>1375</v>
      </c>
      <c r="H2471" t="s">
        <v>22</v>
      </c>
      <c r="I2471" t="s">
        <v>3336</v>
      </c>
      <c r="J2471" t="s">
        <v>1375</v>
      </c>
      <c r="K2471" t="str">
        <f t="shared" si="342"/>
        <v>5035.10</v>
      </c>
      <c r="N2471" t="str">
        <f t="shared" si="343"/>
        <v>HOLDING REGISTER</v>
      </c>
      <c r="O2471" t="str">
        <f t="shared" si="344"/>
        <v>BOOL</v>
      </c>
      <c r="P2471" t="str">
        <f t="shared" si="345"/>
        <v>TELECAMERA T13N</v>
      </c>
      <c r="R2471" t="str">
        <f t="shared" si="346"/>
        <v>disponibile</v>
      </c>
      <c r="U2471" t="str">
        <f t="shared" si="347"/>
        <v>disponibile</v>
      </c>
      <c r="V2471" t="str">
        <f t="shared" si="348"/>
        <v>DIREZIONE NORD</v>
      </c>
      <c r="W2471" t="str">
        <f t="shared" si="349"/>
        <v>GALLERIA CASOLA</v>
      </c>
      <c r="Z2471" t="str">
        <f t="shared" si="350"/>
        <v>10.220.80.16</v>
      </c>
    </row>
    <row r="2472" spans="1:26" x14ac:dyDescent="0.25">
      <c r="A2472" t="s">
        <v>10</v>
      </c>
      <c r="B2472" t="s">
        <v>1206</v>
      </c>
      <c r="C2472" t="s">
        <v>1761</v>
      </c>
      <c r="D2472" t="s">
        <v>1619</v>
      </c>
      <c r="E2472" t="s">
        <v>1759</v>
      </c>
      <c r="F2472" t="s">
        <v>14</v>
      </c>
      <c r="G2472" t="s">
        <v>1375</v>
      </c>
      <c r="H2472" t="s">
        <v>22</v>
      </c>
      <c r="I2472" t="s">
        <v>3337</v>
      </c>
      <c r="J2472" t="s">
        <v>1375</v>
      </c>
      <c r="K2472" t="str">
        <f t="shared" si="342"/>
        <v>5035.11</v>
      </c>
      <c r="N2472" t="str">
        <f t="shared" si="343"/>
        <v>HOLDING REGISTER</v>
      </c>
      <c r="O2472" t="str">
        <f t="shared" si="344"/>
        <v>BOOL</v>
      </c>
      <c r="P2472" t="str">
        <f t="shared" si="345"/>
        <v>TELECAMERA T13N</v>
      </c>
      <c r="R2472" t="str">
        <f t="shared" si="346"/>
        <v>disponibile</v>
      </c>
      <c r="U2472" t="str">
        <f t="shared" si="347"/>
        <v>disponibile</v>
      </c>
      <c r="V2472" t="str">
        <f t="shared" si="348"/>
        <v>DIREZIONE NORD</v>
      </c>
      <c r="W2472" t="str">
        <f t="shared" si="349"/>
        <v>GALLERIA CASOLA</v>
      </c>
      <c r="Z2472" t="str">
        <f t="shared" si="350"/>
        <v>10.220.80.16</v>
      </c>
    </row>
    <row r="2473" spans="1:26" x14ac:dyDescent="0.25">
      <c r="A2473" t="s">
        <v>10</v>
      </c>
      <c r="B2473" t="s">
        <v>1206</v>
      </c>
      <c r="C2473" t="s">
        <v>1761</v>
      </c>
      <c r="D2473" t="s">
        <v>1619</v>
      </c>
      <c r="E2473" t="s">
        <v>1759</v>
      </c>
      <c r="F2473" t="s">
        <v>14</v>
      </c>
      <c r="G2473" t="s">
        <v>1375</v>
      </c>
      <c r="H2473" t="s">
        <v>22</v>
      </c>
      <c r="I2473" t="s">
        <v>3338</v>
      </c>
      <c r="J2473" t="s">
        <v>1375</v>
      </c>
      <c r="K2473" t="str">
        <f t="shared" si="342"/>
        <v>5035.12</v>
      </c>
      <c r="N2473" t="str">
        <f t="shared" si="343"/>
        <v>HOLDING REGISTER</v>
      </c>
      <c r="O2473" t="str">
        <f t="shared" si="344"/>
        <v>BOOL</v>
      </c>
      <c r="P2473" t="str">
        <f t="shared" si="345"/>
        <v>TELECAMERA T13N</v>
      </c>
      <c r="R2473" t="str">
        <f t="shared" si="346"/>
        <v>disponibile</v>
      </c>
      <c r="U2473" t="str">
        <f t="shared" si="347"/>
        <v>disponibile</v>
      </c>
      <c r="V2473" t="str">
        <f t="shared" si="348"/>
        <v>DIREZIONE NORD</v>
      </c>
      <c r="W2473" t="str">
        <f t="shared" si="349"/>
        <v>GALLERIA CASOLA</v>
      </c>
      <c r="Z2473" t="str">
        <f t="shared" si="350"/>
        <v>10.220.80.16</v>
      </c>
    </row>
    <row r="2474" spans="1:26" x14ac:dyDescent="0.25">
      <c r="A2474" t="s">
        <v>10</v>
      </c>
      <c r="B2474" t="s">
        <v>1206</v>
      </c>
      <c r="C2474" t="s">
        <v>1761</v>
      </c>
      <c r="D2474" t="s">
        <v>1619</v>
      </c>
      <c r="E2474" t="s">
        <v>1759</v>
      </c>
      <c r="F2474" t="s">
        <v>14</v>
      </c>
      <c r="G2474" t="s">
        <v>1375</v>
      </c>
      <c r="H2474" t="s">
        <v>22</v>
      </c>
      <c r="I2474" t="s">
        <v>3339</v>
      </c>
      <c r="J2474" t="s">
        <v>1375</v>
      </c>
      <c r="K2474" t="str">
        <f t="shared" si="342"/>
        <v>5035.13</v>
      </c>
      <c r="N2474" t="str">
        <f t="shared" si="343"/>
        <v>HOLDING REGISTER</v>
      </c>
      <c r="O2474" t="str">
        <f t="shared" si="344"/>
        <v>BOOL</v>
      </c>
      <c r="P2474" t="str">
        <f t="shared" si="345"/>
        <v>TELECAMERA T13N</v>
      </c>
      <c r="R2474" t="str">
        <f t="shared" si="346"/>
        <v>disponibile</v>
      </c>
      <c r="U2474" t="str">
        <f t="shared" si="347"/>
        <v>disponibile</v>
      </c>
      <c r="V2474" t="str">
        <f t="shared" si="348"/>
        <v>DIREZIONE NORD</v>
      </c>
      <c r="W2474" t="str">
        <f t="shared" si="349"/>
        <v>GALLERIA CASOLA</v>
      </c>
      <c r="Z2474" t="str">
        <f t="shared" si="350"/>
        <v>10.220.80.16</v>
      </c>
    </row>
    <row r="2475" spans="1:26" x14ac:dyDescent="0.25">
      <c r="A2475" t="s">
        <v>10</v>
      </c>
      <c r="B2475" t="s">
        <v>1206</v>
      </c>
      <c r="C2475" t="s">
        <v>1761</v>
      </c>
      <c r="D2475" t="s">
        <v>1619</v>
      </c>
      <c r="E2475" t="s">
        <v>1759</v>
      </c>
      <c r="F2475" t="s">
        <v>14</v>
      </c>
      <c r="G2475" t="s">
        <v>1375</v>
      </c>
      <c r="H2475" t="s">
        <v>22</v>
      </c>
      <c r="I2475" t="s">
        <v>3340</v>
      </c>
      <c r="J2475" t="s">
        <v>1375</v>
      </c>
      <c r="K2475" t="str">
        <f t="shared" si="342"/>
        <v>5035.14</v>
      </c>
      <c r="N2475" t="str">
        <f t="shared" si="343"/>
        <v>HOLDING REGISTER</v>
      </c>
      <c r="O2475" t="str">
        <f t="shared" si="344"/>
        <v>BOOL</v>
      </c>
      <c r="P2475" t="str">
        <f t="shared" si="345"/>
        <v>TELECAMERA T13N</v>
      </c>
      <c r="R2475" t="str">
        <f t="shared" si="346"/>
        <v>disponibile</v>
      </c>
      <c r="U2475" t="str">
        <f t="shared" si="347"/>
        <v>disponibile</v>
      </c>
      <c r="V2475" t="str">
        <f t="shared" si="348"/>
        <v>DIREZIONE NORD</v>
      </c>
      <c r="W2475" t="str">
        <f t="shared" si="349"/>
        <v>GALLERIA CASOLA</v>
      </c>
      <c r="Z2475" t="str">
        <f t="shared" si="350"/>
        <v>10.220.80.16</v>
      </c>
    </row>
    <row r="2476" spans="1:26" x14ac:dyDescent="0.25">
      <c r="A2476" t="s">
        <v>10</v>
      </c>
      <c r="B2476" t="s">
        <v>1206</v>
      </c>
      <c r="C2476" t="s">
        <v>1761</v>
      </c>
      <c r="D2476" t="s">
        <v>1619</v>
      </c>
      <c r="E2476" t="s">
        <v>1759</v>
      </c>
      <c r="F2476" t="s">
        <v>14</v>
      </c>
      <c r="G2476" t="s">
        <v>1375</v>
      </c>
      <c r="H2476" t="s">
        <v>22</v>
      </c>
      <c r="I2476" t="s">
        <v>3341</v>
      </c>
      <c r="J2476" t="s">
        <v>1375</v>
      </c>
      <c r="K2476" t="str">
        <f t="shared" si="342"/>
        <v>5035.15</v>
      </c>
      <c r="N2476" t="str">
        <f t="shared" si="343"/>
        <v>HOLDING REGISTER</v>
      </c>
      <c r="O2476" t="str">
        <f t="shared" si="344"/>
        <v>BOOL</v>
      </c>
      <c r="P2476" t="str">
        <f t="shared" si="345"/>
        <v>TELECAMERA T13N</v>
      </c>
      <c r="R2476" t="str">
        <f t="shared" si="346"/>
        <v>disponibile</v>
      </c>
      <c r="U2476" t="str">
        <f t="shared" si="347"/>
        <v>disponibile</v>
      </c>
      <c r="V2476" t="str">
        <f t="shared" si="348"/>
        <v>DIREZIONE NORD</v>
      </c>
      <c r="W2476" t="str">
        <f t="shared" si="349"/>
        <v>GALLERIA CASOLA</v>
      </c>
      <c r="Z2476" t="str">
        <f t="shared" si="350"/>
        <v>10.220.80.16</v>
      </c>
    </row>
    <row r="2477" spans="1:26" x14ac:dyDescent="0.25">
      <c r="A2477" t="s">
        <v>10</v>
      </c>
      <c r="B2477" t="s">
        <v>1206</v>
      </c>
      <c r="C2477" t="s">
        <v>1761</v>
      </c>
      <c r="D2477" t="s">
        <v>1619</v>
      </c>
      <c r="E2477" t="s">
        <v>1777</v>
      </c>
      <c r="F2477" t="s">
        <v>14</v>
      </c>
      <c r="G2477" t="s">
        <v>28</v>
      </c>
      <c r="H2477" t="s">
        <v>22</v>
      </c>
      <c r="I2477" t="s">
        <v>3342</v>
      </c>
      <c r="J2477" t="s">
        <v>1897</v>
      </c>
      <c r="K2477" t="str">
        <f t="shared" si="342"/>
        <v>5036.0</v>
      </c>
      <c r="N2477" t="str">
        <f t="shared" si="343"/>
        <v>HOLDING REGISTER</v>
      </c>
      <c r="O2477" t="str">
        <f t="shared" si="344"/>
        <v>BOOL</v>
      </c>
      <c r="P2477" t="str">
        <f t="shared" si="345"/>
        <v>TELECAMERA T14N</v>
      </c>
      <c r="R2477" t="str">
        <f t="shared" si="346"/>
        <v>PERDITA SEGNALE VIDEO</v>
      </c>
      <c r="U2477" t="str">
        <f t="shared" si="347"/>
        <v>Allarme</v>
      </c>
      <c r="V2477" t="str">
        <f t="shared" si="348"/>
        <v>DIREZIONE NORD</v>
      </c>
      <c r="W2477" t="str">
        <f t="shared" si="349"/>
        <v>GALLERIA CASOLA</v>
      </c>
      <c r="Z2477" t="str">
        <f t="shared" si="350"/>
        <v>10.220.80.16</v>
      </c>
    </row>
    <row r="2478" spans="1:26" x14ac:dyDescent="0.25">
      <c r="A2478" t="s">
        <v>10</v>
      </c>
      <c r="B2478" t="s">
        <v>1206</v>
      </c>
      <c r="C2478" t="s">
        <v>1761</v>
      </c>
      <c r="D2478" t="s">
        <v>1619</v>
      </c>
      <c r="E2478" t="s">
        <v>1777</v>
      </c>
      <c r="F2478" t="s">
        <v>14</v>
      </c>
      <c r="G2478" t="s">
        <v>28</v>
      </c>
      <c r="H2478" t="s">
        <v>22</v>
      </c>
      <c r="I2478" t="s">
        <v>3343</v>
      </c>
      <c r="J2478" t="s">
        <v>1899</v>
      </c>
      <c r="K2478" t="str">
        <f t="shared" si="342"/>
        <v>5036.1</v>
      </c>
      <c r="N2478" t="str">
        <f t="shared" si="343"/>
        <v>HOLDING REGISTER</v>
      </c>
      <c r="O2478" t="str">
        <f t="shared" si="344"/>
        <v>BOOL</v>
      </c>
      <c r="P2478" t="str">
        <f t="shared" si="345"/>
        <v>TELECAMERA T14N</v>
      </c>
      <c r="R2478" t="str">
        <f t="shared" si="346"/>
        <v>MANOMISSIONE</v>
      </c>
      <c r="U2478" t="str">
        <f t="shared" si="347"/>
        <v>Allarme</v>
      </c>
      <c r="V2478" t="str">
        <f t="shared" si="348"/>
        <v>DIREZIONE NORD</v>
      </c>
      <c r="W2478" t="str">
        <f t="shared" si="349"/>
        <v>GALLERIA CASOLA</v>
      </c>
      <c r="Z2478" t="str">
        <f t="shared" si="350"/>
        <v>10.220.80.16</v>
      </c>
    </row>
    <row r="2479" spans="1:26" x14ac:dyDescent="0.25">
      <c r="A2479" t="s">
        <v>10</v>
      </c>
      <c r="B2479" t="s">
        <v>1206</v>
      </c>
      <c r="C2479" t="s">
        <v>1761</v>
      </c>
      <c r="D2479" t="s">
        <v>1619</v>
      </c>
      <c r="E2479" t="s">
        <v>1777</v>
      </c>
      <c r="F2479" t="s">
        <v>14</v>
      </c>
      <c r="G2479" t="s">
        <v>1375</v>
      </c>
      <c r="H2479" t="s">
        <v>22</v>
      </c>
      <c r="I2479" t="s">
        <v>3344</v>
      </c>
      <c r="J2479" t="s">
        <v>1375</v>
      </c>
      <c r="K2479" t="str">
        <f t="shared" si="342"/>
        <v>5036.2</v>
      </c>
      <c r="N2479" t="str">
        <f t="shared" si="343"/>
        <v>HOLDING REGISTER</v>
      </c>
      <c r="O2479" t="str">
        <f t="shared" si="344"/>
        <v>BOOL</v>
      </c>
      <c r="P2479" t="str">
        <f t="shared" si="345"/>
        <v>TELECAMERA T14N</v>
      </c>
      <c r="R2479" t="str">
        <f t="shared" si="346"/>
        <v>disponibile</v>
      </c>
      <c r="U2479" t="str">
        <f t="shared" si="347"/>
        <v>disponibile</v>
      </c>
      <c r="V2479" t="str">
        <f t="shared" si="348"/>
        <v>DIREZIONE NORD</v>
      </c>
      <c r="W2479" t="str">
        <f t="shared" si="349"/>
        <v>GALLERIA CASOLA</v>
      </c>
      <c r="Z2479" t="str">
        <f t="shared" si="350"/>
        <v>10.220.80.16</v>
      </c>
    </row>
    <row r="2480" spans="1:26" x14ac:dyDescent="0.25">
      <c r="A2480" t="s">
        <v>10</v>
      </c>
      <c r="B2480" t="s">
        <v>1206</v>
      </c>
      <c r="C2480" t="s">
        <v>1761</v>
      </c>
      <c r="D2480" t="s">
        <v>1619</v>
      </c>
      <c r="E2480" t="s">
        <v>1777</v>
      </c>
      <c r="F2480" t="s">
        <v>14</v>
      </c>
      <c r="G2480" t="s">
        <v>28</v>
      </c>
      <c r="H2480" t="s">
        <v>22</v>
      </c>
      <c r="I2480" t="s">
        <v>3345</v>
      </c>
      <c r="J2480" t="s">
        <v>1902</v>
      </c>
      <c r="K2480" t="str">
        <f t="shared" si="342"/>
        <v>5036.3</v>
      </c>
      <c r="N2480" t="str">
        <f t="shared" si="343"/>
        <v>HOLDING REGISTER</v>
      </c>
      <c r="O2480" t="str">
        <f t="shared" si="344"/>
        <v>BOOL</v>
      </c>
      <c r="P2480" t="str">
        <f t="shared" si="345"/>
        <v>TELECAMERA T14N</v>
      </c>
      <c r="R2480" t="str">
        <f t="shared" si="346"/>
        <v>VEICOLO FERMO</v>
      </c>
      <c r="U2480" t="str">
        <f t="shared" si="347"/>
        <v>Allarme</v>
      </c>
      <c r="V2480" t="str">
        <f t="shared" si="348"/>
        <v>DIREZIONE NORD</v>
      </c>
      <c r="W2480" t="str">
        <f t="shared" si="349"/>
        <v>GALLERIA CASOLA</v>
      </c>
      <c r="Z2480" t="str">
        <f t="shared" si="350"/>
        <v>10.220.80.16</v>
      </c>
    </row>
    <row r="2481" spans="1:26" x14ac:dyDescent="0.25">
      <c r="A2481" t="s">
        <v>10</v>
      </c>
      <c r="B2481" t="s">
        <v>1206</v>
      </c>
      <c r="C2481" t="s">
        <v>1761</v>
      </c>
      <c r="D2481" t="s">
        <v>1619</v>
      </c>
      <c r="E2481" t="s">
        <v>1777</v>
      </c>
      <c r="F2481" t="s">
        <v>14</v>
      </c>
      <c r="G2481" t="s">
        <v>28</v>
      </c>
      <c r="H2481" t="s">
        <v>22</v>
      </c>
      <c r="I2481" t="s">
        <v>3346</v>
      </c>
      <c r="J2481" t="s">
        <v>1904</v>
      </c>
      <c r="K2481" t="str">
        <f t="shared" si="342"/>
        <v>5036.4</v>
      </c>
      <c r="N2481" t="str">
        <f t="shared" si="343"/>
        <v>HOLDING REGISTER</v>
      </c>
      <c r="O2481" t="str">
        <f t="shared" si="344"/>
        <v>BOOL</v>
      </c>
      <c r="P2481" t="str">
        <f t="shared" si="345"/>
        <v>TELECAMERA T14N</v>
      </c>
      <c r="R2481" t="str">
        <f t="shared" si="346"/>
        <v>CARICO DISPERSO</v>
      </c>
      <c r="U2481" t="str">
        <f t="shared" si="347"/>
        <v>Allarme</v>
      </c>
      <c r="V2481" t="str">
        <f t="shared" si="348"/>
        <v>DIREZIONE NORD</v>
      </c>
      <c r="W2481" t="str">
        <f t="shared" si="349"/>
        <v>GALLERIA CASOLA</v>
      </c>
      <c r="Z2481" t="str">
        <f t="shared" si="350"/>
        <v>10.220.80.16</v>
      </c>
    </row>
    <row r="2482" spans="1:26" x14ac:dyDescent="0.25">
      <c r="A2482" t="s">
        <v>10</v>
      </c>
      <c r="B2482" t="s">
        <v>1206</v>
      </c>
      <c r="C2482" t="s">
        <v>1761</v>
      </c>
      <c r="D2482" t="s">
        <v>1619</v>
      </c>
      <c r="E2482" t="s">
        <v>1777</v>
      </c>
      <c r="F2482" t="s">
        <v>14</v>
      </c>
      <c r="G2482" t="s">
        <v>1375</v>
      </c>
      <c r="H2482" t="s">
        <v>22</v>
      </c>
      <c r="I2482" t="s">
        <v>3347</v>
      </c>
      <c r="J2482" t="s">
        <v>1375</v>
      </c>
      <c r="K2482" t="str">
        <f t="shared" si="342"/>
        <v>5036.5</v>
      </c>
      <c r="N2482" t="str">
        <f t="shared" si="343"/>
        <v>HOLDING REGISTER</v>
      </c>
      <c r="O2482" t="str">
        <f t="shared" si="344"/>
        <v>BOOL</v>
      </c>
      <c r="P2482" t="str">
        <f t="shared" si="345"/>
        <v>TELECAMERA T14N</v>
      </c>
      <c r="R2482" t="str">
        <f t="shared" si="346"/>
        <v>disponibile</v>
      </c>
      <c r="U2482" t="str">
        <f t="shared" si="347"/>
        <v>disponibile</v>
      </c>
      <c r="V2482" t="str">
        <f t="shared" si="348"/>
        <v>DIREZIONE NORD</v>
      </c>
      <c r="W2482" t="str">
        <f t="shared" si="349"/>
        <v>GALLERIA CASOLA</v>
      </c>
      <c r="Z2482" t="str">
        <f t="shared" si="350"/>
        <v>10.220.80.16</v>
      </c>
    </row>
    <row r="2483" spans="1:26" x14ac:dyDescent="0.25">
      <c r="A2483" t="s">
        <v>10</v>
      </c>
      <c r="B2483" t="s">
        <v>1206</v>
      </c>
      <c r="C2483" t="s">
        <v>1761</v>
      </c>
      <c r="D2483" t="s">
        <v>1619</v>
      </c>
      <c r="E2483" t="s">
        <v>1777</v>
      </c>
      <c r="F2483" t="s">
        <v>14</v>
      </c>
      <c r="G2483" t="s">
        <v>28</v>
      </c>
      <c r="H2483" t="s">
        <v>22</v>
      </c>
      <c r="I2483" t="s">
        <v>3348</v>
      </c>
      <c r="J2483" t="s">
        <v>1907</v>
      </c>
      <c r="K2483" t="str">
        <f t="shared" si="342"/>
        <v>5036.6</v>
      </c>
      <c r="N2483" t="str">
        <f t="shared" si="343"/>
        <v>HOLDING REGISTER</v>
      </c>
      <c r="O2483" t="str">
        <f t="shared" si="344"/>
        <v>BOOL</v>
      </c>
      <c r="P2483" t="str">
        <f t="shared" si="345"/>
        <v>TELECAMERA T14N</v>
      </c>
      <c r="R2483" t="str">
        <f t="shared" si="346"/>
        <v>PEDONE</v>
      </c>
      <c r="U2483" t="str">
        <f t="shared" si="347"/>
        <v>Allarme</v>
      </c>
      <c r="V2483" t="str">
        <f t="shared" si="348"/>
        <v>DIREZIONE NORD</v>
      </c>
      <c r="W2483" t="str">
        <f t="shared" si="349"/>
        <v>GALLERIA CASOLA</v>
      </c>
      <c r="Z2483" t="str">
        <f t="shared" si="350"/>
        <v>10.220.80.16</v>
      </c>
    </row>
    <row r="2484" spans="1:26" x14ac:dyDescent="0.25">
      <c r="A2484" t="s">
        <v>10</v>
      </c>
      <c r="B2484" t="s">
        <v>1206</v>
      </c>
      <c r="C2484" t="s">
        <v>1761</v>
      </c>
      <c r="D2484" t="s">
        <v>1619</v>
      </c>
      <c r="E2484" t="s">
        <v>1777</v>
      </c>
      <c r="F2484" t="s">
        <v>14</v>
      </c>
      <c r="G2484" t="s">
        <v>28</v>
      </c>
      <c r="H2484" t="s">
        <v>22</v>
      </c>
      <c r="I2484" t="s">
        <v>3349</v>
      </c>
      <c r="J2484" t="s">
        <v>1909</v>
      </c>
      <c r="K2484" t="str">
        <f t="shared" si="342"/>
        <v>5036.7</v>
      </c>
      <c r="N2484" t="str">
        <f t="shared" si="343"/>
        <v>HOLDING REGISTER</v>
      </c>
      <c r="O2484" t="str">
        <f t="shared" si="344"/>
        <v>BOOL</v>
      </c>
      <c r="P2484" t="str">
        <f t="shared" si="345"/>
        <v>TELECAMERA T14N</v>
      </c>
      <c r="R2484" t="str">
        <f t="shared" si="346"/>
        <v>FUMO</v>
      </c>
      <c r="U2484" t="str">
        <f t="shared" si="347"/>
        <v>Allarme</v>
      </c>
      <c r="V2484" t="str">
        <f t="shared" si="348"/>
        <v>DIREZIONE NORD</v>
      </c>
      <c r="W2484" t="str">
        <f t="shared" si="349"/>
        <v>GALLERIA CASOLA</v>
      </c>
      <c r="Z2484" t="str">
        <f t="shared" si="350"/>
        <v>10.220.80.16</v>
      </c>
    </row>
    <row r="2485" spans="1:26" x14ac:dyDescent="0.25">
      <c r="A2485" t="s">
        <v>10</v>
      </c>
      <c r="B2485" t="s">
        <v>1206</v>
      </c>
      <c r="C2485" t="s">
        <v>1761</v>
      </c>
      <c r="D2485" t="s">
        <v>1619</v>
      </c>
      <c r="E2485" t="s">
        <v>1777</v>
      </c>
      <c r="F2485" t="s">
        <v>14</v>
      </c>
      <c r="G2485" t="s">
        <v>28</v>
      </c>
      <c r="H2485" t="s">
        <v>22</v>
      </c>
      <c r="I2485" t="s">
        <v>3350</v>
      </c>
      <c r="J2485" t="s">
        <v>1911</v>
      </c>
      <c r="K2485" t="str">
        <f t="shared" si="342"/>
        <v>5036.8</v>
      </c>
      <c r="N2485" t="str">
        <f t="shared" si="343"/>
        <v>HOLDING REGISTER</v>
      </c>
      <c r="O2485" t="str">
        <f t="shared" si="344"/>
        <v>BOOL</v>
      </c>
      <c r="P2485" t="str">
        <f t="shared" si="345"/>
        <v>TELECAMERA T14N</v>
      </c>
      <c r="R2485" t="str">
        <f t="shared" si="346"/>
        <v>RALLENTAMENTI</v>
      </c>
      <c r="U2485" t="str">
        <f t="shared" si="347"/>
        <v>Allarme</v>
      </c>
      <c r="V2485" t="str">
        <f t="shared" si="348"/>
        <v>DIREZIONE NORD</v>
      </c>
      <c r="W2485" t="str">
        <f t="shared" si="349"/>
        <v>GALLERIA CASOLA</v>
      </c>
      <c r="Z2485" t="str">
        <f t="shared" si="350"/>
        <v>10.220.80.16</v>
      </c>
    </row>
    <row r="2486" spans="1:26" x14ac:dyDescent="0.25">
      <c r="A2486" t="s">
        <v>10</v>
      </c>
      <c r="B2486" t="s">
        <v>1206</v>
      </c>
      <c r="C2486" t="s">
        <v>1761</v>
      </c>
      <c r="D2486" t="s">
        <v>1619</v>
      </c>
      <c r="E2486" t="s">
        <v>1777</v>
      </c>
      <c r="F2486" t="s">
        <v>14</v>
      </c>
      <c r="G2486" t="s">
        <v>28</v>
      </c>
      <c r="H2486" t="s">
        <v>22</v>
      </c>
      <c r="I2486" t="s">
        <v>3351</v>
      </c>
      <c r="J2486" t="s">
        <v>1913</v>
      </c>
      <c r="K2486" t="str">
        <f t="shared" si="342"/>
        <v>5036.9</v>
      </c>
      <c r="N2486" t="str">
        <f t="shared" si="343"/>
        <v>HOLDING REGISTER</v>
      </c>
      <c r="O2486" t="str">
        <f t="shared" si="344"/>
        <v>BOOL</v>
      </c>
      <c r="P2486" t="str">
        <f t="shared" si="345"/>
        <v>TELECAMERA T14N</v>
      </c>
      <c r="R2486" t="str">
        <f t="shared" si="346"/>
        <v>CODA IN GALLERIA</v>
      </c>
      <c r="U2486" t="str">
        <f t="shared" si="347"/>
        <v>Allarme</v>
      </c>
      <c r="V2486" t="str">
        <f t="shared" si="348"/>
        <v>DIREZIONE NORD</v>
      </c>
      <c r="W2486" t="str">
        <f t="shared" si="349"/>
        <v>GALLERIA CASOLA</v>
      </c>
      <c r="Z2486" t="str">
        <f t="shared" si="350"/>
        <v>10.220.80.16</v>
      </c>
    </row>
    <row r="2487" spans="1:26" x14ac:dyDescent="0.25">
      <c r="A2487" t="s">
        <v>10</v>
      </c>
      <c r="B2487" t="s">
        <v>1206</v>
      </c>
      <c r="C2487" t="s">
        <v>1761</v>
      </c>
      <c r="D2487" t="s">
        <v>1619</v>
      </c>
      <c r="E2487" t="s">
        <v>1777</v>
      </c>
      <c r="F2487" t="s">
        <v>14</v>
      </c>
      <c r="G2487" t="s">
        <v>1375</v>
      </c>
      <c r="H2487" t="s">
        <v>22</v>
      </c>
      <c r="I2487" t="s">
        <v>3352</v>
      </c>
      <c r="J2487" t="s">
        <v>1375</v>
      </c>
      <c r="K2487" t="str">
        <f t="shared" si="342"/>
        <v>5036.10</v>
      </c>
      <c r="N2487" t="str">
        <f t="shared" si="343"/>
        <v>HOLDING REGISTER</v>
      </c>
      <c r="O2487" t="str">
        <f t="shared" si="344"/>
        <v>BOOL</v>
      </c>
      <c r="P2487" t="str">
        <f t="shared" si="345"/>
        <v>TELECAMERA T14N</v>
      </c>
      <c r="R2487" t="str">
        <f t="shared" si="346"/>
        <v>disponibile</v>
      </c>
      <c r="U2487" t="str">
        <f t="shared" si="347"/>
        <v>disponibile</v>
      </c>
      <c r="V2487" t="str">
        <f t="shared" si="348"/>
        <v>DIREZIONE NORD</v>
      </c>
      <c r="W2487" t="str">
        <f t="shared" si="349"/>
        <v>GALLERIA CASOLA</v>
      </c>
      <c r="Z2487" t="str">
        <f t="shared" si="350"/>
        <v>10.220.80.16</v>
      </c>
    </row>
    <row r="2488" spans="1:26" x14ac:dyDescent="0.25">
      <c r="A2488" t="s">
        <v>10</v>
      </c>
      <c r="B2488" t="s">
        <v>1206</v>
      </c>
      <c r="C2488" t="s">
        <v>1761</v>
      </c>
      <c r="D2488" t="s">
        <v>1619</v>
      </c>
      <c r="E2488" t="s">
        <v>1777</v>
      </c>
      <c r="F2488" t="s">
        <v>14</v>
      </c>
      <c r="G2488" t="s">
        <v>1375</v>
      </c>
      <c r="H2488" t="s">
        <v>22</v>
      </c>
      <c r="I2488" t="s">
        <v>3353</v>
      </c>
      <c r="J2488" t="s">
        <v>1375</v>
      </c>
      <c r="K2488" t="str">
        <f t="shared" si="342"/>
        <v>5036.11</v>
      </c>
      <c r="N2488" t="str">
        <f t="shared" si="343"/>
        <v>HOLDING REGISTER</v>
      </c>
      <c r="O2488" t="str">
        <f t="shared" si="344"/>
        <v>BOOL</v>
      </c>
      <c r="P2488" t="str">
        <f t="shared" si="345"/>
        <v>TELECAMERA T14N</v>
      </c>
      <c r="R2488" t="str">
        <f t="shared" si="346"/>
        <v>disponibile</v>
      </c>
      <c r="U2488" t="str">
        <f t="shared" si="347"/>
        <v>disponibile</v>
      </c>
      <c r="V2488" t="str">
        <f t="shared" si="348"/>
        <v>DIREZIONE NORD</v>
      </c>
      <c r="W2488" t="str">
        <f t="shared" si="349"/>
        <v>GALLERIA CASOLA</v>
      </c>
      <c r="Z2488" t="str">
        <f t="shared" si="350"/>
        <v>10.220.80.16</v>
      </c>
    </row>
    <row r="2489" spans="1:26" x14ac:dyDescent="0.25">
      <c r="A2489" t="s">
        <v>10</v>
      </c>
      <c r="B2489" t="s">
        <v>1206</v>
      </c>
      <c r="C2489" t="s">
        <v>1761</v>
      </c>
      <c r="D2489" t="s">
        <v>1619</v>
      </c>
      <c r="E2489" t="s">
        <v>1777</v>
      </c>
      <c r="F2489" t="s">
        <v>14</v>
      </c>
      <c r="G2489" t="s">
        <v>1375</v>
      </c>
      <c r="H2489" t="s">
        <v>22</v>
      </c>
      <c r="I2489" t="s">
        <v>3354</v>
      </c>
      <c r="J2489" t="s">
        <v>1375</v>
      </c>
      <c r="K2489" t="str">
        <f t="shared" si="342"/>
        <v>5036.12</v>
      </c>
      <c r="N2489" t="str">
        <f t="shared" si="343"/>
        <v>HOLDING REGISTER</v>
      </c>
      <c r="O2489" t="str">
        <f t="shared" si="344"/>
        <v>BOOL</v>
      </c>
      <c r="P2489" t="str">
        <f t="shared" si="345"/>
        <v>TELECAMERA T14N</v>
      </c>
      <c r="R2489" t="str">
        <f t="shared" si="346"/>
        <v>disponibile</v>
      </c>
      <c r="U2489" t="str">
        <f t="shared" si="347"/>
        <v>disponibile</v>
      </c>
      <c r="V2489" t="str">
        <f t="shared" si="348"/>
        <v>DIREZIONE NORD</v>
      </c>
      <c r="W2489" t="str">
        <f t="shared" si="349"/>
        <v>GALLERIA CASOLA</v>
      </c>
      <c r="Z2489" t="str">
        <f t="shared" si="350"/>
        <v>10.220.80.16</v>
      </c>
    </row>
    <row r="2490" spans="1:26" x14ac:dyDescent="0.25">
      <c r="A2490" t="s">
        <v>10</v>
      </c>
      <c r="B2490" t="s">
        <v>1206</v>
      </c>
      <c r="C2490" t="s">
        <v>1761</v>
      </c>
      <c r="D2490" t="s">
        <v>1619</v>
      </c>
      <c r="E2490" t="s">
        <v>1777</v>
      </c>
      <c r="F2490" t="s">
        <v>14</v>
      </c>
      <c r="G2490" t="s">
        <v>1375</v>
      </c>
      <c r="H2490" t="s">
        <v>22</v>
      </c>
      <c r="I2490" t="s">
        <v>3355</v>
      </c>
      <c r="J2490" t="s">
        <v>1375</v>
      </c>
      <c r="K2490" t="str">
        <f t="shared" si="342"/>
        <v>5036.13</v>
      </c>
      <c r="N2490" t="str">
        <f t="shared" si="343"/>
        <v>HOLDING REGISTER</v>
      </c>
      <c r="O2490" t="str">
        <f t="shared" si="344"/>
        <v>BOOL</v>
      </c>
      <c r="P2490" t="str">
        <f t="shared" si="345"/>
        <v>TELECAMERA T14N</v>
      </c>
      <c r="R2490" t="str">
        <f t="shared" si="346"/>
        <v>disponibile</v>
      </c>
      <c r="U2490" t="str">
        <f t="shared" si="347"/>
        <v>disponibile</v>
      </c>
      <c r="V2490" t="str">
        <f t="shared" si="348"/>
        <v>DIREZIONE NORD</v>
      </c>
      <c r="W2490" t="str">
        <f t="shared" si="349"/>
        <v>GALLERIA CASOLA</v>
      </c>
      <c r="Z2490" t="str">
        <f t="shared" si="350"/>
        <v>10.220.80.16</v>
      </c>
    </row>
    <row r="2491" spans="1:26" x14ac:dyDescent="0.25">
      <c r="A2491" t="s">
        <v>10</v>
      </c>
      <c r="B2491" t="s">
        <v>1206</v>
      </c>
      <c r="C2491" t="s">
        <v>1761</v>
      </c>
      <c r="D2491" t="s">
        <v>1619</v>
      </c>
      <c r="E2491" t="s">
        <v>1777</v>
      </c>
      <c r="F2491" t="s">
        <v>14</v>
      </c>
      <c r="G2491" t="s">
        <v>1375</v>
      </c>
      <c r="H2491" t="s">
        <v>22</v>
      </c>
      <c r="I2491" t="s">
        <v>3356</v>
      </c>
      <c r="J2491" t="s">
        <v>1375</v>
      </c>
      <c r="K2491" t="str">
        <f t="shared" si="342"/>
        <v>5036.14</v>
      </c>
      <c r="N2491" t="str">
        <f t="shared" si="343"/>
        <v>HOLDING REGISTER</v>
      </c>
      <c r="O2491" t="str">
        <f t="shared" si="344"/>
        <v>BOOL</v>
      </c>
      <c r="P2491" t="str">
        <f t="shared" si="345"/>
        <v>TELECAMERA T14N</v>
      </c>
      <c r="R2491" t="str">
        <f t="shared" si="346"/>
        <v>disponibile</v>
      </c>
      <c r="U2491" t="str">
        <f t="shared" si="347"/>
        <v>disponibile</v>
      </c>
      <c r="V2491" t="str">
        <f t="shared" si="348"/>
        <v>DIREZIONE NORD</v>
      </c>
      <c r="W2491" t="str">
        <f t="shared" si="349"/>
        <v>GALLERIA CASOLA</v>
      </c>
      <c r="Z2491" t="str">
        <f t="shared" si="350"/>
        <v>10.220.80.16</v>
      </c>
    </row>
    <row r="2492" spans="1:26" x14ac:dyDescent="0.25">
      <c r="A2492" t="s">
        <v>10</v>
      </c>
      <c r="B2492" t="s">
        <v>1206</v>
      </c>
      <c r="C2492" t="s">
        <v>1761</v>
      </c>
      <c r="D2492" t="s">
        <v>1619</v>
      </c>
      <c r="E2492" t="s">
        <v>1777</v>
      </c>
      <c r="F2492" t="s">
        <v>14</v>
      </c>
      <c r="G2492" t="s">
        <v>1375</v>
      </c>
      <c r="H2492" t="s">
        <v>22</v>
      </c>
      <c r="I2492" t="s">
        <v>3357</v>
      </c>
      <c r="J2492" t="s">
        <v>1375</v>
      </c>
      <c r="K2492" t="str">
        <f t="shared" si="342"/>
        <v>5036.15</v>
      </c>
      <c r="N2492" t="str">
        <f t="shared" si="343"/>
        <v>HOLDING REGISTER</v>
      </c>
      <c r="O2492" t="str">
        <f t="shared" si="344"/>
        <v>BOOL</v>
      </c>
      <c r="P2492" t="str">
        <f t="shared" si="345"/>
        <v>TELECAMERA T14N</v>
      </c>
      <c r="R2492" t="str">
        <f t="shared" si="346"/>
        <v>disponibile</v>
      </c>
      <c r="U2492" t="str">
        <f t="shared" si="347"/>
        <v>disponibile</v>
      </c>
      <c r="V2492" t="str">
        <f t="shared" si="348"/>
        <v>DIREZIONE NORD</v>
      </c>
      <c r="W2492" t="str">
        <f t="shared" si="349"/>
        <v>GALLERIA CASOLA</v>
      </c>
      <c r="Z2492" t="str">
        <f t="shared" si="350"/>
        <v>10.220.80.16</v>
      </c>
    </row>
    <row r="2493" spans="1:26" x14ac:dyDescent="0.25">
      <c r="A2493" t="s">
        <v>10</v>
      </c>
      <c r="B2493" t="s">
        <v>1206</v>
      </c>
      <c r="C2493" t="s">
        <v>1761</v>
      </c>
      <c r="D2493" t="s">
        <v>1619</v>
      </c>
      <c r="E2493" t="s">
        <v>1794</v>
      </c>
      <c r="F2493" t="s">
        <v>14</v>
      </c>
      <c r="G2493" t="s">
        <v>28</v>
      </c>
      <c r="H2493" t="s">
        <v>22</v>
      </c>
      <c r="I2493" t="s">
        <v>3358</v>
      </c>
      <c r="J2493" t="s">
        <v>1897</v>
      </c>
      <c r="K2493" t="str">
        <f t="shared" si="342"/>
        <v>5037.0</v>
      </c>
      <c r="N2493" t="str">
        <f t="shared" si="343"/>
        <v>HOLDING REGISTER</v>
      </c>
      <c r="O2493" t="str">
        <f t="shared" si="344"/>
        <v>BOOL</v>
      </c>
      <c r="P2493" t="str">
        <f t="shared" si="345"/>
        <v>TELECAMERA T15N</v>
      </c>
      <c r="R2493" t="str">
        <f t="shared" si="346"/>
        <v>PERDITA SEGNALE VIDEO</v>
      </c>
      <c r="U2493" t="str">
        <f t="shared" si="347"/>
        <v>Allarme</v>
      </c>
      <c r="V2493" t="str">
        <f t="shared" si="348"/>
        <v>DIREZIONE NORD</v>
      </c>
      <c r="W2493" t="str">
        <f t="shared" si="349"/>
        <v>GALLERIA CASOLA</v>
      </c>
      <c r="Z2493" t="str">
        <f t="shared" si="350"/>
        <v>10.220.80.16</v>
      </c>
    </row>
    <row r="2494" spans="1:26" x14ac:dyDescent="0.25">
      <c r="A2494" t="s">
        <v>10</v>
      </c>
      <c r="B2494" t="s">
        <v>1206</v>
      </c>
      <c r="C2494" t="s">
        <v>1761</v>
      </c>
      <c r="D2494" t="s">
        <v>1619</v>
      </c>
      <c r="E2494" t="s">
        <v>1794</v>
      </c>
      <c r="F2494" t="s">
        <v>14</v>
      </c>
      <c r="G2494" t="s">
        <v>28</v>
      </c>
      <c r="H2494" t="s">
        <v>22</v>
      </c>
      <c r="I2494" t="s">
        <v>3359</v>
      </c>
      <c r="J2494" t="s">
        <v>1899</v>
      </c>
      <c r="K2494" t="str">
        <f t="shared" si="342"/>
        <v>5037.1</v>
      </c>
      <c r="N2494" t="str">
        <f t="shared" si="343"/>
        <v>HOLDING REGISTER</v>
      </c>
      <c r="O2494" t="str">
        <f t="shared" si="344"/>
        <v>BOOL</v>
      </c>
      <c r="P2494" t="str">
        <f t="shared" si="345"/>
        <v>TELECAMERA T15N</v>
      </c>
      <c r="R2494" t="str">
        <f t="shared" si="346"/>
        <v>MANOMISSIONE</v>
      </c>
      <c r="U2494" t="str">
        <f t="shared" si="347"/>
        <v>Allarme</v>
      </c>
      <c r="V2494" t="str">
        <f t="shared" si="348"/>
        <v>DIREZIONE NORD</v>
      </c>
      <c r="W2494" t="str">
        <f t="shared" si="349"/>
        <v>GALLERIA CASOLA</v>
      </c>
      <c r="Z2494" t="str">
        <f t="shared" si="350"/>
        <v>10.220.80.16</v>
      </c>
    </row>
    <row r="2495" spans="1:26" x14ac:dyDescent="0.25">
      <c r="A2495" t="s">
        <v>10</v>
      </c>
      <c r="B2495" t="s">
        <v>1206</v>
      </c>
      <c r="C2495" t="s">
        <v>1761</v>
      </c>
      <c r="D2495" t="s">
        <v>1619</v>
      </c>
      <c r="E2495" t="s">
        <v>1794</v>
      </c>
      <c r="F2495" t="s">
        <v>14</v>
      </c>
      <c r="G2495" t="s">
        <v>1375</v>
      </c>
      <c r="H2495" t="s">
        <v>22</v>
      </c>
      <c r="I2495" t="s">
        <v>3360</v>
      </c>
      <c r="J2495" t="s">
        <v>1375</v>
      </c>
      <c r="K2495" t="str">
        <f t="shared" si="342"/>
        <v>5037.2</v>
      </c>
      <c r="N2495" t="str">
        <f t="shared" si="343"/>
        <v>HOLDING REGISTER</v>
      </c>
      <c r="O2495" t="str">
        <f t="shared" si="344"/>
        <v>BOOL</v>
      </c>
      <c r="P2495" t="str">
        <f t="shared" si="345"/>
        <v>TELECAMERA T15N</v>
      </c>
      <c r="R2495" t="str">
        <f t="shared" si="346"/>
        <v>disponibile</v>
      </c>
      <c r="U2495" t="str">
        <f t="shared" si="347"/>
        <v>disponibile</v>
      </c>
      <c r="V2495" t="str">
        <f t="shared" si="348"/>
        <v>DIREZIONE NORD</v>
      </c>
      <c r="W2495" t="str">
        <f t="shared" si="349"/>
        <v>GALLERIA CASOLA</v>
      </c>
      <c r="Z2495" t="str">
        <f t="shared" si="350"/>
        <v>10.220.80.16</v>
      </c>
    </row>
    <row r="2496" spans="1:26" x14ac:dyDescent="0.25">
      <c r="A2496" t="s">
        <v>10</v>
      </c>
      <c r="B2496" t="s">
        <v>1206</v>
      </c>
      <c r="C2496" t="s">
        <v>1761</v>
      </c>
      <c r="D2496" t="s">
        <v>1619</v>
      </c>
      <c r="E2496" t="s">
        <v>1794</v>
      </c>
      <c r="F2496" t="s">
        <v>14</v>
      </c>
      <c r="G2496" t="s">
        <v>28</v>
      </c>
      <c r="H2496" t="s">
        <v>22</v>
      </c>
      <c r="I2496" t="s">
        <v>3361</v>
      </c>
      <c r="J2496" t="s">
        <v>1902</v>
      </c>
      <c r="K2496" t="str">
        <f t="shared" si="342"/>
        <v>5037.3</v>
      </c>
      <c r="N2496" t="str">
        <f t="shared" si="343"/>
        <v>HOLDING REGISTER</v>
      </c>
      <c r="O2496" t="str">
        <f t="shared" si="344"/>
        <v>BOOL</v>
      </c>
      <c r="P2496" t="str">
        <f t="shared" si="345"/>
        <v>TELECAMERA T15N</v>
      </c>
      <c r="R2496" t="str">
        <f t="shared" si="346"/>
        <v>VEICOLO FERMO</v>
      </c>
      <c r="U2496" t="str">
        <f t="shared" si="347"/>
        <v>Allarme</v>
      </c>
      <c r="V2496" t="str">
        <f t="shared" si="348"/>
        <v>DIREZIONE NORD</v>
      </c>
      <c r="W2496" t="str">
        <f t="shared" si="349"/>
        <v>GALLERIA CASOLA</v>
      </c>
      <c r="Z2496" t="str">
        <f t="shared" si="350"/>
        <v>10.220.80.16</v>
      </c>
    </row>
    <row r="2497" spans="1:26" x14ac:dyDescent="0.25">
      <c r="A2497" t="s">
        <v>10</v>
      </c>
      <c r="B2497" t="s">
        <v>1206</v>
      </c>
      <c r="C2497" t="s">
        <v>1761</v>
      </c>
      <c r="D2497" t="s">
        <v>1619</v>
      </c>
      <c r="E2497" t="s">
        <v>1794</v>
      </c>
      <c r="F2497" t="s">
        <v>14</v>
      </c>
      <c r="G2497" t="s">
        <v>28</v>
      </c>
      <c r="H2497" t="s">
        <v>22</v>
      </c>
      <c r="I2497" t="s">
        <v>3362</v>
      </c>
      <c r="J2497" t="s">
        <v>1904</v>
      </c>
      <c r="K2497" t="str">
        <f t="shared" si="342"/>
        <v>5037.4</v>
      </c>
      <c r="N2497" t="str">
        <f t="shared" si="343"/>
        <v>HOLDING REGISTER</v>
      </c>
      <c r="O2497" t="str">
        <f t="shared" si="344"/>
        <v>BOOL</v>
      </c>
      <c r="P2497" t="str">
        <f t="shared" si="345"/>
        <v>TELECAMERA T15N</v>
      </c>
      <c r="R2497" t="str">
        <f t="shared" si="346"/>
        <v>CARICO DISPERSO</v>
      </c>
      <c r="U2497" t="str">
        <f t="shared" si="347"/>
        <v>Allarme</v>
      </c>
      <c r="V2497" t="str">
        <f t="shared" si="348"/>
        <v>DIREZIONE NORD</v>
      </c>
      <c r="W2497" t="str">
        <f t="shared" si="349"/>
        <v>GALLERIA CASOLA</v>
      </c>
      <c r="Z2497" t="str">
        <f t="shared" si="350"/>
        <v>10.220.80.16</v>
      </c>
    </row>
    <row r="2498" spans="1:26" x14ac:dyDescent="0.25">
      <c r="A2498" t="s">
        <v>10</v>
      </c>
      <c r="B2498" t="s">
        <v>1206</v>
      </c>
      <c r="C2498" t="s">
        <v>1761</v>
      </c>
      <c r="D2498" t="s">
        <v>1619</v>
      </c>
      <c r="E2498" t="s">
        <v>1794</v>
      </c>
      <c r="F2498" t="s">
        <v>14</v>
      </c>
      <c r="G2498" t="s">
        <v>1375</v>
      </c>
      <c r="H2498" t="s">
        <v>22</v>
      </c>
      <c r="I2498" t="s">
        <v>3363</v>
      </c>
      <c r="J2498" t="s">
        <v>1375</v>
      </c>
      <c r="K2498" t="str">
        <f t="shared" si="342"/>
        <v>5037.5</v>
      </c>
      <c r="N2498" t="str">
        <f t="shared" si="343"/>
        <v>HOLDING REGISTER</v>
      </c>
      <c r="O2498" t="str">
        <f t="shared" si="344"/>
        <v>BOOL</v>
      </c>
      <c r="P2498" t="str">
        <f t="shared" si="345"/>
        <v>TELECAMERA T15N</v>
      </c>
      <c r="R2498" t="str">
        <f t="shared" si="346"/>
        <v>disponibile</v>
      </c>
      <c r="U2498" t="str">
        <f t="shared" si="347"/>
        <v>disponibile</v>
      </c>
      <c r="V2498" t="str">
        <f t="shared" si="348"/>
        <v>DIREZIONE NORD</v>
      </c>
      <c r="W2498" t="str">
        <f t="shared" si="349"/>
        <v>GALLERIA CASOLA</v>
      </c>
      <c r="Z2498" t="str">
        <f t="shared" si="350"/>
        <v>10.220.80.16</v>
      </c>
    </row>
    <row r="2499" spans="1:26" x14ac:dyDescent="0.25">
      <c r="A2499" t="s">
        <v>10</v>
      </c>
      <c r="B2499" t="s">
        <v>1206</v>
      </c>
      <c r="C2499" t="s">
        <v>1761</v>
      </c>
      <c r="D2499" t="s">
        <v>1619</v>
      </c>
      <c r="E2499" t="s">
        <v>1794</v>
      </c>
      <c r="F2499" t="s">
        <v>14</v>
      </c>
      <c r="G2499" t="s">
        <v>28</v>
      </c>
      <c r="H2499" t="s">
        <v>22</v>
      </c>
      <c r="I2499" t="s">
        <v>3364</v>
      </c>
      <c r="J2499" t="s">
        <v>1907</v>
      </c>
      <c r="K2499" t="str">
        <f t="shared" ref="K2499:K2562" si="351">IF(I2499="","",I2499)</f>
        <v>5037.6</v>
      </c>
      <c r="N2499" t="str">
        <f t="shared" ref="N2499:N2562" si="352">IF(F2499="","",F2499)</f>
        <v>HOLDING REGISTER</v>
      </c>
      <c r="O2499" t="str">
        <f t="shared" ref="O2499:O2562" si="353">IF(H2499="","",H2499)</f>
        <v>BOOL</v>
      </c>
      <c r="P2499" t="str">
        <f t="shared" ref="P2499:P2562" si="354">_xlfn.CONCAT(D2499," ",E2499)</f>
        <v>TELECAMERA T15N</v>
      </c>
      <c r="R2499" t="str">
        <f t="shared" ref="R2499:R2562" si="355">IF(J2499="","",J2499)</f>
        <v>PEDONE</v>
      </c>
      <c r="U2499" t="str">
        <f t="shared" ref="U2499:U2562" si="356">IF(G2499="","",G2499)</f>
        <v>Allarme</v>
      </c>
      <c r="V2499" t="str">
        <f t="shared" ref="V2499:V2562" si="357">IF(C2499="","",C2499)</f>
        <v>DIREZIONE NORD</v>
      </c>
      <c r="W2499" t="str">
        <f t="shared" ref="W2499:W2562" si="358">IF(B2499="","",B2499)</f>
        <v>GALLERIA CASOLA</v>
      </c>
      <c r="Z2499" t="str">
        <f t="shared" ref="Z2499:Z2562" si="359">IF(A2499="","",A2499)</f>
        <v>10.220.80.16</v>
      </c>
    </row>
    <row r="2500" spans="1:26" x14ac:dyDescent="0.25">
      <c r="A2500" t="s">
        <v>10</v>
      </c>
      <c r="B2500" t="s">
        <v>1206</v>
      </c>
      <c r="C2500" t="s">
        <v>1761</v>
      </c>
      <c r="D2500" t="s">
        <v>1619</v>
      </c>
      <c r="E2500" t="s">
        <v>1794</v>
      </c>
      <c r="F2500" t="s">
        <v>14</v>
      </c>
      <c r="G2500" t="s">
        <v>28</v>
      </c>
      <c r="H2500" t="s">
        <v>22</v>
      </c>
      <c r="I2500" t="s">
        <v>3365</v>
      </c>
      <c r="J2500" t="s">
        <v>1909</v>
      </c>
      <c r="K2500" t="str">
        <f t="shared" si="351"/>
        <v>5037.7</v>
      </c>
      <c r="N2500" t="str">
        <f t="shared" si="352"/>
        <v>HOLDING REGISTER</v>
      </c>
      <c r="O2500" t="str">
        <f t="shared" si="353"/>
        <v>BOOL</v>
      </c>
      <c r="P2500" t="str">
        <f t="shared" si="354"/>
        <v>TELECAMERA T15N</v>
      </c>
      <c r="R2500" t="str">
        <f t="shared" si="355"/>
        <v>FUMO</v>
      </c>
      <c r="U2500" t="str">
        <f t="shared" si="356"/>
        <v>Allarme</v>
      </c>
      <c r="V2500" t="str">
        <f t="shared" si="357"/>
        <v>DIREZIONE NORD</v>
      </c>
      <c r="W2500" t="str">
        <f t="shared" si="358"/>
        <v>GALLERIA CASOLA</v>
      </c>
      <c r="Z2500" t="str">
        <f t="shared" si="359"/>
        <v>10.220.80.16</v>
      </c>
    </row>
    <row r="2501" spans="1:26" x14ac:dyDescent="0.25">
      <c r="A2501" t="s">
        <v>10</v>
      </c>
      <c r="B2501" t="s">
        <v>1206</v>
      </c>
      <c r="C2501" t="s">
        <v>1761</v>
      </c>
      <c r="D2501" t="s">
        <v>1619</v>
      </c>
      <c r="E2501" t="s">
        <v>1794</v>
      </c>
      <c r="F2501" t="s">
        <v>14</v>
      </c>
      <c r="G2501" t="s">
        <v>28</v>
      </c>
      <c r="H2501" t="s">
        <v>22</v>
      </c>
      <c r="I2501" t="s">
        <v>3366</v>
      </c>
      <c r="J2501" t="s">
        <v>1911</v>
      </c>
      <c r="K2501" t="str">
        <f t="shared" si="351"/>
        <v>5037.8</v>
      </c>
      <c r="N2501" t="str">
        <f t="shared" si="352"/>
        <v>HOLDING REGISTER</v>
      </c>
      <c r="O2501" t="str">
        <f t="shared" si="353"/>
        <v>BOOL</v>
      </c>
      <c r="P2501" t="str">
        <f t="shared" si="354"/>
        <v>TELECAMERA T15N</v>
      </c>
      <c r="R2501" t="str">
        <f t="shared" si="355"/>
        <v>RALLENTAMENTI</v>
      </c>
      <c r="U2501" t="str">
        <f t="shared" si="356"/>
        <v>Allarme</v>
      </c>
      <c r="V2501" t="str">
        <f t="shared" si="357"/>
        <v>DIREZIONE NORD</v>
      </c>
      <c r="W2501" t="str">
        <f t="shared" si="358"/>
        <v>GALLERIA CASOLA</v>
      </c>
      <c r="Z2501" t="str">
        <f t="shared" si="359"/>
        <v>10.220.80.16</v>
      </c>
    </row>
    <row r="2502" spans="1:26" x14ac:dyDescent="0.25">
      <c r="A2502" t="s">
        <v>10</v>
      </c>
      <c r="B2502" t="s">
        <v>1206</v>
      </c>
      <c r="C2502" t="s">
        <v>1761</v>
      </c>
      <c r="D2502" t="s">
        <v>1619</v>
      </c>
      <c r="E2502" t="s">
        <v>1794</v>
      </c>
      <c r="F2502" t="s">
        <v>14</v>
      </c>
      <c r="G2502" t="s">
        <v>28</v>
      </c>
      <c r="H2502" t="s">
        <v>22</v>
      </c>
      <c r="I2502" t="s">
        <v>3367</v>
      </c>
      <c r="J2502" t="s">
        <v>1913</v>
      </c>
      <c r="K2502" t="str">
        <f t="shared" si="351"/>
        <v>5037.9</v>
      </c>
      <c r="N2502" t="str">
        <f t="shared" si="352"/>
        <v>HOLDING REGISTER</v>
      </c>
      <c r="O2502" t="str">
        <f t="shared" si="353"/>
        <v>BOOL</v>
      </c>
      <c r="P2502" t="str">
        <f t="shared" si="354"/>
        <v>TELECAMERA T15N</v>
      </c>
      <c r="R2502" t="str">
        <f t="shared" si="355"/>
        <v>CODA IN GALLERIA</v>
      </c>
      <c r="U2502" t="str">
        <f t="shared" si="356"/>
        <v>Allarme</v>
      </c>
      <c r="V2502" t="str">
        <f t="shared" si="357"/>
        <v>DIREZIONE NORD</v>
      </c>
      <c r="W2502" t="str">
        <f t="shared" si="358"/>
        <v>GALLERIA CASOLA</v>
      </c>
      <c r="Z2502" t="str">
        <f t="shared" si="359"/>
        <v>10.220.80.16</v>
      </c>
    </row>
    <row r="2503" spans="1:26" x14ac:dyDescent="0.25">
      <c r="A2503" t="s">
        <v>10</v>
      </c>
      <c r="B2503" t="s">
        <v>1206</v>
      </c>
      <c r="C2503" t="s">
        <v>1761</v>
      </c>
      <c r="D2503" t="s">
        <v>1619</v>
      </c>
      <c r="E2503" t="s">
        <v>1794</v>
      </c>
      <c r="F2503" t="s">
        <v>14</v>
      </c>
      <c r="G2503" t="s">
        <v>1375</v>
      </c>
      <c r="H2503" t="s">
        <v>22</v>
      </c>
      <c r="I2503" t="s">
        <v>3368</v>
      </c>
      <c r="J2503" t="s">
        <v>1375</v>
      </c>
      <c r="K2503" t="str">
        <f t="shared" si="351"/>
        <v>5037.10</v>
      </c>
      <c r="N2503" t="str">
        <f t="shared" si="352"/>
        <v>HOLDING REGISTER</v>
      </c>
      <c r="O2503" t="str">
        <f t="shared" si="353"/>
        <v>BOOL</v>
      </c>
      <c r="P2503" t="str">
        <f t="shared" si="354"/>
        <v>TELECAMERA T15N</v>
      </c>
      <c r="R2503" t="str">
        <f t="shared" si="355"/>
        <v>disponibile</v>
      </c>
      <c r="U2503" t="str">
        <f t="shared" si="356"/>
        <v>disponibile</v>
      </c>
      <c r="V2503" t="str">
        <f t="shared" si="357"/>
        <v>DIREZIONE NORD</v>
      </c>
      <c r="W2503" t="str">
        <f t="shared" si="358"/>
        <v>GALLERIA CASOLA</v>
      </c>
      <c r="Z2503" t="str">
        <f t="shared" si="359"/>
        <v>10.220.80.16</v>
      </c>
    </row>
    <row r="2504" spans="1:26" x14ac:dyDescent="0.25">
      <c r="A2504" t="s">
        <v>10</v>
      </c>
      <c r="B2504" t="s">
        <v>1206</v>
      </c>
      <c r="C2504" t="s">
        <v>1761</v>
      </c>
      <c r="D2504" t="s">
        <v>1619</v>
      </c>
      <c r="E2504" t="s">
        <v>1794</v>
      </c>
      <c r="F2504" t="s">
        <v>14</v>
      </c>
      <c r="G2504" t="s">
        <v>1375</v>
      </c>
      <c r="H2504" t="s">
        <v>22</v>
      </c>
      <c r="I2504" t="s">
        <v>3369</v>
      </c>
      <c r="J2504" t="s">
        <v>1375</v>
      </c>
      <c r="K2504" t="str">
        <f t="shared" si="351"/>
        <v>5037.11</v>
      </c>
      <c r="N2504" t="str">
        <f t="shared" si="352"/>
        <v>HOLDING REGISTER</v>
      </c>
      <c r="O2504" t="str">
        <f t="shared" si="353"/>
        <v>BOOL</v>
      </c>
      <c r="P2504" t="str">
        <f t="shared" si="354"/>
        <v>TELECAMERA T15N</v>
      </c>
      <c r="R2504" t="str">
        <f t="shared" si="355"/>
        <v>disponibile</v>
      </c>
      <c r="U2504" t="str">
        <f t="shared" si="356"/>
        <v>disponibile</v>
      </c>
      <c r="V2504" t="str">
        <f t="shared" si="357"/>
        <v>DIREZIONE NORD</v>
      </c>
      <c r="W2504" t="str">
        <f t="shared" si="358"/>
        <v>GALLERIA CASOLA</v>
      </c>
      <c r="Z2504" t="str">
        <f t="shared" si="359"/>
        <v>10.220.80.16</v>
      </c>
    </row>
    <row r="2505" spans="1:26" x14ac:dyDescent="0.25">
      <c r="A2505" t="s">
        <v>10</v>
      </c>
      <c r="B2505" t="s">
        <v>1206</v>
      </c>
      <c r="C2505" t="s">
        <v>1761</v>
      </c>
      <c r="D2505" t="s">
        <v>1619</v>
      </c>
      <c r="E2505" t="s">
        <v>1794</v>
      </c>
      <c r="F2505" t="s">
        <v>14</v>
      </c>
      <c r="G2505" t="s">
        <v>1375</v>
      </c>
      <c r="H2505" t="s">
        <v>22</v>
      </c>
      <c r="I2505" t="s">
        <v>3370</v>
      </c>
      <c r="J2505" t="s">
        <v>1375</v>
      </c>
      <c r="K2505" t="str">
        <f t="shared" si="351"/>
        <v>5037.12</v>
      </c>
      <c r="N2505" t="str">
        <f t="shared" si="352"/>
        <v>HOLDING REGISTER</v>
      </c>
      <c r="O2505" t="str">
        <f t="shared" si="353"/>
        <v>BOOL</v>
      </c>
      <c r="P2505" t="str">
        <f t="shared" si="354"/>
        <v>TELECAMERA T15N</v>
      </c>
      <c r="R2505" t="str">
        <f t="shared" si="355"/>
        <v>disponibile</v>
      </c>
      <c r="U2505" t="str">
        <f t="shared" si="356"/>
        <v>disponibile</v>
      </c>
      <c r="V2505" t="str">
        <f t="shared" si="357"/>
        <v>DIREZIONE NORD</v>
      </c>
      <c r="W2505" t="str">
        <f t="shared" si="358"/>
        <v>GALLERIA CASOLA</v>
      </c>
      <c r="Z2505" t="str">
        <f t="shared" si="359"/>
        <v>10.220.80.16</v>
      </c>
    </row>
    <row r="2506" spans="1:26" x14ac:dyDescent="0.25">
      <c r="A2506" t="s">
        <v>10</v>
      </c>
      <c r="B2506" t="s">
        <v>1206</v>
      </c>
      <c r="C2506" t="s">
        <v>1761</v>
      </c>
      <c r="D2506" t="s">
        <v>1619</v>
      </c>
      <c r="E2506" t="s">
        <v>1794</v>
      </c>
      <c r="F2506" t="s">
        <v>14</v>
      </c>
      <c r="G2506" t="s">
        <v>1375</v>
      </c>
      <c r="H2506" t="s">
        <v>22</v>
      </c>
      <c r="I2506" t="s">
        <v>3371</v>
      </c>
      <c r="J2506" t="s">
        <v>1375</v>
      </c>
      <c r="K2506" t="str">
        <f t="shared" si="351"/>
        <v>5037.13</v>
      </c>
      <c r="N2506" t="str">
        <f t="shared" si="352"/>
        <v>HOLDING REGISTER</v>
      </c>
      <c r="O2506" t="str">
        <f t="shared" si="353"/>
        <v>BOOL</v>
      </c>
      <c r="P2506" t="str">
        <f t="shared" si="354"/>
        <v>TELECAMERA T15N</v>
      </c>
      <c r="R2506" t="str">
        <f t="shared" si="355"/>
        <v>disponibile</v>
      </c>
      <c r="U2506" t="str">
        <f t="shared" si="356"/>
        <v>disponibile</v>
      </c>
      <c r="V2506" t="str">
        <f t="shared" si="357"/>
        <v>DIREZIONE NORD</v>
      </c>
      <c r="W2506" t="str">
        <f t="shared" si="358"/>
        <v>GALLERIA CASOLA</v>
      </c>
      <c r="Z2506" t="str">
        <f t="shared" si="359"/>
        <v>10.220.80.16</v>
      </c>
    </row>
    <row r="2507" spans="1:26" x14ac:dyDescent="0.25">
      <c r="A2507" t="s">
        <v>10</v>
      </c>
      <c r="B2507" t="s">
        <v>1206</v>
      </c>
      <c r="C2507" t="s">
        <v>1761</v>
      </c>
      <c r="D2507" t="s">
        <v>1619</v>
      </c>
      <c r="E2507" t="s">
        <v>1794</v>
      </c>
      <c r="F2507" t="s">
        <v>14</v>
      </c>
      <c r="G2507" t="s">
        <v>1375</v>
      </c>
      <c r="H2507" t="s">
        <v>22</v>
      </c>
      <c r="I2507" t="s">
        <v>3372</v>
      </c>
      <c r="J2507" t="s">
        <v>1375</v>
      </c>
      <c r="K2507" t="str">
        <f t="shared" si="351"/>
        <v>5037.14</v>
      </c>
      <c r="N2507" t="str">
        <f t="shared" si="352"/>
        <v>HOLDING REGISTER</v>
      </c>
      <c r="O2507" t="str">
        <f t="shared" si="353"/>
        <v>BOOL</v>
      </c>
      <c r="P2507" t="str">
        <f t="shared" si="354"/>
        <v>TELECAMERA T15N</v>
      </c>
      <c r="R2507" t="str">
        <f t="shared" si="355"/>
        <v>disponibile</v>
      </c>
      <c r="U2507" t="str">
        <f t="shared" si="356"/>
        <v>disponibile</v>
      </c>
      <c r="V2507" t="str">
        <f t="shared" si="357"/>
        <v>DIREZIONE NORD</v>
      </c>
      <c r="W2507" t="str">
        <f t="shared" si="358"/>
        <v>GALLERIA CASOLA</v>
      </c>
      <c r="Z2507" t="str">
        <f t="shared" si="359"/>
        <v>10.220.80.16</v>
      </c>
    </row>
    <row r="2508" spans="1:26" x14ac:dyDescent="0.25">
      <c r="A2508" t="s">
        <v>10</v>
      </c>
      <c r="B2508" t="s">
        <v>1206</v>
      </c>
      <c r="C2508" t="s">
        <v>1761</v>
      </c>
      <c r="D2508" t="s">
        <v>1619</v>
      </c>
      <c r="E2508" t="s">
        <v>1794</v>
      </c>
      <c r="F2508" t="s">
        <v>14</v>
      </c>
      <c r="G2508" t="s">
        <v>1375</v>
      </c>
      <c r="H2508" t="s">
        <v>22</v>
      </c>
      <c r="I2508" t="s">
        <v>3373</v>
      </c>
      <c r="J2508" t="s">
        <v>1375</v>
      </c>
      <c r="K2508" t="str">
        <f t="shared" si="351"/>
        <v>5037.15</v>
      </c>
      <c r="N2508" t="str">
        <f t="shared" si="352"/>
        <v>HOLDING REGISTER</v>
      </c>
      <c r="O2508" t="str">
        <f t="shared" si="353"/>
        <v>BOOL</v>
      </c>
      <c r="P2508" t="str">
        <f t="shared" si="354"/>
        <v>TELECAMERA T15N</v>
      </c>
      <c r="R2508" t="str">
        <f t="shared" si="355"/>
        <v>disponibile</v>
      </c>
      <c r="U2508" t="str">
        <f t="shared" si="356"/>
        <v>disponibile</v>
      </c>
      <c r="V2508" t="str">
        <f t="shared" si="357"/>
        <v>DIREZIONE NORD</v>
      </c>
      <c r="W2508" t="str">
        <f t="shared" si="358"/>
        <v>GALLERIA CASOLA</v>
      </c>
      <c r="Z2508" t="str">
        <f t="shared" si="359"/>
        <v>10.220.80.16</v>
      </c>
    </row>
    <row r="2509" spans="1:26" x14ac:dyDescent="0.25">
      <c r="A2509" t="s">
        <v>10</v>
      </c>
      <c r="B2509" t="s">
        <v>1206</v>
      </c>
      <c r="C2509" t="s">
        <v>1761</v>
      </c>
      <c r="D2509" t="s">
        <v>1619</v>
      </c>
      <c r="E2509" t="s">
        <v>1811</v>
      </c>
      <c r="F2509" t="s">
        <v>14</v>
      </c>
      <c r="G2509" t="s">
        <v>28</v>
      </c>
      <c r="H2509" t="s">
        <v>22</v>
      </c>
      <c r="I2509" t="s">
        <v>3374</v>
      </c>
      <c r="J2509" t="s">
        <v>1897</v>
      </c>
      <c r="K2509" t="str">
        <f t="shared" si="351"/>
        <v>5038.0</v>
      </c>
      <c r="N2509" t="str">
        <f t="shared" si="352"/>
        <v>HOLDING REGISTER</v>
      </c>
      <c r="O2509" t="str">
        <f t="shared" si="353"/>
        <v>BOOL</v>
      </c>
      <c r="P2509" t="str">
        <f t="shared" si="354"/>
        <v>TELECAMERA T16N</v>
      </c>
      <c r="R2509" t="str">
        <f t="shared" si="355"/>
        <v>PERDITA SEGNALE VIDEO</v>
      </c>
      <c r="U2509" t="str">
        <f t="shared" si="356"/>
        <v>Allarme</v>
      </c>
      <c r="V2509" t="str">
        <f t="shared" si="357"/>
        <v>DIREZIONE NORD</v>
      </c>
      <c r="W2509" t="str">
        <f t="shared" si="358"/>
        <v>GALLERIA CASOLA</v>
      </c>
      <c r="Z2509" t="str">
        <f t="shared" si="359"/>
        <v>10.220.80.16</v>
      </c>
    </row>
    <row r="2510" spans="1:26" x14ac:dyDescent="0.25">
      <c r="A2510" t="s">
        <v>10</v>
      </c>
      <c r="B2510" t="s">
        <v>1206</v>
      </c>
      <c r="C2510" t="s">
        <v>1761</v>
      </c>
      <c r="D2510" t="s">
        <v>1619</v>
      </c>
      <c r="E2510" t="s">
        <v>1811</v>
      </c>
      <c r="F2510" t="s">
        <v>14</v>
      </c>
      <c r="G2510" t="s">
        <v>28</v>
      </c>
      <c r="H2510" t="s">
        <v>22</v>
      </c>
      <c r="I2510" t="s">
        <v>3375</v>
      </c>
      <c r="J2510" t="s">
        <v>1899</v>
      </c>
      <c r="K2510" t="str">
        <f t="shared" si="351"/>
        <v>5038.1</v>
      </c>
      <c r="N2510" t="str">
        <f t="shared" si="352"/>
        <v>HOLDING REGISTER</v>
      </c>
      <c r="O2510" t="str">
        <f t="shared" si="353"/>
        <v>BOOL</v>
      </c>
      <c r="P2510" t="str">
        <f t="shared" si="354"/>
        <v>TELECAMERA T16N</v>
      </c>
      <c r="R2510" t="str">
        <f t="shared" si="355"/>
        <v>MANOMISSIONE</v>
      </c>
      <c r="U2510" t="str">
        <f t="shared" si="356"/>
        <v>Allarme</v>
      </c>
      <c r="V2510" t="str">
        <f t="shared" si="357"/>
        <v>DIREZIONE NORD</v>
      </c>
      <c r="W2510" t="str">
        <f t="shared" si="358"/>
        <v>GALLERIA CASOLA</v>
      </c>
      <c r="Z2510" t="str">
        <f t="shared" si="359"/>
        <v>10.220.80.16</v>
      </c>
    </row>
    <row r="2511" spans="1:26" x14ac:dyDescent="0.25">
      <c r="A2511" t="s">
        <v>10</v>
      </c>
      <c r="B2511" t="s">
        <v>1206</v>
      </c>
      <c r="C2511" t="s">
        <v>1761</v>
      </c>
      <c r="D2511" t="s">
        <v>1619</v>
      </c>
      <c r="E2511" t="s">
        <v>1811</v>
      </c>
      <c r="F2511" t="s">
        <v>14</v>
      </c>
      <c r="G2511" t="s">
        <v>1375</v>
      </c>
      <c r="H2511" t="s">
        <v>22</v>
      </c>
      <c r="I2511" t="s">
        <v>3376</v>
      </c>
      <c r="J2511" t="s">
        <v>1375</v>
      </c>
      <c r="K2511" t="str">
        <f t="shared" si="351"/>
        <v>5038.2</v>
      </c>
      <c r="N2511" t="str">
        <f t="shared" si="352"/>
        <v>HOLDING REGISTER</v>
      </c>
      <c r="O2511" t="str">
        <f t="shared" si="353"/>
        <v>BOOL</v>
      </c>
      <c r="P2511" t="str">
        <f t="shared" si="354"/>
        <v>TELECAMERA T16N</v>
      </c>
      <c r="R2511" t="str">
        <f t="shared" si="355"/>
        <v>disponibile</v>
      </c>
      <c r="U2511" t="str">
        <f t="shared" si="356"/>
        <v>disponibile</v>
      </c>
      <c r="V2511" t="str">
        <f t="shared" si="357"/>
        <v>DIREZIONE NORD</v>
      </c>
      <c r="W2511" t="str">
        <f t="shared" si="358"/>
        <v>GALLERIA CASOLA</v>
      </c>
      <c r="Z2511" t="str">
        <f t="shared" si="359"/>
        <v>10.220.80.16</v>
      </c>
    </row>
    <row r="2512" spans="1:26" x14ac:dyDescent="0.25">
      <c r="A2512" t="s">
        <v>10</v>
      </c>
      <c r="B2512" t="s">
        <v>1206</v>
      </c>
      <c r="C2512" t="s">
        <v>1761</v>
      </c>
      <c r="D2512" t="s">
        <v>1619</v>
      </c>
      <c r="E2512" t="s">
        <v>1811</v>
      </c>
      <c r="F2512" t="s">
        <v>14</v>
      </c>
      <c r="G2512" t="s">
        <v>28</v>
      </c>
      <c r="H2512" t="s">
        <v>22</v>
      </c>
      <c r="I2512" t="s">
        <v>3377</v>
      </c>
      <c r="J2512" t="s">
        <v>1902</v>
      </c>
      <c r="K2512" t="str">
        <f t="shared" si="351"/>
        <v>5038.3</v>
      </c>
      <c r="N2512" t="str">
        <f t="shared" si="352"/>
        <v>HOLDING REGISTER</v>
      </c>
      <c r="O2512" t="str">
        <f t="shared" si="353"/>
        <v>BOOL</v>
      </c>
      <c r="P2512" t="str">
        <f t="shared" si="354"/>
        <v>TELECAMERA T16N</v>
      </c>
      <c r="R2512" t="str">
        <f t="shared" si="355"/>
        <v>VEICOLO FERMO</v>
      </c>
      <c r="U2512" t="str">
        <f t="shared" si="356"/>
        <v>Allarme</v>
      </c>
      <c r="V2512" t="str">
        <f t="shared" si="357"/>
        <v>DIREZIONE NORD</v>
      </c>
      <c r="W2512" t="str">
        <f t="shared" si="358"/>
        <v>GALLERIA CASOLA</v>
      </c>
      <c r="Z2512" t="str">
        <f t="shared" si="359"/>
        <v>10.220.80.16</v>
      </c>
    </row>
    <row r="2513" spans="1:26" x14ac:dyDescent="0.25">
      <c r="A2513" t="s">
        <v>10</v>
      </c>
      <c r="B2513" t="s">
        <v>1206</v>
      </c>
      <c r="C2513" t="s">
        <v>1761</v>
      </c>
      <c r="D2513" t="s">
        <v>1619</v>
      </c>
      <c r="E2513" t="s">
        <v>1811</v>
      </c>
      <c r="F2513" t="s">
        <v>14</v>
      </c>
      <c r="G2513" t="s">
        <v>28</v>
      </c>
      <c r="H2513" t="s">
        <v>22</v>
      </c>
      <c r="I2513" t="s">
        <v>3378</v>
      </c>
      <c r="J2513" t="s">
        <v>1904</v>
      </c>
      <c r="K2513" t="str">
        <f t="shared" si="351"/>
        <v>5038.4</v>
      </c>
      <c r="N2513" t="str">
        <f t="shared" si="352"/>
        <v>HOLDING REGISTER</v>
      </c>
      <c r="O2513" t="str">
        <f t="shared" si="353"/>
        <v>BOOL</v>
      </c>
      <c r="P2513" t="str">
        <f t="shared" si="354"/>
        <v>TELECAMERA T16N</v>
      </c>
      <c r="R2513" t="str">
        <f t="shared" si="355"/>
        <v>CARICO DISPERSO</v>
      </c>
      <c r="U2513" t="str">
        <f t="shared" si="356"/>
        <v>Allarme</v>
      </c>
      <c r="V2513" t="str">
        <f t="shared" si="357"/>
        <v>DIREZIONE NORD</v>
      </c>
      <c r="W2513" t="str">
        <f t="shared" si="358"/>
        <v>GALLERIA CASOLA</v>
      </c>
      <c r="Z2513" t="str">
        <f t="shared" si="359"/>
        <v>10.220.80.16</v>
      </c>
    </row>
    <row r="2514" spans="1:26" x14ac:dyDescent="0.25">
      <c r="A2514" t="s">
        <v>10</v>
      </c>
      <c r="B2514" t="s">
        <v>1206</v>
      </c>
      <c r="C2514" t="s">
        <v>1761</v>
      </c>
      <c r="D2514" t="s">
        <v>1619</v>
      </c>
      <c r="E2514" t="s">
        <v>1811</v>
      </c>
      <c r="F2514" t="s">
        <v>14</v>
      </c>
      <c r="G2514" t="s">
        <v>1375</v>
      </c>
      <c r="H2514" t="s">
        <v>22</v>
      </c>
      <c r="I2514" t="s">
        <v>3379</v>
      </c>
      <c r="J2514" t="s">
        <v>1375</v>
      </c>
      <c r="K2514" t="str">
        <f t="shared" si="351"/>
        <v>5038.5</v>
      </c>
      <c r="N2514" t="str">
        <f t="shared" si="352"/>
        <v>HOLDING REGISTER</v>
      </c>
      <c r="O2514" t="str">
        <f t="shared" si="353"/>
        <v>BOOL</v>
      </c>
      <c r="P2514" t="str">
        <f t="shared" si="354"/>
        <v>TELECAMERA T16N</v>
      </c>
      <c r="R2514" t="str">
        <f t="shared" si="355"/>
        <v>disponibile</v>
      </c>
      <c r="U2514" t="str">
        <f t="shared" si="356"/>
        <v>disponibile</v>
      </c>
      <c r="V2514" t="str">
        <f t="shared" si="357"/>
        <v>DIREZIONE NORD</v>
      </c>
      <c r="W2514" t="str">
        <f t="shared" si="358"/>
        <v>GALLERIA CASOLA</v>
      </c>
      <c r="Z2514" t="str">
        <f t="shared" si="359"/>
        <v>10.220.80.16</v>
      </c>
    </row>
    <row r="2515" spans="1:26" x14ac:dyDescent="0.25">
      <c r="A2515" t="s">
        <v>10</v>
      </c>
      <c r="B2515" t="s">
        <v>1206</v>
      </c>
      <c r="C2515" t="s">
        <v>1761</v>
      </c>
      <c r="D2515" t="s">
        <v>1619</v>
      </c>
      <c r="E2515" t="s">
        <v>1811</v>
      </c>
      <c r="F2515" t="s">
        <v>14</v>
      </c>
      <c r="G2515" t="s">
        <v>28</v>
      </c>
      <c r="H2515" t="s">
        <v>22</v>
      </c>
      <c r="I2515" t="s">
        <v>3380</v>
      </c>
      <c r="J2515" t="s">
        <v>1907</v>
      </c>
      <c r="K2515" t="str">
        <f t="shared" si="351"/>
        <v>5038.6</v>
      </c>
      <c r="N2515" t="str">
        <f t="shared" si="352"/>
        <v>HOLDING REGISTER</v>
      </c>
      <c r="O2515" t="str">
        <f t="shared" si="353"/>
        <v>BOOL</v>
      </c>
      <c r="P2515" t="str">
        <f t="shared" si="354"/>
        <v>TELECAMERA T16N</v>
      </c>
      <c r="R2515" t="str">
        <f t="shared" si="355"/>
        <v>PEDONE</v>
      </c>
      <c r="U2515" t="str">
        <f t="shared" si="356"/>
        <v>Allarme</v>
      </c>
      <c r="V2515" t="str">
        <f t="shared" si="357"/>
        <v>DIREZIONE NORD</v>
      </c>
      <c r="W2515" t="str">
        <f t="shared" si="358"/>
        <v>GALLERIA CASOLA</v>
      </c>
      <c r="Z2515" t="str">
        <f t="shared" si="359"/>
        <v>10.220.80.16</v>
      </c>
    </row>
    <row r="2516" spans="1:26" x14ac:dyDescent="0.25">
      <c r="A2516" t="s">
        <v>10</v>
      </c>
      <c r="B2516" t="s">
        <v>1206</v>
      </c>
      <c r="C2516" t="s">
        <v>1761</v>
      </c>
      <c r="D2516" t="s">
        <v>1619</v>
      </c>
      <c r="E2516" t="s">
        <v>1811</v>
      </c>
      <c r="F2516" t="s">
        <v>14</v>
      </c>
      <c r="G2516" t="s">
        <v>28</v>
      </c>
      <c r="H2516" t="s">
        <v>22</v>
      </c>
      <c r="I2516" t="s">
        <v>3381</v>
      </c>
      <c r="J2516" t="s">
        <v>1909</v>
      </c>
      <c r="K2516" t="str">
        <f t="shared" si="351"/>
        <v>5038.7</v>
      </c>
      <c r="N2516" t="str">
        <f t="shared" si="352"/>
        <v>HOLDING REGISTER</v>
      </c>
      <c r="O2516" t="str">
        <f t="shared" si="353"/>
        <v>BOOL</v>
      </c>
      <c r="P2516" t="str">
        <f t="shared" si="354"/>
        <v>TELECAMERA T16N</v>
      </c>
      <c r="R2516" t="str">
        <f t="shared" si="355"/>
        <v>FUMO</v>
      </c>
      <c r="U2516" t="str">
        <f t="shared" si="356"/>
        <v>Allarme</v>
      </c>
      <c r="V2516" t="str">
        <f t="shared" si="357"/>
        <v>DIREZIONE NORD</v>
      </c>
      <c r="W2516" t="str">
        <f t="shared" si="358"/>
        <v>GALLERIA CASOLA</v>
      </c>
      <c r="Z2516" t="str">
        <f t="shared" si="359"/>
        <v>10.220.80.16</v>
      </c>
    </row>
    <row r="2517" spans="1:26" x14ac:dyDescent="0.25">
      <c r="A2517" t="s">
        <v>10</v>
      </c>
      <c r="B2517" t="s">
        <v>1206</v>
      </c>
      <c r="C2517" t="s">
        <v>1761</v>
      </c>
      <c r="D2517" t="s">
        <v>1619</v>
      </c>
      <c r="E2517" t="s">
        <v>1811</v>
      </c>
      <c r="F2517" t="s">
        <v>14</v>
      </c>
      <c r="G2517" t="s">
        <v>28</v>
      </c>
      <c r="H2517" t="s">
        <v>22</v>
      </c>
      <c r="I2517" t="s">
        <v>3382</v>
      </c>
      <c r="J2517" t="s">
        <v>1911</v>
      </c>
      <c r="K2517" t="str">
        <f t="shared" si="351"/>
        <v>5038.8</v>
      </c>
      <c r="N2517" t="str">
        <f t="shared" si="352"/>
        <v>HOLDING REGISTER</v>
      </c>
      <c r="O2517" t="str">
        <f t="shared" si="353"/>
        <v>BOOL</v>
      </c>
      <c r="P2517" t="str">
        <f t="shared" si="354"/>
        <v>TELECAMERA T16N</v>
      </c>
      <c r="R2517" t="str">
        <f t="shared" si="355"/>
        <v>RALLENTAMENTI</v>
      </c>
      <c r="U2517" t="str">
        <f t="shared" si="356"/>
        <v>Allarme</v>
      </c>
      <c r="V2517" t="str">
        <f t="shared" si="357"/>
        <v>DIREZIONE NORD</v>
      </c>
      <c r="W2517" t="str">
        <f t="shared" si="358"/>
        <v>GALLERIA CASOLA</v>
      </c>
      <c r="Z2517" t="str">
        <f t="shared" si="359"/>
        <v>10.220.80.16</v>
      </c>
    </row>
    <row r="2518" spans="1:26" x14ac:dyDescent="0.25">
      <c r="A2518" t="s">
        <v>10</v>
      </c>
      <c r="B2518" t="s">
        <v>1206</v>
      </c>
      <c r="C2518" t="s">
        <v>1761</v>
      </c>
      <c r="D2518" t="s">
        <v>1619</v>
      </c>
      <c r="E2518" t="s">
        <v>1811</v>
      </c>
      <c r="F2518" t="s">
        <v>14</v>
      </c>
      <c r="G2518" t="s">
        <v>28</v>
      </c>
      <c r="H2518" t="s">
        <v>22</v>
      </c>
      <c r="I2518" t="s">
        <v>3383</v>
      </c>
      <c r="J2518" t="s">
        <v>1913</v>
      </c>
      <c r="K2518" t="str">
        <f t="shared" si="351"/>
        <v>5038.9</v>
      </c>
      <c r="N2518" t="str">
        <f t="shared" si="352"/>
        <v>HOLDING REGISTER</v>
      </c>
      <c r="O2518" t="str">
        <f t="shared" si="353"/>
        <v>BOOL</v>
      </c>
      <c r="P2518" t="str">
        <f t="shared" si="354"/>
        <v>TELECAMERA T16N</v>
      </c>
      <c r="R2518" t="str">
        <f t="shared" si="355"/>
        <v>CODA IN GALLERIA</v>
      </c>
      <c r="U2518" t="str">
        <f t="shared" si="356"/>
        <v>Allarme</v>
      </c>
      <c r="V2518" t="str">
        <f t="shared" si="357"/>
        <v>DIREZIONE NORD</v>
      </c>
      <c r="W2518" t="str">
        <f t="shared" si="358"/>
        <v>GALLERIA CASOLA</v>
      </c>
      <c r="Z2518" t="str">
        <f t="shared" si="359"/>
        <v>10.220.80.16</v>
      </c>
    </row>
    <row r="2519" spans="1:26" x14ac:dyDescent="0.25">
      <c r="A2519" t="s">
        <v>10</v>
      </c>
      <c r="B2519" t="s">
        <v>1206</v>
      </c>
      <c r="C2519" t="s">
        <v>1761</v>
      </c>
      <c r="D2519" t="s">
        <v>1619</v>
      </c>
      <c r="E2519" t="s">
        <v>1811</v>
      </c>
      <c r="F2519" t="s">
        <v>14</v>
      </c>
      <c r="G2519" t="s">
        <v>1375</v>
      </c>
      <c r="H2519" t="s">
        <v>22</v>
      </c>
      <c r="I2519" t="s">
        <v>3384</v>
      </c>
      <c r="J2519" t="s">
        <v>1375</v>
      </c>
      <c r="K2519" t="str">
        <f t="shared" si="351"/>
        <v>5038.10</v>
      </c>
      <c r="N2519" t="str">
        <f t="shared" si="352"/>
        <v>HOLDING REGISTER</v>
      </c>
      <c r="O2519" t="str">
        <f t="shared" si="353"/>
        <v>BOOL</v>
      </c>
      <c r="P2519" t="str">
        <f t="shared" si="354"/>
        <v>TELECAMERA T16N</v>
      </c>
      <c r="R2519" t="str">
        <f t="shared" si="355"/>
        <v>disponibile</v>
      </c>
      <c r="U2519" t="str">
        <f t="shared" si="356"/>
        <v>disponibile</v>
      </c>
      <c r="V2519" t="str">
        <f t="shared" si="357"/>
        <v>DIREZIONE NORD</v>
      </c>
      <c r="W2519" t="str">
        <f t="shared" si="358"/>
        <v>GALLERIA CASOLA</v>
      </c>
      <c r="Z2519" t="str">
        <f t="shared" si="359"/>
        <v>10.220.80.16</v>
      </c>
    </row>
    <row r="2520" spans="1:26" x14ac:dyDescent="0.25">
      <c r="A2520" t="s">
        <v>10</v>
      </c>
      <c r="B2520" t="s">
        <v>1206</v>
      </c>
      <c r="C2520" t="s">
        <v>1761</v>
      </c>
      <c r="D2520" t="s">
        <v>1619</v>
      </c>
      <c r="E2520" t="s">
        <v>1811</v>
      </c>
      <c r="F2520" t="s">
        <v>14</v>
      </c>
      <c r="G2520" t="s">
        <v>1375</v>
      </c>
      <c r="H2520" t="s">
        <v>22</v>
      </c>
      <c r="I2520" t="s">
        <v>3385</v>
      </c>
      <c r="J2520" t="s">
        <v>1375</v>
      </c>
      <c r="K2520" t="str">
        <f t="shared" si="351"/>
        <v>5038.11</v>
      </c>
      <c r="N2520" t="str">
        <f t="shared" si="352"/>
        <v>HOLDING REGISTER</v>
      </c>
      <c r="O2520" t="str">
        <f t="shared" si="353"/>
        <v>BOOL</v>
      </c>
      <c r="P2520" t="str">
        <f t="shared" si="354"/>
        <v>TELECAMERA T16N</v>
      </c>
      <c r="R2520" t="str">
        <f t="shared" si="355"/>
        <v>disponibile</v>
      </c>
      <c r="U2520" t="str">
        <f t="shared" si="356"/>
        <v>disponibile</v>
      </c>
      <c r="V2520" t="str">
        <f t="shared" si="357"/>
        <v>DIREZIONE NORD</v>
      </c>
      <c r="W2520" t="str">
        <f t="shared" si="358"/>
        <v>GALLERIA CASOLA</v>
      </c>
      <c r="Z2520" t="str">
        <f t="shared" si="359"/>
        <v>10.220.80.16</v>
      </c>
    </row>
    <row r="2521" spans="1:26" x14ac:dyDescent="0.25">
      <c r="A2521" t="s">
        <v>10</v>
      </c>
      <c r="B2521" t="s">
        <v>1206</v>
      </c>
      <c r="C2521" t="s">
        <v>1761</v>
      </c>
      <c r="D2521" t="s">
        <v>1619</v>
      </c>
      <c r="E2521" t="s">
        <v>1811</v>
      </c>
      <c r="F2521" t="s">
        <v>14</v>
      </c>
      <c r="G2521" t="s">
        <v>1375</v>
      </c>
      <c r="H2521" t="s">
        <v>22</v>
      </c>
      <c r="I2521" t="s">
        <v>3386</v>
      </c>
      <c r="J2521" t="s">
        <v>1375</v>
      </c>
      <c r="K2521" t="str">
        <f t="shared" si="351"/>
        <v>5038.12</v>
      </c>
      <c r="N2521" t="str">
        <f t="shared" si="352"/>
        <v>HOLDING REGISTER</v>
      </c>
      <c r="O2521" t="str">
        <f t="shared" si="353"/>
        <v>BOOL</v>
      </c>
      <c r="P2521" t="str">
        <f t="shared" si="354"/>
        <v>TELECAMERA T16N</v>
      </c>
      <c r="R2521" t="str">
        <f t="shared" si="355"/>
        <v>disponibile</v>
      </c>
      <c r="U2521" t="str">
        <f t="shared" si="356"/>
        <v>disponibile</v>
      </c>
      <c r="V2521" t="str">
        <f t="shared" si="357"/>
        <v>DIREZIONE NORD</v>
      </c>
      <c r="W2521" t="str">
        <f t="shared" si="358"/>
        <v>GALLERIA CASOLA</v>
      </c>
      <c r="Z2521" t="str">
        <f t="shared" si="359"/>
        <v>10.220.80.16</v>
      </c>
    </row>
    <row r="2522" spans="1:26" x14ac:dyDescent="0.25">
      <c r="A2522" t="s">
        <v>10</v>
      </c>
      <c r="B2522" t="s">
        <v>1206</v>
      </c>
      <c r="C2522" t="s">
        <v>1761</v>
      </c>
      <c r="D2522" t="s">
        <v>1619</v>
      </c>
      <c r="E2522" t="s">
        <v>1811</v>
      </c>
      <c r="F2522" t="s">
        <v>14</v>
      </c>
      <c r="G2522" t="s">
        <v>1375</v>
      </c>
      <c r="H2522" t="s">
        <v>22</v>
      </c>
      <c r="I2522" t="s">
        <v>3387</v>
      </c>
      <c r="J2522" t="s">
        <v>1375</v>
      </c>
      <c r="K2522" t="str">
        <f t="shared" si="351"/>
        <v>5038.13</v>
      </c>
      <c r="N2522" t="str">
        <f t="shared" si="352"/>
        <v>HOLDING REGISTER</v>
      </c>
      <c r="O2522" t="str">
        <f t="shared" si="353"/>
        <v>BOOL</v>
      </c>
      <c r="P2522" t="str">
        <f t="shared" si="354"/>
        <v>TELECAMERA T16N</v>
      </c>
      <c r="R2522" t="str">
        <f t="shared" si="355"/>
        <v>disponibile</v>
      </c>
      <c r="U2522" t="str">
        <f t="shared" si="356"/>
        <v>disponibile</v>
      </c>
      <c r="V2522" t="str">
        <f t="shared" si="357"/>
        <v>DIREZIONE NORD</v>
      </c>
      <c r="W2522" t="str">
        <f t="shared" si="358"/>
        <v>GALLERIA CASOLA</v>
      </c>
      <c r="Z2522" t="str">
        <f t="shared" si="359"/>
        <v>10.220.80.16</v>
      </c>
    </row>
    <row r="2523" spans="1:26" x14ac:dyDescent="0.25">
      <c r="A2523" t="s">
        <v>10</v>
      </c>
      <c r="B2523" t="s">
        <v>1206</v>
      </c>
      <c r="C2523" t="s">
        <v>1761</v>
      </c>
      <c r="D2523" t="s">
        <v>1619</v>
      </c>
      <c r="E2523" t="s">
        <v>1811</v>
      </c>
      <c r="F2523" t="s">
        <v>14</v>
      </c>
      <c r="G2523" t="s">
        <v>1375</v>
      </c>
      <c r="H2523" t="s">
        <v>22</v>
      </c>
      <c r="I2523" t="s">
        <v>3388</v>
      </c>
      <c r="J2523" t="s">
        <v>1375</v>
      </c>
      <c r="K2523" t="str">
        <f t="shared" si="351"/>
        <v>5038.14</v>
      </c>
      <c r="N2523" t="str">
        <f t="shared" si="352"/>
        <v>HOLDING REGISTER</v>
      </c>
      <c r="O2523" t="str">
        <f t="shared" si="353"/>
        <v>BOOL</v>
      </c>
      <c r="P2523" t="str">
        <f t="shared" si="354"/>
        <v>TELECAMERA T16N</v>
      </c>
      <c r="R2523" t="str">
        <f t="shared" si="355"/>
        <v>disponibile</v>
      </c>
      <c r="U2523" t="str">
        <f t="shared" si="356"/>
        <v>disponibile</v>
      </c>
      <c r="V2523" t="str">
        <f t="shared" si="357"/>
        <v>DIREZIONE NORD</v>
      </c>
      <c r="W2523" t="str">
        <f t="shared" si="358"/>
        <v>GALLERIA CASOLA</v>
      </c>
      <c r="Z2523" t="str">
        <f t="shared" si="359"/>
        <v>10.220.80.16</v>
      </c>
    </row>
    <row r="2524" spans="1:26" x14ac:dyDescent="0.25">
      <c r="A2524" t="s">
        <v>10</v>
      </c>
      <c r="B2524" t="s">
        <v>1206</v>
      </c>
      <c r="C2524" t="s">
        <v>1761</v>
      </c>
      <c r="D2524" t="s">
        <v>1619</v>
      </c>
      <c r="E2524" t="s">
        <v>1811</v>
      </c>
      <c r="F2524" t="s">
        <v>14</v>
      </c>
      <c r="G2524" t="s">
        <v>1375</v>
      </c>
      <c r="H2524" t="s">
        <v>22</v>
      </c>
      <c r="I2524" t="s">
        <v>3389</v>
      </c>
      <c r="J2524" t="s">
        <v>1375</v>
      </c>
      <c r="K2524" t="str">
        <f t="shared" si="351"/>
        <v>5038.15</v>
      </c>
      <c r="N2524" t="str">
        <f t="shared" si="352"/>
        <v>HOLDING REGISTER</v>
      </c>
      <c r="O2524" t="str">
        <f t="shared" si="353"/>
        <v>BOOL</v>
      </c>
      <c r="P2524" t="str">
        <f t="shared" si="354"/>
        <v>TELECAMERA T16N</v>
      </c>
      <c r="R2524" t="str">
        <f t="shared" si="355"/>
        <v>disponibile</v>
      </c>
      <c r="U2524" t="str">
        <f t="shared" si="356"/>
        <v>disponibile</v>
      </c>
      <c r="V2524" t="str">
        <f t="shared" si="357"/>
        <v>DIREZIONE NORD</v>
      </c>
      <c r="W2524" t="str">
        <f t="shared" si="358"/>
        <v>GALLERIA CASOLA</v>
      </c>
      <c r="Z2524" t="str">
        <f t="shared" si="359"/>
        <v>10.220.80.16</v>
      </c>
    </row>
    <row r="2525" spans="1:26" x14ac:dyDescent="0.25">
      <c r="A2525" t="s">
        <v>10</v>
      </c>
      <c r="B2525" t="s">
        <v>1206</v>
      </c>
      <c r="C2525" t="s">
        <v>1618</v>
      </c>
      <c r="D2525" t="s">
        <v>2160</v>
      </c>
      <c r="E2525" t="s">
        <v>2161</v>
      </c>
      <c r="F2525" t="s">
        <v>14</v>
      </c>
      <c r="G2525" t="s">
        <v>28</v>
      </c>
      <c r="H2525" t="s">
        <v>22</v>
      </c>
      <c r="I2525" t="s">
        <v>3390</v>
      </c>
      <c r="J2525" t="s">
        <v>2163</v>
      </c>
      <c r="K2525" t="str">
        <f t="shared" si="351"/>
        <v>5039.0</v>
      </c>
      <c r="N2525" t="str">
        <f t="shared" si="352"/>
        <v>HOLDING REGISTER</v>
      </c>
      <c r="O2525" t="str">
        <f t="shared" si="353"/>
        <v>BOOL</v>
      </c>
      <c r="P2525" t="str">
        <f t="shared" si="354"/>
        <v>CAVO TERMOSENSIBILE LDM MARCIA SUD</v>
      </c>
      <c r="R2525" t="str">
        <f t="shared" si="355"/>
        <v>Allarme Incendio</v>
      </c>
      <c r="U2525" t="str">
        <f t="shared" si="356"/>
        <v>Allarme</v>
      </c>
      <c r="V2525" t="str">
        <f t="shared" si="357"/>
        <v>DIREZIONE SUD</v>
      </c>
      <c r="W2525" t="str">
        <f t="shared" si="358"/>
        <v>GALLERIA CASOLA</v>
      </c>
      <c r="Z2525" t="str">
        <f t="shared" si="359"/>
        <v>10.220.80.16</v>
      </c>
    </row>
    <row r="2526" spans="1:26" x14ac:dyDescent="0.25">
      <c r="A2526" t="s">
        <v>10</v>
      </c>
      <c r="B2526" t="s">
        <v>1206</v>
      </c>
      <c r="C2526" t="s">
        <v>1618</v>
      </c>
      <c r="D2526" t="s">
        <v>2160</v>
      </c>
      <c r="E2526" t="s">
        <v>2161</v>
      </c>
      <c r="F2526" t="s">
        <v>14</v>
      </c>
      <c r="G2526" t="s">
        <v>28</v>
      </c>
      <c r="H2526" t="s">
        <v>22</v>
      </c>
      <c r="I2526" t="s">
        <v>3391</v>
      </c>
      <c r="J2526" t="s">
        <v>2165</v>
      </c>
      <c r="K2526" t="str">
        <f t="shared" si="351"/>
        <v>5039.1</v>
      </c>
      <c r="N2526" t="str">
        <f t="shared" si="352"/>
        <v>HOLDING REGISTER</v>
      </c>
      <c r="O2526" t="str">
        <f t="shared" si="353"/>
        <v>BOOL</v>
      </c>
      <c r="P2526" t="str">
        <f t="shared" si="354"/>
        <v>CAVO TERMOSENSIBILE LDM MARCIA SUD</v>
      </c>
      <c r="R2526" t="str">
        <f t="shared" si="355"/>
        <v>Fault Centralina</v>
      </c>
      <c r="U2526" t="str">
        <f t="shared" si="356"/>
        <v>Allarme</v>
      </c>
      <c r="V2526" t="str">
        <f t="shared" si="357"/>
        <v>DIREZIONE SUD</v>
      </c>
      <c r="W2526" t="str">
        <f t="shared" si="358"/>
        <v>GALLERIA CASOLA</v>
      </c>
      <c r="Z2526" t="str">
        <f t="shared" si="359"/>
        <v>10.220.80.16</v>
      </c>
    </row>
    <row r="2527" spans="1:26" x14ac:dyDescent="0.25">
      <c r="A2527" t="s">
        <v>10</v>
      </c>
      <c r="B2527" t="s">
        <v>1206</v>
      </c>
      <c r="C2527" t="s">
        <v>1618</v>
      </c>
      <c r="D2527" t="s">
        <v>2160</v>
      </c>
      <c r="E2527" t="s">
        <v>2161</v>
      </c>
      <c r="F2527" t="s">
        <v>14</v>
      </c>
      <c r="G2527" t="s">
        <v>28</v>
      </c>
      <c r="H2527" t="s">
        <v>22</v>
      </c>
      <c r="I2527" t="s">
        <v>3392</v>
      </c>
      <c r="J2527" t="s">
        <v>2167</v>
      </c>
      <c r="K2527" t="str">
        <f t="shared" si="351"/>
        <v>5039.2</v>
      </c>
      <c r="N2527" t="str">
        <f t="shared" si="352"/>
        <v>HOLDING REGISTER</v>
      </c>
      <c r="O2527" t="str">
        <f t="shared" si="353"/>
        <v>BOOL</v>
      </c>
      <c r="P2527" t="str">
        <f t="shared" si="354"/>
        <v>CAVO TERMOSENSIBILE LDM MARCIA SUD</v>
      </c>
      <c r="R2527" t="str">
        <f t="shared" si="355"/>
        <v>Guasto Misura</v>
      </c>
      <c r="U2527" t="str">
        <f t="shared" si="356"/>
        <v>Allarme</v>
      </c>
      <c r="V2527" t="str">
        <f t="shared" si="357"/>
        <v>DIREZIONE SUD</v>
      </c>
      <c r="W2527" t="str">
        <f t="shared" si="358"/>
        <v>GALLERIA CASOLA</v>
      </c>
      <c r="Z2527" t="str">
        <f t="shared" si="359"/>
        <v>10.220.80.16</v>
      </c>
    </row>
    <row r="2528" spans="1:26" x14ac:dyDescent="0.25">
      <c r="A2528" t="s">
        <v>10</v>
      </c>
      <c r="B2528" t="s">
        <v>1206</v>
      </c>
      <c r="C2528" t="s">
        <v>1761</v>
      </c>
      <c r="D2528" t="s">
        <v>2160</v>
      </c>
      <c r="E2528" t="s">
        <v>2168</v>
      </c>
      <c r="F2528" t="s">
        <v>14</v>
      </c>
      <c r="G2528" t="s">
        <v>28</v>
      </c>
      <c r="H2528" t="s">
        <v>22</v>
      </c>
      <c r="I2528" t="s">
        <v>3393</v>
      </c>
      <c r="J2528" t="s">
        <v>2163</v>
      </c>
      <c r="K2528" t="str">
        <f t="shared" si="351"/>
        <v>5039.3</v>
      </c>
      <c r="N2528" t="str">
        <f t="shared" si="352"/>
        <v>HOLDING REGISTER</v>
      </c>
      <c r="O2528" t="str">
        <f t="shared" si="353"/>
        <v>BOOL</v>
      </c>
      <c r="P2528" t="str">
        <f t="shared" si="354"/>
        <v>CAVO TERMOSENSIBILE LDM MARCIA NORD</v>
      </c>
      <c r="R2528" t="str">
        <f t="shared" si="355"/>
        <v>Allarme Incendio</v>
      </c>
      <c r="U2528" t="str">
        <f t="shared" si="356"/>
        <v>Allarme</v>
      </c>
      <c r="V2528" t="str">
        <f t="shared" si="357"/>
        <v>DIREZIONE NORD</v>
      </c>
      <c r="W2528" t="str">
        <f t="shared" si="358"/>
        <v>GALLERIA CASOLA</v>
      </c>
      <c r="Z2528" t="str">
        <f t="shared" si="359"/>
        <v>10.220.80.16</v>
      </c>
    </row>
    <row r="2529" spans="1:26" x14ac:dyDescent="0.25">
      <c r="A2529" t="s">
        <v>10</v>
      </c>
      <c r="B2529" t="s">
        <v>1206</v>
      </c>
      <c r="C2529" t="s">
        <v>1761</v>
      </c>
      <c r="D2529" t="s">
        <v>2160</v>
      </c>
      <c r="E2529" t="s">
        <v>2168</v>
      </c>
      <c r="F2529" t="s">
        <v>14</v>
      </c>
      <c r="G2529" t="s">
        <v>28</v>
      </c>
      <c r="H2529" t="s">
        <v>22</v>
      </c>
      <c r="I2529" t="s">
        <v>3394</v>
      </c>
      <c r="J2529" t="s">
        <v>2165</v>
      </c>
      <c r="K2529" t="str">
        <f t="shared" si="351"/>
        <v>5039.4</v>
      </c>
      <c r="N2529" t="str">
        <f t="shared" si="352"/>
        <v>HOLDING REGISTER</v>
      </c>
      <c r="O2529" t="str">
        <f t="shared" si="353"/>
        <v>BOOL</v>
      </c>
      <c r="P2529" t="str">
        <f t="shared" si="354"/>
        <v>CAVO TERMOSENSIBILE LDM MARCIA NORD</v>
      </c>
      <c r="R2529" t="str">
        <f t="shared" si="355"/>
        <v>Fault Centralina</v>
      </c>
      <c r="U2529" t="str">
        <f t="shared" si="356"/>
        <v>Allarme</v>
      </c>
      <c r="V2529" t="str">
        <f t="shared" si="357"/>
        <v>DIREZIONE NORD</v>
      </c>
      <c r="W2529" t="str">
        <f t="shared" si="358"/>
        <v>GALLERIA CASOLA</v>
      </c>
      <c r="Z2529" t="str">
        <f t="shared" si="359"/>
        <v>10.220.80.16</v>
      </c>
    </row>
    <row r="2530" spans="1:26" x14ac:dyDescent="0.25">
      <c r="A2530" t="s">
        <v>10</v>
      </c>
      <c r="B2530" t="s">
        <v>1206</v>
      </c>
      <c r="C2530" t="s">
        <v>1761</v>
      </c>
      <c r="D2530" t="s">
        <v>2160</v>
      </c>
      <c r="E2530" t="s">
        <v>2168</v>
      </c>
      <c r="F2530" t="s">
        <v>14</v>
      </c>
      <c r="G2530" t="s">
        <v>28</v>
      </c>
      <c r="H2530" t="s">
        <v>22</v>
      </c>
      <c r="I2530" t="s">
        <v>3395</v>
      </c>
      <c r="J2530" t="s">
        <v>2167</v>
      </c>
      <c r="K2530" t="str">
        <f t="shared" si="351"/>
        <v>5039.5</v>
      </c>
      <c r="N2530" t="str">
        <f t="shared" si="352"/>
        <v>HOLDING REGISTER</v>
      </c>
      <c r="O2530" t="str">
        <f t="shared" si="353"/>
        <v>BOOL</v>
      </c>
      <c r="P2530" t="str">
        <f t="shared" si="354"/>
        <v>CAVO TERMOSENSIBILE LDM MARCIA NORD</v>
      </c>
      <c r="R2530" t="str">
        <f t="shared" si="355"/>
        <v>Guasto Misura</v>
      </c>
      <c r="U2530" t="str">
        <f t="shared" si="356"/>
        <v>Allarme</v>
      </c>
      <c r="V2530" t="str">
        <f t="shared" si="357"/>
        <v>DIREZIONE NORD</v>
      </c>
      <c r="W2530" t="str">
        <f t="shared" si="358"/>
        <v>GALLERIA CASOLA</v>
      </c>
      <c r="Z2530" t="str">
        <f t="shared" si="359"/>
        <v>10.220.80.16</v>
      </c>
    </row>
    <row r="2531" spans="1:26" x14ac:dyDescent="0.25">
      <c r="A2531" t="s">
        <v>10</v>
      </c>
      <c r="B2531" t="s">
        <v>1206</v>
      </c>
      <c r="C2531" t="s">
        <v>1618</v>
      </c>
      <c r="D2531" t="s">
        <v>2160</v>
      </c>
      <c r="E2531" t="s">
        <v>2161</v>
      </c>
      <c r="F2531" t="s">
        <v>14</v>
      </c>
      <c r="G2531" t="s">
        <v>15</v>
      </c>
      <c r="H2531" t="s">
        <v>1295</v>
      </c>
      <c r="I2531">
        <v>5040</v>
      </c>
      <c r="J2531" t="s">
        <v>2172</v>
      </c>
      <c r="K2531">
        <f t="shared" si="351"/>
        <v>5040</v>
      </c>
      <c r="N2531" t="str">
        <f t="shared" si="352"/>
        <v>HOLDING REGISTER</v>
      </c>
      <c r="O2531" t="str">
        <f t="shared" si="353"/>
        <v>REAL</v>
      </c>
      <c r="P2531" t="str">
        <f t="shared" si="354"/>
        <v>CAVO TERMOSENSIBILE LDM MARCIA SUD</v>
      </c>
      <c r="R2531" t="str">
        <f t="shared" si="355"/>
        <v>Misura Metrica Incendio</v>
      </c>
      <c r="U2531" t="str">
        <f t="shared" si="356"/>
        <v>Misura</v>
      </c>
      <c r="V2531" t="str">
        <f t="shared" si="357"/>
        <v>DIREZIONE SUD</v>
      </c>
      <c r="W2531" t="str">
        <f t="shared" si="358"/>
        <v>GALLERIA CASOLA</v>
      </c>
      <c r="Z2531" t="str">
        <f t="shared" si="359"/>
        <v>10.220.80.16</v>
      </c>
    </row>
    <row r="2532" spans="1:26" x14ac:dyDescent="0.25">
      <c r="A2532" t="s">
        <v>10</v>
      </c>
      <c r="B2532" t="s">
        <v>1206</v>
      </c>
      <c r="C2532" t="s">
        <v>1761</v>
      </c>
      <c r="D2532" t="s">
        <v>2160</v>
      </c>
      <c r="E2532" t="s">
        <v>2168</v>
      </c>
      <c r="F2532" t="s">
        <v>14</v>
      </c>
      <c r="G2532" t="s">
        <v>15</v>
      </c>
      <c r="H2532" t="s">
        <v>1295</v>
      </c>
      <c r="I2532">
        <v>5042</v>
      </c>
      <c r="J2532" t="s">
        <v>2172</v>
      </c>
      <c r="K2532">
        <f t="shared" si="351"/>
        <v>5042</v>
      </c>
      <c r="N2532" t="str">
        <f t="shared" si="352"/>
        <v>HOLDING REGISTER</v>
      </c>
      <c r="O2532" t="str">
        <f t="shared" si="353"/>
        <v>REAL</v>
      </c>
      <c r="P2532" t="str">
        <f t="shared" si="354"/>
        <v>CAVO TERMOSENSIBILE LDM MARCIA NORD</v>
      </c>
      <c r="R2532" t="str">
        <f t="shared" si="355"/>
        <v>Misura Metrica Incendio</v>
      </c>
      <c r="U2532" t="str">
        <f t="shared" si="356"/>
        <v>Misura</v>
      </c>
      <c r="V2532" t="str">
        <f t="shared" si="357"/>
        <v>DIREZIONE NORD</v>
      </c>
      <c r="W2532" t="str">
        <f t="shared" si="358"/>
        <v>GALLERIA CASOLA</v>
      </c>
      <c r="Z2532" t="str">
        <f t="shared" si="359"/>
        <v>10.220.80.16</v>
      </c>
    </row>
    <row r="2533" spans="1:26" x14ac:dyDescent="0.25">
      <c r="A2533" t="s">
        <v>10</v>
      </c>
      <c r="B2533" t="s">
        <v>1206</v>
      </c>
      <c r="C2533" t="s">
        <v>2173</v>
      </c>
      <c r="D2533" t="s">
        <v>2174</v>
      </c>
      <c r="E2533" t="s">
        <v>2175</v>
      </c>
      <c r="F2533" t="s">
        <v>14</v>
      </c>
      <c r="G2533" t="s">
        <v>28</v>
      </c>
      <c r="H2533" t="s">
        <v>22</v>
      </c>
      <c r="I2533" t="s">
        <v>3396</v>
      </c>
      <c r="J2533" t="s">
        <v>2177</v>
      </c>
      <c r="K2533" t="str">
        <f t="shared" si="351"/>
        <v>5053.0</v>
      </c>
      <c r="N2533" t="str">
        <f t="shared" si="352"/>
        <v>HOLDING REGISTER</v>
      </c>
      <c r="O2533" t="str">
        <f t="shared" si="353"/>
        <v>BOOL</v>
      </c>
      <c r="P2533" t="str">
        <f t="shared" si="354"/>
        <v>JETFAN V1DX</v>
      </c>
      <c r="R2533" t="str">
        <f t="shared" si="355"/>
        <v>Intervento Protezione Motore</v>
      </c>
      <c r="U2533" t="str">
        <f t="shared" si="356"/>
        <v>Allarme</v>
      </c>
      <c r="V2533" t="str">
        <f t="shared" si="357"/>
        <v>GALLERIA</v>
      </c>
      <c r="W2533" t="str">
        <f t="shared" si="358"/>
        <v>GALLERIA CASOLA</v>
      </c>
      <c r="Z2533" t="str">
        <f t="shared" si="359"/>
        <v>10.220.80.16</v>
      </c>
    </row>
    <row r="2534" spans="1:26" x14ac:dyDescent="0.25">
      <c r="A2534" t="s">
        <v>10</v>
      </c>
      <c r="B2534" t="s">
        <v>1206</v>
      </c>
      <c r="C2534" t="s">
        <v>2173</v>
      </c>
      <c r="D2534" t="s">
        <v>2174</v>
      </c>
      <c r="E2534" t="s">
        <v>2175</v>
      </c>
      <c r="F2534" t="s">
        <v>14</v>
      </c>
      <c r="G2534" t="s">
        <v>28</v>
      </c>
      <c r="H2534" t="s">
        <v>22</v>
      </c>
      <c r="I2534" t="s">
        <v>3397</v>
      </c>
      <c r="J2534" t="s">
        <v>2179</v>
      </c>
      <c r="K2534" t="str">
        <f t="shared" si="351"/>
        <v>5053.1</v>
      </c>
      <c r="N2534" t="str">
        <f t="shared" si="352"/>
        <v>HOLDING REGISTER</v>
      </c>
      <c r="O2534" t="str">
        <f t="shared" si="353"/>
        <v>BOOL</v>
      </c>
      <c r="P2534" t="str">
        <f t="shared" si="354"/>
        <v>JETFAN V1DX</v>
      </c>
      <c r="R2534" t="str">
        <f t="shared" si="355"/>
        <v>Allarme Alimentazione</v>
      </c>
      <c r="U2534" t="str">
        <f t="shared" si="356"/>
        <v>Allarme</v>
      </c>
      <c r="V2534" t="str">
        <f t="shared" si="357"/>
        <v>GALLERIA</v>
      </c>
      <c r="W2534" t="str">
        <f t="shared" si="358"/>
        <v>GALLERIA CASOLA</v>
      </c>
      <c r="Z2534" t="str">
        <f t="shared" si="359"/>
        <v>10.220.80.16</v>
      </c>
    </row>
    <row r="2535" spans="1:26" x14ac:dyDescent="0.25">
      <c r="A2535" t="s">
        <v>10</v>
      </c>
      <c r="B2535" t="s">
        <v>1206</v>
      </c>
      <c r="C2535" t="s">
        <v>2173</v>
      </c>
      <c r="D2535" t="s">
        <v>2174</v>
      </c>
      <c r="E2535" t="s">
        <v>2175</v>
      </c>
      <c r="F2535" t="s">
        <v>14</v>
      </c>
      <c r="G2535" t="s">
        <v>28</v>
      </c>
      <c r="H2535" t="s">
        <v>22</v>
      </c>
      <c r="I2535" t="s">
        <v>3398</v>
      </c>
      <c r="J2535" t="s">
        <v>2181</v>
      </c>
      <c r="K2535" t="str">
        <f t="shared" si="351"/>
        <v>5053.2</v>
      </c>
      <c r="N2535" t="str">
        <f t="shared" si="352"/>
        <v>HOLDING REGISTER</v>
      </c>
      <c r="O2535" t="str">
        <f t="shared" si="353"/>
        <v>BOOL</v>
      </c>
      <c r="P2535" t="str">
        <f t="shared" si="354"/>
        <v>JETFAN V1DX</v>
      </c>
      <c r="R2535" t="str">
        <f t="shared" si="355"/>
        <v>Time Out Avviam. Dir. Nord</v>
      </c>
      <c r="U2535" t="str">
        <f t="shared" si="356"/>
        <v>Allarme</v>
      </c>
      <c r="V2535" t="str">
        <f t="shared" si="357"/>
        <v>GALLERIA</v>
      </c>
      <c r="W2535" t="str">
        <f t="shared" si="358"/>
        <v>GALLERIA CASOLA</v>
      </c>
      <c r="Z2535" t="str">
        <f t="shared" si="359"/>
        <v>10.220.80.16</v>
      </c>
    </row>
    <row r="2536" spans="1:26" x14ac:dyDescent="0.25">
      <c r="A2536" t="s">
        <v>10</v>
      </c>
      <c r="B2536" t="s">
        <v>1206</v>
      </c>
      <c r="C2536" t="s">
        <v>2173</v>
      </c>
      <c r="D2536" t="s">
        <v>2174</v>
      </c>
      <c r="E2536" t="s">
        <v>2175</v>
      </c>
      <c r="F2536" t="s">
        <v>14</v>
      </c>
      <c r="G2536" t="s">
        <v>28</v>
      </c>
      <c r="H2536" t="s">
        <v>22</v>
      </c>
      <c r="I2536" t="s">
        <v>3399</v>
      </c>
      <c r="J2536" t="s">
        <v>2183</v>
      </c>
      <c r="K2536" t="str">
        <f t="shared" si="351"/>
        <v>5053.3</v>
      </c>
      <c r="N2536" t="str">
        <f t="shared" si="352"/>
        <v>HOLDING REGISTER</v>
      </c>
      <c r="O2536" t="str">
        <f t="shared" si="353"/>
        <v>BOOL</v>
      </c>
      <c r="P2536" t="str">
        <f t="shared" si="354"/>
        <v>JETFAN V1DX</v>
      </c>
      <c r="R2536" t="str">
        <f t="shared" si="355"/>
        <v>Time Out Avviam. Dir. Sud</v>
      </c>
      <c r="U2536" t="str">
        <f t="shared" si="356"/>
        <v>Allarme</v>
      </c>
      <c r="V2536" t="str">
        <f t="shared" si="357"/>
        <v>GALLERIA</v>
      </c>
      <c r="W2536" t="str">
        <f t="shared" si="358"/>
        <v>GALLERIA CASOLA</v>
      </c>
      <c r="Z2536" t="str">
        <f t="shared" si="359"/>
        <v>10.220.80.16</v>
      </c>
    </row>
    <row r="2537" spans="1:26" x14ac:dyDescent="0.25">
      <c r="A2537" t="s">
        <v>10</v>
      </c>
      <c r="B2537" t="s">
        <v>1206</v>
      </c>
      <c r="C2537" t="s">
        <v>2173</v>
      </c>
      <c r="D2537" t="s">
        <v>2174</v>
      </c>
      <c r="E2537" t="s">
        <v>2175</v>
      </c>
      <c r="F2537" t="s">
        <v>14</v>
      </c>
      <c r="G2537" t="s">
        <v>28</v>
      </c>
      <c r="H2537" t="s">
        <v>22</v>
      </c>
      <c r="I2537" t="s">
        <v>3400</v>
      </c>
      <c r="J2537" t="s">
        <v>2185</v>
      </c>
      <c r="K2537" t="str">
        <f t="shared" si="351"/>
        <v>5053.4</v>
      </c>
      <c r="N2537" t="str">
        <f t="shared" si="352"/>
        <v>HOLDING REGISTER</v>
      </c>
      <c r="O2537" t="str">
        <f t="shared" si="353"/>
        <v>BOOL</v>
      </c>
      <c r="P2537" t="str">
        <f t="shared" si="354"/>
        <v>JETFAN V1DX</v>
      </c>
      <c r="R2537" t="str">
        <f t="shared" si="355"/>
        <v>Allarme Softstart/Differensiale</v>
      </c>
      <c r="U2537" t="str">
        <f t="shared" si="356"/>
        <v>Allarme</v>
      </c>
      <c r="V2537" t="str">
        <f t="shared" si="357"/>
        <v>GALLERIA</v>
      </c>
      <c r="W2537" t="str">
        <f t="shared" si="358"/>
        <v>GALLERIA CASOLA</v>
      </c>
      <c r="Z2537" t="str">
        <f t="shared" si="359"/>
        <v>10.220.80.16</v>
      </c>
    </row>
    <row r="2538" spans="1:26" x14ac:dyDescent="0.25">
      <c r="A2538" t="s">
        <v>10</v>
      </c>
      <c r="B2538" t="s">
        <v>1206</v>
      </c>
      <c r="C2538" t="s">
        <v>2173</v>
      </c>
      <c r="D2538" t="s">
        <v>2174</v>
      </c>
      <c r="E2538" t="s">
        <v>2175</v>
      </c>
      <c r="F2538" t="s">
        <v>14</v>
      </c>
      <c r="G2538" t="s">
        <v>28</v>
      </c>
      <c r="H2538" t="s">
        <v>22</v>
      </c>
      <c r="I2538" t="s">
        <v>3401</v>
      </c>
      <c r="J2538" t="s">
        <v>2187</v>
      </c>
      <c r="K2538" t="str">
        <f t="shared" si="351"/>
        <v>5053.5</v>
      </c>
      <c r="N2538" t="str">
        <f t="shared" si="352"/>
        <v>HOLDING REGISTER</v>
      </c>
      <c r="O2538" t="str">
        <f t="shared" si="353"/>
        <v>BOOL</v>
      </c>
      <c r="P2538" t="str">
        <f t="shared" si="354"/>
        <v>JETFAN V1DX</v>
      </c>
      <c r="R2538" t="str">
        <f t="shared" si="355"/>
        <v>Preallarme Vibrazione</v>
      </c>
      <c r="U2538" t="str">
        <f t="shared" si="356"/>
        <v>Allarme</v>
      </c>
      <c r="V2538" t="str">
        <f t="shared" si="357"/>
        <v>GALLERIA</v>
      </c>
      <c r="W2538" t="str">
        <f t="shared" si="358"/>
        <v>GALLERIA CASOLA</v>
      </c>
      <c r="Z2538" t="str">
        <f t="shared" si="359"/>
        <v>10.220.80.16</v>
      </c>
    </row>
    <row r="2539" spans="1:26" x14ac:dyDescent="0.25">
      <c r="A2539" t="s">
        <v>10</v>
      </c>
      <c r="B2539" t="s">
        <v>1206</v>
      </c>
      <c r="C2539" t="s">
        <v>2173</v>
      </c>
      <c r="D2539" t="s">
        <v>2174</v>
      </c>
      <c r="E2539" t="s">
        <v>2175</v>
      </c>
      <c r="F2539" t="s">
        <v>14</v>
      </c>
      <c r="G2539" t="s">
        <v>28</v>
      </c>
      <c r="H2539" t="s">
        <v>22</v>
      </c>
      <c r="I2539" t="s">
        <v>3402</v>
      </c>
      <c r="J2539" t="s">
        <v>2189</v>
      </c>
      <c r="K2539" t="str">
        <f t="shared" si="351"/>
        <v>5053.6</v>
      </c>
      <c r="N2539" t="str">
        <f t="shared" si="352"/>
        <v>HOLDING REGISTER</v>
      </c>
      <c r="O2539" t="str">
        <f t="shared" si="353"/>
        <v>BOOL</v>
      </c>
      <c r="P2539" t="str">
        <f t="shared" si="354"/>
        <v>JETFAN V1DX</v>
      </c>
      <c r="R2539" t="str">
        <f t="shared" si="355"/>
        <v>Allarme Vibrazione</v>
      </c>
      <c r="U2539" t="str">
        <f t="shared" si="356"/>
        <v>Allarme</v>
      </c>
      <c r="V2539" t="str">
        <f t="shared" si="357"/>
        <v>GALLERIA</v>
      </c>
      <c r="W2539" t="str">
        <f t="shared" si="358"/>
        <v>GALLERIA CASOLA</v>
      </c>
      <c r="Z2539" t="str">
        <f t="shared" si="359"/>
        <v>10.220.80.16</v>
      </c>
    </row>
    <row r="2540" spans="1:26" x14ac:dyDescent="0.25">
      <c r="A2540" t="s">
        <v>10</v>
      </c>
      <c r="B2540" t="s">
        <v>1206</v>
      </c>
      <c r="C2540" t="s">
        <v>2173</v>
      </c>
      <c r="D2540" t="s">
        <v>2174</v>
      </c>
      <c r="E2540" t="s">
        <v>2175</v>
      </c>
      <c r="F2540" t="s">
        <v>14</v>
      </c>
      <c r="G2540" t="s">
        <v>28</v>
      </c>
      <c r="H2540" t="s">
        <v>22</v>
      </c>
      <c r="I2540" t="s">
        <v>3403</v>
      </c>
      <c r="J2540" t="s">
        <v>2191</v>
      </c>
      <c r="K2540" t="str">
        <f t="shared" si="351"/>
        <v>5053.7</v>
      </c>
      <c r="N2540" t="str">
        <f t="shared" si="352"/>
        <v>HOLDING REGISTER</v>
      </c>
      <c r="O2540" t="str">
        <f t="shared" si="353"/>
        <v>BOOL</v>
      </c>
      <c r="P2540" t="str">
        <f t="shared" si="354"/>
        <v>JETFAN V1DX</v>
      </c>
      <c r="R2540" t="str">
        <f t="shared" si="355"/>
        <v>Sensore Vibrazioni Scollegato</v>
      </c>
      <c r="U2540" t="str">
        <f t="shared" si="356"/>
        <v>Allarme</v>
      </c>
      <c r="V2540" t="str">
        <f t="shared" si="357"/>
        <v>GALLERIA</v>
      </c>
      <c r="W2540" t="str">
        <f t="shared" si="358"/>
        <v>GALLERIA CASOLA</v>
      </c>
      <c r="Z2540" t="str">
        <f t="shared" si="359"/>
        <v>10.220.80.16</v>
      </c>
    </row>
    <row r="2541" spans="1:26" x14ac:dyDescent="0.25">
      <c r="A2541" t="s">
        <v>10</v>
      </c>
      <c r="B2541" t="s">
        <v>1206</v>
      </c>
      <c r="C2541" t="s">
        <v>2173</v>
      </c>
      <c r="D2541" t="s">
        <v>2174</v>
      </c>
      <c r="E2541" t="s">
        <v>2175</v>
      </c>
      <c r="F2541" t="s">
        <v>14</v>
      </c>
      <c r="G2541" t="s">
        <v>28</v>
      </c>
      <c r="H2541" t="s">
        <v>22</v>
      </c>
      <c r="I2541" t="s">
        <v>3404</v>
      </c>
      <c r="J2541" t="s">
        <v>2193</v>
      </c>
      <c r="K2541" t="str">
        <f t="shared" si="351"/>
        <v>5053.8</v>
      </c>
      <c r="N2541" t="str">
        <f t="shared" si="352"/>
        <v>HOLDING REGISTER</v>
      </c>
      <c r="O2541" t="str">
        <f t="shared" si="353"/>
        <v>BOOL</v>
      </c>
      <c r="P2541" t="str">
        <f t="shared" si="354"/>
        <v>JETFAN V1DX</v>
      </c>
      <c r="R2541" t="str">
        <f t="shared" si="355"/>
        <v>Allarme Orizzontalita'</v>
      </c>
      <c r="U2541" t="str">
        <f t="shared" si="356"/>
        <v>Allarme</v>
      </c>
      <c r="V2541" t="str">
        <f t="shared" si="357"/>
        <v>GALLERIA</v>
      </c>
      <c r="W2541" t="str">
        <f t="shared" si="358"/>
        <v>GALLERIA CASOLA</v>
      </c>
      <c r="Z2541" t="str">
        <f t="shared" si="359"/>
        <v>10.220.80.16</v>
      </c>
    </row>
    <row r="2542" spans="1:26" x14ac:dyDescent="0.25">
      <c r="A2542" t="s">
        <v>10</v>
      </c>
      <c r="B2542" t="s">
        <v>1206</v>
      </c>
      <c r="C2542" t="s">
        <v>2173</v>
      </c>
      <c r="D2542" t="s">
        <v>2174</v>
      </c>
      <c r="E2542" t="s">
        <v>2175</v>
      </c>
      <c r="F2542" t="s">
        <v>14</v>
      </c>
      <c r="G2542" t="s">
        <v>21</v>
      </c>
      <c r="H2542" t="s">
        <v>22</v>
      </c>
      <c r="I2542" t="s">
        <v>3405</v>
      </c>
      <c r="J2542" t="s">
        <v>2195</v>
      </c>
      <c r="K2542" t="str">
        <f t="shared" si="351"/>
        <v>5053.9</v>
      </c>
      <c r="N2542" t="str">
        <f t="shared" si="352"/>
        <v>HOLDING REGISTER</v>
      </c>
      <c r="O2542" t="str">
        <f t="shared" si="353"/>
        <v>BOOL</v>
      </c>
      <c r="P2542" t="str">
        <f t="shared" si="354"/>
        <v>JETFAN V1DX</v>
      </c>
      <c r="R2542" t="str">
        <f t="shared" si="355"/>
        <v>In Avviamento</v>
      </c>
      <c r="U2542" t="str">
        <f t="shared" si="356"/>
        <v>Stato</v>
      </c>
      <c r="V2542" t="str">
        <f t="shared" si="357"/>
        <v>GALLERIA</v>
      </c>
      <c r="W2542" t="str">
        <f t="shared" si="358"/>
        <v>GALLERIA CASOLA</v>
      </c>
      <c r="Z2542" t="str">
        <f t="shared" si="359"/>
        <v>10.220.80.16</v>
      </c>
    </row>
    <row r="2543" spans="1:26" x14ac:dyDescent="0.25">
      <c r="A2543" t="s">
        <v>10</v>
      </c>
      <c r="B2543" t="s">
        <v>1206</v>
      </c>
      <c r="C2543" t="s">
        <v>2173</v>
      </c>
      <c r="D2543" t="s">
        <v>2174</v>
      </c>
      <c r="E2543" t="s">
        <v>2175</v>
      </c>
      <c r="F2543" t="s">
        <v>14</v>
      </c>
      <c r="G2543" t="s">
        <v>21</v>
      </c>
      <c r="H2543" t="s">
        <v>22</v>
      </c>
      <c r="I2543" t="s">
        <v>3406</v>
      </c>
      <c r="J2543" t="s">
        <v>2197</v>
      </c>
      <c r="K2543" t="str">
        <f t="shared" si="351"/>
        <v>5053.10</v>
      </c>
      <c r="N2543" t="str">
        <f t="shared" si="352"/>
        <v>HOLDING REGISTER</v>
      </c>
      <c r="O2543" t="str">
        <f t="shared" si="353"/>
        <v>BOOL</v>
      </c>
      <c r="P2543" t="str">
        <f t="shared" si="354"/>
        <v>JETFAN V1DX</v>
      </c>
      <c r="R2543" t="str">
        <f t="shared" si="355"/>
        <v>In Marcia</v>
      </c>
      <c r="U2543" t="str">
        <f t="shared" si="356"/>
        <v>Stato</v>
      </c>
      <c r="V2543" t="str">
        <f t="shared" si="357"/>
        <v>GALLERIA</v>
      </c>
      <c r="W2543" t="str">
        <f t="shared" si="358"/>
        <v>GALLERIA CASOLA</v>
      </c>
      <c r="Z2543" t="str">
        <f t="shared" si="359"/>
        <v>10.220.80.16</v>
      </c>
    </row>
    <row r="2544" spans="1:26" x14ac:dyDescent="0.25">
      <c r="A2544" t="s">
        <v>10</v>
      </c>
      <c r="B2544" t="s">
        <v>1206</v>
      </c>
      <c r="C2544" t="s">
        <v>2173</v>
      </c>
      <c r="D2544" t="s">
        <v>2174</v>
      </c>
      <c r="E2544" t="s">
        <v>2175</v>
      </c>
      <c r="F2544" t="s">
        <v>14</v>
      </c>
      <c r="G2544" t="s">
        <v>21</v>
      </c>
      <c r="H2544" t="s">
        <v>22</v>
      </c>
      <c r="I2544" t="s">
        <v>3407</v>
      </c>
      <c r="J2544" t="s">
        <v>2199</v>
      </c>
      <c r="K2544" t="str">
        <f t="shared" si="351"/>
        <v>5053.11</v>
      </c>
      <c r="N2544" t="str">
        <f t="shared" si="352"/>
        <v>HOLDING REGISTER</v>
      </c>
      <c r="O2544" t="str">
        <f t="shared" si="353"/>
        <v>BOOL</v>
      </c>
      <c r="P2544" t="str">
        <f t="shared" si="354"/>
        <v>JETFAN V1DX</v>
      </c>
      <c r="R2544" t="str">
        <f t="shared" si="355"/>
        <v>In Arresto</v>
      </c>
      <c r="U2544" t="str">
        <f t="shared" si="356"/>
        <v>Stato</v>
      </c>
      <c r="V2544" t="str">
        <f t="shared" si="357"/>
        <v>GALLERIA</v>
      </c>
      <c r="W2544" t="str">
        <f t="shared" si="358"/>
        <v>GALLERIA CASOLA</v>
      </c>
      <c r="Z2544" t="str">
        <f t="shared" si="359"/>
        <v>10.220.80.16</v>
      </c>
    </row>
    <row r="2545" spans="1:26" x14ac:dyDescent="0.25">
      <c r="A2545" t="s">
        <v>10</v>
      </c>
      <c r="B2545" t="s">
        <v>1206</v>
      </c>
      <c r="C2545" t="s">
        <v>2173</v>
      </c>
      <c r="D2545" t="s">
        <v>2174</v>
      </c>
      <c r="E2545" t="s">
        <v>2175</v>
      </c>
      <c r="F2545" t="s">
        <v>14</v>
      </c>
      <c r="G2545" t="s">
        <v>21</v>
      </c>
      <c r="H2545" t="s">
        <v>22</v>
      </c>
      <c r="I2545" t="s">
        <v>3408</v>
      </c>
      <c r="J2545" t="s">
        <v>2201</v>
      </c>
      <c r="K2545" t="str">
        <f t="shared" si="351"/>
        <v>5053.12</v>
      </c>
      <c r="N2545" t="str">
        <f t="shared" si="352"/>
        <v>HOLDING REGISTER</v>
      </c>
      <c r="O2545" t="str">
        <f t="shared" si="353"/>
        <v>BOOL</v>
      </c>
      <c r="P2545" t="str">
        <f t="shared" si="354"/>
        <v>JETFAN V1DX</v>
      </c>
      <c r="R2545" t="str">
        <f t="shared" si="355"/>
        <v>Incluso Da Scada</v>
      </c>
      <c r="U2545" t="str">
        <f t="shared" si="356"/>
        <v>Stato</v>
      </c>
      <c r="V2545" t="str">
        <f t="shared" si="357"/>
        <v>GALLERIA</v>
      </c>
      <c r="W2545" t="str">
        <f t="shared" si="358"/>
        <v>GALLERIA CASOLA</v>
      </c>
      <c r="Z2545" t="str">
        <f t="shared" si="359"/>
        <v>10.220.80.16</v>
      </c>
    </row>
    <row r="2546" spans="1:26" x14ac:dyDescent="0.25">
      <c r="A2546" t="s">
        <v>10</v>
      </c>
      <c r="B2546" t="s">
        <v>1206</v>
      </c>
      <c r="C2546" t="s">
        <v>2173</v>
      </c>
      <c r="D2546" t="s">
        <v>2174</v>
      </c>
      <c r="E2546" t="s">
        <v>2175</v>
      </c>
      <c r="F2546" t="s">
        <v>14</v>
      </c>
      <c r="G2546" t="s">
        <v>21</v>
      </c>
      <c r="H2546" t="s">
        <v>22</v>
      </c>
      <c r="I2546" t="s">
        <v>3409</v>
      </c>
      <c r="J2546" t="s">
        <v>2203</v>
      </c>
      <c r="K2546" t="str">
        <f t="shared" si="351"/>
        <v>5053.13</v>
      </c>
      <c r="N2546" t="str">
        <f t="shared" si="352"/>
        <v>HOLDING REGISTER</v>
      </c>
      <c r="O2546" t="str">
        <f t="shared" si="353"/>
        <v>BOOL</v>
      </c>
      <c r="P2546" t="str">
        <f t="shared" si="354"/>
        <v>JETFAN V1DX</v>
      </c>
      <c r="R2546" t="str">
        <f t="shared" si="355"/>
        <v>In Manuale Da Scada</v>
      </c>
      <c r="U2546" t="str">
        <f t="shared" si="356"/>
        <v>Stato</v>
      </c>
      <c r="V2546" t="str">
        <f t="shared" si="357"/>
        <v>GALLERIA</v>
      </c>
      <c r="W2546" t="str">
        <f t="shared" si="358"/>
        <v>GALLERIA CASOLA</v>
      </c>
      <c r="Z2546" t="str">
        <f t="shared" si="359"/>
        <v>10.220.80.16</v>
      </c>
    </row>
    <row r="2547" spans="1:26" x14ac:dyDescent="0.25">
      <c r="A2547" t="s">
        <v>10</v>
      </c>
      <c r="B2547" t="s">
        <v>1206</v>
      </c>
      <c r="C2547" t="s">
        <v>2173</v>
      </c>
      <c r="D2547" t="s">
        <v>2174</v>
      </c>
      <c r="E2547" t="s">
        <v>2204</v>
      </c>
      <c r="F2547" t="s">
        <v>14</v>
      </c>
      <c r="G2547" t="s">
        <v>28</v>
      </c>
      <c r="H2547" t="s">
        <v>22</v>
      </c>
      <c r="I2547" t="s">
        <v>3410</v>
      </c>
      <c r="J2547" t="s">
        <v>2177</v>
      </c>
      <c r="K2547" t="str">
        <f t="shared" si="351"/>
        <v>5053.14</v>
      </c>
      <c r="N2547" t="str">
        <f t="shared" si="352"/>
        <v>HOLDING REGISTER</v>
      </c>
      <c r="O2547" t="str">
        <f t="shared" si="353"/>
        <v>BOOL</v>
      </c>
      <c r="P2547" t="str">
        <f t="shared" si="354"/>
        <v>JETFAN V1SX</v>
      </c>
      <c r="R2547" t="str">
        <f t="shared" si="355"/>
        <v>Intervento Protezione Motore</v>
      </c>
      <c r="U2547" t="str">
        <f t="shared" si="356"/>
        <v>Allarme</v>
      </c>
      <c r="V2547" t="str">
        <f t="shared" si="357"/>
        <v>GALLERIA</v>
      </c>
      <c r="W2547" t="str">
        <f t="shared" si="358"/>
        <v>GALLERIA CASOLA</v>
      </c>
      <c r="Z2547" t="str">
        <f t="shared" si="359"/>
        <v>10.220.80.16</v>
      </c>
    </row>
    <row r="2548" spans="1:26" x14ac:dyDescent="0.25">
      <c r="A2548" t="s">
        <v>10</v>
      </c>
      <c r="B2548" t="s">
        <v>1206</v>
      </c>
      <c r="C2548" t="s">
        <v>2173</v>
      </c>
      <c r="D2548" t="s">
        <v>2174</v>
      </c>
      <c r="E2548" t="s">
        <v>2204</v>
      </c>
      <c r="F2548" t="s">
        <v>14</v>
      </c>
      <c r="G2548" t="s">
        <v>28</v>
      </c>
      <c r="H2548" t="s">
        <v>22</v>
      </c>
      <c r="I2548" t="s">
        <v>3411</v>
      </c>
      <c r="J2548" t="s">
        <v>2179</v>
      </c>
      <c r="K2548" t="str">
        <f t="shared" si="351"/>
        <v>5053.15</v>
      </c>
      <c r="N2548" t="str">
        <f t="shared" si="352"/>
        <v>HOLDING REGISTER</v>
      </c>
      <c r="O2548" t="str">
        <f t="shared" si="353"/>
        <v>BOOL</v>
      </c>
      <c r="P2548" t="str">
        <f t="shared" si="354"/>
        <v>JETFAN V1SX</v>
      </c>
      <c r="R2548" t="str">
        <f t="shared" si="355"/>
        <v>Allarme Alimentazione</v>
      </c>
      <c r="U2548" t="str">
        <f t="shared" si="356"/>
        <v>Allarme</v>
      </c>
      <c r="V2548" t="str">
        <f t="shared" si="357"/>
        <v>GALLERIA</v>
      </c>
      <c r="W2548" t="str">
        <f t="shared" si="358"/>
        <v>GALLERIA CASOLA</v>
      </c>
      <c r="Z2548" t="str">
        <f t="shared" si="359"/>
        <v>10.220.80.16</v>
      </c>
    </row>
    <row r="2549" spans="1:26" x14ac:dyDescent="0.25">
      <c r="A2549" t="s">
        <v>10</v>
      </c>
      <c r="B2549" t="s">
        <v>1206</v>
      </c>
      <c r="C2549" t="s">
        <v>2173</v>
      </c>
      <c r="D2549" t="s">
        <v>2174</v>
      </c>
      <c r="E2549" t="s">
        <v>2204</v>
      </c>
      <c r="F2549" t="s">
        <v>14</v>
      </c>
      <c r="G2549" t="s">
        <v>28</v>
      </c>
      <c r="H2549" t="s">
        <v>22</v>
      </c>
      <c r="I2549" t="s">
        <v>3412</v>
      </c>
      <c r="J2549" t="s">
        <v>2181</v>
      </c>
      <c r="K2549" t="str">
        <f t="shared" si="351"/>
        <v>5054.0</v>
      </c>
      <c r="N2549" t="str">
        <f t="shared" si="352"/>
        <v>HOLDING REGISTER</v>
      </c>
      <c r="O2549" t="str">
        <f t="shared" si="353"/>
        <v>BOOL</v>
      </c>
      <c r="P2549" t="str">
        <f t="shared" si="354"/>
        <v>JETFAN V1SX</v>
      </c>
      <c r="R2549" t="str">
        <f t="shared" si="355"/>
        <v>Time Out Avviam. Dir. Nord</v>
      </c>
      <c r="U2549" t="str">
        <f t="shared" si="356"/>
        <v>Allarme</v>
      </c>
      <c r="V2549" t="str">
        <f t="shared" si="357"/>
        <v>GALLERIA</v>
      </c>
      <c r="W2549" t="str">
        <f t="shared" si="358"/>
        <v>GALLERIA CASOLA</v>
      </c>
      <c r="Z2549" t="str">
        <f t="shared" si="359"/>
        <v>10.220.80.16</v>
      </c>
    </row>
    <row r="2550" spans="1:26" x14ac:dyDescent="0.25">
      <c r="A2550" t="s">
        <v>10</v>
      </c>
      <c r="B2550" t="s">
        <v>1206</v>
      </c>
      <c r="C2550" t="s">
        <v>2173</v>
      </c>
      <c r="D2550" t="s">
        <v>2174</v>
      </c>
      <c r="E2550" t="s">
        <v>2204</v>
      </c>
      <c r="F2550" t="s">
        <v>14</v>
      </c>
      <c r="G2550" t="s">
        <v>28</v>
      </c>
      <c r="H2550" t="s">
        <v>22</v>
      </c>
      <c r="I2550" t="s">
        <v>3413</v>
      </c>
      <c r="J2550" t="s">
        <v>2183</v>
      </c>
      <c r="K2550" t="str">
        <f t="shared" si="351"/>
        <v>5054.1</v>
      </c>
      <c r="N2550" t="str">
        <f t="shared" si="352"/>
        <v>HOLDING REGISTER</v>
      </c>
      <c r="O2550" t="str">
        <f t="shared" si="353"/>
        <v>BOOL</v>
      </c>
      <c r="P2550" t="str">
        <f t="shared" si="354"/>
        <v>JETFAN V1SX</v>
      </c>
      <c r="R2550" t="str">
        <f t="shared" si="355"/>
        <v>Time Out Avviam. Dir. Sud</v>
      </c>
      <c r="U2550" t="str">
        <f t="shared" si="356"/>
        <v>Allarme</v>
      </c>
      <c r="V2550" t="str">
        <f t="shared" si="357"/>
        <v>GALLERIA</v>
      </c>
      <c r="W2550" t="str">
        <f t="shared" si="358"/>
        <v>GALLERIA CASOLA</v>
      </c>
      <c r="Z2550" t="str">
        <f t="shared" si="359"/>
        <v>10.220.80.16</v>
      </c>
    </row>
    <row r="2551" spans="1:26" x14ac:dyDescent="0.25">
      <c r="A2551" t="s">
        <v>10</v>
      </c>
      <c r="B2551" t="s">
        <v>1206</v>
      </c>
      <c r="C2551" t="s">
        <v>2173</v>
      </c>
      <c r="D2551" t="s">
        <v>2174</v>
      </c>
      <c r="E2551" t="s">
        <v>2204</v>
      </c>
      <c r="F2551" t="s">
        <v>14</v>
      </c>
      <c r="G2551" t="s">
        <v>28</v>
      </c>
      <c r="H2551" t="s">
        <v>22</v>
      </c>
      <c r="I2551" t="s">
        <v>3414</v>
      </c>
      <c r="J2551" t="s">
        <v>2185</v>
      </c>
      <c r="K2551" t="str">
        <f t="shared" si="351"/>
        <v>5054.2</v>
      </c>
      <c r="N2551" t="str">
        <f t="shared" si="352"/>
        <v>HOLDING REGISTER</v>
      </c>
      <c r="O2551" t="str">
        <f t="shared" si="353"/>
        <v>BOOL</v>
      </c>
      <c r="P2551" t="str">
        <f t="shared" si="354"/>
        <v>JETFAN V1SX</v>
      </c>
      <c r="R2551" t="str">
        <f t="shared" si="355"/>
        <v>Allarme Softstart/Differensiale</v>
      </c>
      <c r="U2551" t="str">
        <f t="shared" si="356"/>
        <v>Allarme</v>
      </c>
      <c r="V2551" t="str">
        <f t="shared" si="357"/>
        <v>GALLERIA</v>
      </c>
      <c r="W2551" t="str">
        <f t="shared" si="358"/>
        <v>GALLERIA CASOLA</v>
      </c>
      <c r="Z2551" t="str">
        <f t="shared" si="359"/>
        <v>10.220.80.16</v>
      </c>
    </row>
    <row r="2552" spans="1:26" x14ac:dyDescent="0.25">
      <c r="A2552" t="s">
        <v>10</v>
      </c>
      <c r="B2552" t="s">
        <v>1206</v>
      </c>
      <c r="C2552" t="s">
        <v>2173</v>
      </c>
      <c r="D2552" t="s">
        <v>2174</v>
      </c>
      <c r="E2552" t="s">
        <v>2204</v>
      </c>
      <c r="F2552" t="s">
        <v>14</v>
      </c>
      <c r="G2552" t="s">
        <v>28</v>
      </c>
      <c r="H2552" t="s">
        <v>22</v>
      </c>
      <c r="I2552" t="s">
        <v>3415</v>
      </c>
      <c r="J2552" t="s">
        <v>2187</v>
      </c>
      <c r="K2552" t="str">
        <f t="shared" si="351"/>
        <v>5054.3</v>
      </c>
      <c r="N2552" t="str">
        <f t="shared" si="352"/>
        <v>HOLDING REGISTER</v>
      </c>
      <c r="O2552" t="str">
        <f t="shared" si="353"/>
        <v>BOOL</v>
      </c>
      <c r="P2552" t="str">
        <f t="shared" si="354"/>
        <v>JETFAN V1SX</v>
      </c>
      <c r="R2552" t="str">
        <f t="shared" si="355"/>
        <v>Preallarme Vibrazione</v>
      </c>
      <c r="U2552" t="str">
        <f t="shared" si="356"/>
        <v>Allarme</v>
      </c>
      <c r="V2552" t="str">
        <f t="shared" si="357"/>
        <v>GALLERIA</v>
      </c>
      <c r="W2552" t="str">
        <f t="shared" si="358"/>
        <v>GALLERIA CASOLA</v>
      </c>
      <c r="Z2552" t="str">
        <f t="shared" si="359"/>
        <v>10.220.80.16</v>
      </c>
    </row>
    <row r="2553" spans="1:26" x14ac:dyDescent="0.25">
      <c r="A2553" t="s">
        <v>10</v>
      </c>
      <c r="B2553" t="s">
        <v>1206</v>
      </c>
      <c r="C2553" t="s">
        <v>2173</v>
      </c>
      <c r="D2553" t="s">
        <v>2174</v>
      </c>
      <c r="E2553" t="s">
        <v>2204</v>
      </c>
      <c r="F2553" t="s">
        <v>14</v>
      </c>
      <c r="G2553" t="s">
        <v>28</v>
      </c>
      <c r="H2553" t="s">
        <v>22</v>
      </c>
      <c r="I2553" t="s">
        <v>3416</v>
      </c>
      <c r="J2553" t="s">
        <v>2189</v>
      </c>
      <c r="K2553" t="str">
        <f t="shared" si="351"/>
        <v>5054.4</v>
      </c>
      <c r="N2553" t="str">
        <f t="shared" si="352"/>
        <v>HOLDING REGISTER</v>
      </c>
      <c r="O2553" t="str">
        <f t="shared" si="353"/>
        <v>BOOL</v>
      </c>
      <c r="P2553" t="str">
        <f t="shared" si="354"/>
        <v>JETFAN V1SX</v>
      </c>
      <c r="R2553" t="str">
        <f t="shared" si="355"/>
        <v>Allarme Vibrazione</v>
      </c>
      <c r="U2553" t="str">
        <f t="shared" si="356"/>
        <v>Allarme</v>
      </c>
      <c r="V2553" t="str">
        <f t="shared" si="357"/>
        <v>GALLERIA</v>
      </c>
      <c r="W2553" t="str">
        <f t="shared" si="358"/>
        <v>GALLERIA CASOLA</v>
      </c>
      <c r="Z2553" t="str">
        <f t="shared" si="359"/>
        <v>10.220.80.16</v>
      </c>
    </row>
    <row r="2554" spans="1:26" x14ac:dyDescent="0.25">
      <c r="A2554" t="s">
        <v>10</v>
      </c>
      <c r="B2554" t="s">
        <v>1206</v>
      </c>
      <c r="C2554" t="s">
        <v>2173</v>
      </c>
      <c r="D2554" t="s">
        <v>2174</v>
      </c>
      <c r="E2554" t="s">
        <v>2204</v>
      </c>
      <c r="F2554" t="s">
        <v>14</v>
      </c>
      <c r="G2554" t="s">
        <v>28</v>
      </c>
      <c r="H2554" t="s">
        <v>22</v>
      </c>
      <c r="I2554" t="s">
        <v>3417</v>
      </c>
      <c r="J2554" t="s">
        <v>2191</v>
      </c>
      <c r="K2554" t="str">
        <f t="shared" si="351"/>
        <v>5054.5</v>
      </c>
      <c r="N2554" t="str">
        <f t="shared" si="352"/>
        <v>HOLDING REGISTER</v>
      </c>
      <c r="O2554" t="str">
        <f t="shared" si="353"/>
        <v>BOOL</v>
      </c>
      <c r="P2554" t="str">
        <f t="shared" si="354"/>
        <v>JETFAN V1SX</v>
      </c>
      <c r="R2554" t="str">
        <f t="shared" si="355"/>
        <v>Sensore Vibrazioni Scollegato</v>
      </c>
      <c r="U2554" t="str">
        <f t="shared" si="356"/>
        <v>Allarme</v>
      </c>
      <c r="V2554" t="str">
        <f t="shared" si="357"/>
        <v>GALLERIA</v>
      </c>
      <c r="W2554" t="str">
        <f t="shared" si="358"/>
        <v>GALLERIA CASOLA</v>
      </c>
      <c r="Z2554" t="str">
        <f t="shared" si="359"/>
        <v>10.220.80.16</v>
      </c>
    </row>
    <row r="2555" spans="1:26" x14ac:dyDescent="0.25">
      <c r="A2555" t="s">
        <v>10</v>
      </c>
      <c r="B2555" t="s">
        <v>1206</v>
      </c>
      <c r="C2555" t="s">
        <v>2173</v>
      </c>
      <c r="D2555" t="s">
        <v>2174</v>
      </c>
      <c r="E2555" t="s">
        <v>2204</v>
      </c>
      <c r="F2555" t="s">
        <v>14</v>
      </c>
      <c r="G2555" t="s">
        <v>28</v>
      </c>
      <c r="H2555" t="s">
        <v>22</v>
      </c>
      <c r="I2555" t="s">
        <v>3418</v>
      </c>
      <c r="J2555" t="s">
        <v>2193</v>
      </c>
      <c r="K2555" t="str">
        <f t="shared" si="351"/>
        <v>5054.6</v>
      </c>
      <c r="N2555" t="str">
        <f t="shared" si="352"/>
        <v>HOLDING REGISTER</v>
      </c>
      <c r="O2555" t="str">
        <f t="shared" si="353"/>
        <v>BOOL</v>
      </c>
      <c r="P2555" t="str">
        <f t="shared" si="354"/>
        <v>JETFAN V1SX</v>
      </c>
      <c r="R2555" t="str">
        <f t="shared" si="355"/>
        <v>Allarme Orizzontalita'</v>
      </c>
      <c r="U2555" t="str">
        <f t="shared" si="356"/>
        <v>Allarme</v>
      </c>
      <c r="V2555" t="str">
        <f t="shared" si="357"/>
        <v>GALLERIA</v>
      </c>
      <c r="W2555" t="str">
        <f t="shared" si="358"/>
        <v>GALLERIA CASOLA</v>
      </c>
      <c r="Z2555" t="str">
        <f t="shared" si="359"/>
        <v>10.220.80.16</v>
      </c>
    </row>
    <row r="2556" spans="1:26" x14ac:dyDescent="0.25">
      <c r="A2556" t="s">
        <v>10</v>
      </c>
      <c r="B2556" t="s">
        <v>1206</v>
      </c>
      <c r="C2556" t="s">
        <v>2173</v>
      </c>
      <c r="D2556" t="s">
        <v>2174</v>
      </c>
      <c r="E2556" t="s">
        <v>2204</v>
      </c>
      <c r="F2556" t="s">
        <v>14</v>
      </c>
      <c r="G2556" t="s">
        <v>21</v>
      </c>
      <c r="H2556" t="s">
        <v>22</v>
      </c>
      <c r="I2556" t="s">
        <v>3419</v>
      </c>
      <c r="J2556" t="s">
        <v>2195</v>
      </c>
      <c r="K2556" t="str">
        <f t="shared" si="351"/>
        <v>5054.7</v>
      </c>
      <c r="N2556" t="str">
        <f t="shared" si="352"/>
        <v>HOLDING REGISTER</v>
      </c>
      <c r="O2556" t="str">
        <f t="shared" si="353"/>
        <v>BOOL</v>
      </c>
      <c r="P2556" t="str">
        <f t="shared" si="354"/>
        <v>JETFAN V1SX</v>
      </c>
      <c r="R2556" t="str">
        <f t="shared" si="355"/>
        <v>In Avviamento</v>
      </c>
      <c r="U2556" t="str">
        <f t="shared" si="356"/>
        <v>Stato</v>
      </c>
      <c r="V2556" t="str">
        <f t="shared" si="357"/>
        <v>GALLERIA</v>
      </c>
      <c r="W2556" t="str">
        <f t="shared" si="358"/>
        <v>GALLERIA CASOLA</v>
      </c>
      <c r="Z2556" t="str">
        <f t="shared" si="359"/>
        <v>10.220.80.16</v>
      </c>
    </row>
    <row r="2557" spans="1:26" x14ac:dyDescent="0.25">
      <c r="A2557" t="s">
        <v>10</v>
      </c>
      <c r="B2557" t="s">
        <v>1206</v>
      </c>
      <c r="C2557" t="s">
        <v>2173</v>
      </c>
      <c r="D2557" t="s">
        <v>2174</v>
      </c>
      <c r="E2557" t="s">
        <v>2204</v>
      </c>
      <c r="F2557" t="s">
        <v>14</v>
      </c>
      <c r="G2557" t="s">
        <v>21</v>
      </c>
      <c r="H2557" t="s">
        <v>22</v>
      </c>
      <c r="I2557" t="s">
        <v>3420</v>
      </c>
      <c r="J2557" t="s">
        <v>2197</v>
      </c>
      <c r="K2557" t="str">
        <f t="shared" si="351"/>
        <v>5054.8</v>
      </c>
      <c r="N2557" t="str">
        <f t="shared" si="352"/>
        <v>HOLDING REGISTER</v>
      </c>
      <c r="O2557" t="str">
        <f t="shared" si="353"/>
        <v>BOOL</v>
      </c>
      <c r="P2557" t="str">
        <f t="shared" si="354"/>
        <v>JETFAN V1SX</v>
      </c>
      <c r="R2557" t="str">
        <f t="shared" si="355"/>
        <v>In Marcia</v>
      </c>
      <c r="U2557" t="str">
        <f t="shared" si="356"/>
        <v>Stato</v>
      </c>
      <c r="V2557" t="str">
        <f t="shared" si="357"/>
        <v>GALLERIA</v>
      </c>
      <c r="W2557" t="str">
        <f t="shared" si="358"/>
        <v>GALLERIA CASOLA</v>
      </c>
      <c r="Z2557" t="str">
        <f t="shared" si="359"/>
        <v>10.220.80.16</v>
      </c>
    </row>
    <row r="2558" spans="1:26" x14ac:dyDescent="0.25">
      <c r="A2558" t="s">
        <v>10</v>
      </c>
      <c r="B2558" t="s">
        <v>1206</v>
      </c>
      <c r="C2558" t="s">
        <v>2173</v>
      </c>
      <c r="D2558" t="s">
        <v>2174</v>
      </c>
      <c r="E2558" t="s">
        <v>2204</v>
      </c>
      <c r="F2558" t="s">
        <v>14</v>
      </c>
      <c r="G2558" t="s">
        <v>21</v>
      </c>
      <c r="H2558" t="s">
        <v>22</v>
      </c>
      <c r="I2558" t="s">
        <v>3421</v>
      </c>
      <c r="J2558" t="s">
        <v>2199</v>
      </c>
      <c r="K2558" t="str">
        <f t="shared" si="351"/>
        <v>5054.9</v>
      </c>
      <c r="N2558" t="str">
        <f t="shared" si="352"/>
        <v>HOLDING REGISTER</v>
      </c>
      <c r="O2558" t="str">
        <f t="shared" si="353"/>
        <v>BOOL</v>
      </c>
      <c r="P2558" t="str">
        <f t="shared" si="354"/>
        <v>JETFAN V1SX</v>
      </c>
      <c r="R2558" t="str">
        <f t="shared" si="355"/>
        <v>In Arresto</v>
      </c>
      <c r="U2558" t="str">
        <f t="shared" si="356"/>
        <v>Stato</v>
      </c>
      <c r="V2558" t="str">
        <f t="shared" si="357"/>
        <v>GALLERIA</v>
      </c>
      <c r="W2558" t="str">
        <f t="shared" si="358"/>
        <v>GALLERIA CASOLA</v>
      </c>
      <c r="Z2558" t="str">
        <f t="shared" si="359"/>
        <v>10.220.80.16</v>
      </c>
    </row>
    <row r="2559" spans="1:26" x14ac:dyDescent="0.25">
      <c r="A2559" t="s">
        <v>10</v>
      </c>
      <c r="B2559" t="s">
        <v>1206</v>
      </c>
      <c r="C2559" t="s">
        <v>2173</v>
      </c>
      <c r="D2559" t="s">
        <v>2174</v>
      </c>
      <c r="E2559" t="s">
        <v>2204</v>
      </c>
      <c r="F2559" t="s">
        <v>14</v>
      </c>
      <c r="G2559" t="s">
        <v>21</v>
      </c>
      <c r="H2559" t="s">
        <v>22</v>
      </c>
      <c r="I2559" t="s">
        <v>3422</v>
      </c>
      <c r="J2559" t="s">
        <v>2201</v>
      </c>
      <c r="K2559" t="str">
        <f t="shared" si="351"/>
        <v>5054.10</v>
      </c>
      <c r="N2559" t="str">
        <f t="shared" si="352"/>
        <v>HOLDING REGISTER</v>
      </c>
      <c r="O2559" t="str">
        <f t="shared" si="353"/>
        <v>BOOL</v>
      </c>
      <c r="P2559" t="str">
        <f t="shared" si="354"/>
        <v>JETFAN V1SX</v>
      </c>
      <c r="R2559" t="str">
        <f t="shared" si="355"/>
        <v>Incluso Da Scada</v>
      </c>
      <c r="U2559" t="str">
        <f t="shared" si="356"/>
        <v>Stato</v>
      </c>
      <c r="V2559" t="str">
        <f t="shared" si="357"/>
        <v>GALLERIA</v>
      </c>
      <c r="W2559" t="str">
        <f t="shared" si="358"/>
        <v>GALLERIA CASOLA</v>
      </c>
      <c r="Z2559" t="str">
        <f t="shared" si="359"/>
        <v>10.220.80.16</v>
      </c>
    </row>
    <row r="2560" spans="1:26" x14ac:dyDescent="0.25">
      <c r="A2560" t="s">
        <v>10</v>
      </c>
      <c r="B2560" t="s">
        <v>1206</v>
      </c>
      <c r="C2560" t="s">
        <v>2173</v>
      </c>
      <c r="D2560" t="s">
        <v>2174</v>
      </c>
      <c r="E2560" t="s">
        <v>2204</v>
      </c>
      <c r="F2560" t="s">
        <v>14</v>
      </c>
      <c r="G2560" t="s">
        <v>21</v>
      </c>
      <c r="H2560" t="s">
        <v>22</v>
      </c>
      <c r="I2560" t="s">
        <v>3423</v>
      </c>
      <c r="J2560" t="s">
        <v>2203</v>
      </c>
      <c r="K2560" t="str">
        <f t="shared" si="351"/>
        <v>5054.11</v>
      </c>
      <c r="N2560" t="str">
        <f t="shared" si="352"/>
        <v>HOLDING REGISTER</v>
      </c>
      <c r="O2560" t="str">
        <f t="shared" si="353"/>
        <v>BOOL</v>
      </c>
      <c r="P2560" t="str">
        <f t="shared" si="354"/>
        <v>JETFAN V1SX</v>
      </c>
      <c r="R2560" t="str">
        <f t="shared" si="355"/>
        <v>In Manuale Da Scada</v>
      </c>
      <c r="U2560" t="str">
        <f t="shared" si="356"/>
        <v>Stato</v>
      </c>
      <c r="V2560" t="str">
        <f t="shared" si="357"/>
        <v>GALLERIA</v>
      </c>
      <c r="W2560" t="str">
        <f t="shared" si="358"/>
        <v>GALLERIA CASOLA</v>
      </c>
      <c r="Z2560" t="str">
        <f t="shared" si="359"/>
        <v>10.220.80.16</v>
      </c>
    </row>
    <row r="2561" spans="1:26" x14ac:dyDescent="0.25">
      <c r="A2561" t="s">
        <v>10</v>
      </c>
      <c r="B2561" t="s">
        <v>1206</v>
      </c>
      <c r="C2561" t="s">
        <v>2173</v>
      </c>
      <c r="D2561" t="s">
        <v>2174</v>
      </c>
      <c r="E2561" t="s">
        <v>2219</v>
      </c>
      <c r="F2561" t="s">
        <v>14</v>
      </c>
      <c r="G2561" t="s">
        <v>28</v>
      </c>
      <c r="H2561" t="s">
        <v>22</v>
      </c>
      <c r="I2561" t="s">
        <v>3424</v>
      </c>
      <c r="J2561" t="s">
        <v>2177</v>
      </c>
      <c r="K2561" t="str">
        <f t="shared" si="351"/>
        <v>5054.12</v>
      </c>
      <c r="N2561" t="str">
        <f t="shared" si="352"/>
        <v>HOLDING REGISTER</v>
      </c>
      <c r="O2561" t="str">
        <f t="shared" si="353"/>
        <v>BOOL</v>
      </c>
      <c r="P2561" t="str">
        <f t="shared" si="354"/>
        <v>JETFAN V2DX</v>
      </c>
      <c r="R2561" t="str">
        <f t="shared" si="355"/>
        <v>Intervento Protezione Motore</v>
      </c>
      <c r="U2561" t="str">
        <f t="shared" si="356"/>
        <v>Allarme</v>
      </c>
      <c r="V2561" t="str">
        <f t="shared" si="357"/>
        <v>GALLERIA</v>
      </c>
      <c r="W2561" t="str">
        <f t="shared" si="358"/>
        <v>GALLERIA CASOLA</v>
      </c>
      <c r="Z2561" t="str">
        <f t="shared" si="359"/>
        <v>10.220.80.16</v>
      </c>
    </row>
    <row r="2562" spans="1:26" x14ac:dyDescent="0.25">
      <c r="A2562" t="s">
        <v>10</v>
      </c>
      <c r="B2562" t="s">
        <v>1206</v>
      </c>
      <c r="C2562" t="s">
        <v>2173</v>
      </c>
      <c r="D2562" t="s">
        <v>2174</v>
      </c>
      <c r="E2562" t="s">
        <v>2219</v>
      </c>
      <c r="F2562" t="s">
        <v>14</v>
      </c>
      <c r="G2562" t="s">
        <v>28</v>
      </c>
      <c r="H2562" t="s">
        <v>22</v>
      </c>
      <c r="I2562" t="s">
        <v>3425</v>
      </c>
      <c r="J2562" t="s">
        <v>2179</v>
      </c>
      <c r="K2562" t="str">
        <f t="shared" si="351"/>
        <v>5054.13</v>
      </c>
      <c r="N2562" t="str">
        <f t="shared" si="352"/>
        <v>HOLDING REGISTER</v>
      </c>
      <c r="O2562" t="str">
        <f t="shared" si="353"/>
        <v>BOOL</v>
      </c>
      <c r="P2562" t="str">
        <f t="shared" si="354"/>
        <v>JETFAN V2DX</v>
      </c>
      <c r="R2562" t="str">
        <f t="shared" si="355"/>
        <v>Allarme Alimentazione</v>
      </c>
      <c r="U2562" t="str">
        <f t="shared" si="356"/>
        <v>Allarme</v>
      </c>
      <c r="V2562" t="str">
        <f t="shared" si="357"/>
        <v>GALLERIA</v>
      </c>
      <c r="W2562" t="str">
        <f t="shared" si="358"/>
        <v>GALLERIA CASOLA</v>
      </c>
      <c r="Z2562" t="str">
        <f t="shared" si="359"/>
        <v>10.220.80.16</v>
      </c>
    </row>
    <row r="2563" spans="1:26" x14ac:dyDescent="0.25">
      <c r="A2563" t="s">
        <v>10</v>
      </c>
      <c r="B2563" t="s">
        <v>1206</v>
      </c>
      <c r="C2563" t="s">
        <v>2173</v>
      </c>
      <c r="D2563" t="s">
        <v>2174</v>
      </c>
      <c r="E2563" t="s">
        <v>2219</v>
      </c>
      <c r="F2563" t="s">
        <v>14</v>
      </c>
      <c r="G2563" t="s">
        <v>28</v>
      </c>
      <c r="H2563" t="s">
        <v>22</v>
      </c>
      <c r="I2563" t="s">
        <v>3426</v>
      </c>
      <c r="J2563" t="s">
        <v>2181</v>
      </c>
      <c r="K2563" t="str">
        <f t="shared" ref="K2563:K2626" si="360">IF(I2563="","",I2563)</f>
        <v>5054.14</v>
      </c>
      <c r="N2563" t="str">
        <f t="shared" ref="N2563:N2626" si="361">IF(F2563="","",F2563)</f>
        <v>HOLDING REGISTER</v>
      </c>
      <c r="O2563" t="str">
        <f t="shared" ref="O2563:O2626" si="362">IF(H2563="","",H2563)</f>
        <v>BOOL</v>
      </c>
      <c r="P2563" t="str">
        <f t="shared" ref="P2563:P2626" si="363">_xlfn.CONCAT(D2563," ",E2563)</f>
        <v>JETFAN V2DX</v>
      </c>
      <c r="R2563" t="str">
        <f t="shared" ref="R2563:R2626" si="364">IF(J2563="","",J2563)</f>
        <v>Time Out Avviam. Dir. Nord</v>
      </c>
      <c r="U2563" t="str">
        <f t="shared" ref="U2563:U2626" si="365">IF(G2563="","",G2563)</f>
        <v>Allarme</v>
      </c>
      <c r="V2563" t="str">
        <f t="shared" ref="V2563:V2626" si="366">IF(C2563="","",C2563)</f>
        <v>GALLERIA</v>
      </c>
      <c r="W2563" t="str">
        <f t="shared" ref="W2563:W2626" si="367">IF(B2563="","",B2563)</f>
        <v>GALLERIA CASOLA</v>
      </c>
      <c r="Z2563" t="str">
        <f t="shared" ref="Z2563:Z2626" si="368">IF(A2563="","",A2563)</f>
        <v>10.220.80.16</v>
      </c>
    </row>
    <row r="2564" spans="1:26" x14ac:dyDescent="0.25">
      <c r="A2564" t="s">
        <v>10</v>
      </c>
      <c r="B2564" t="s">
        <v>1206</v>
      </c>
      <c r="C2564" t="s">
        <v>2173</v>
      </c>
      <c r="D2564" t="s">
        <v>2174</v>
      </c>
      <c r="E2564" t="s">
        <v>2219</v>
      </c>
      <c r="F2564" t="s">
        <v>14</v>
      </c>
      <c r="G2564" t="s">
        <v>28</v>
      </c>
      <c r="H2564" t="s">
        <v>22</v>
      </c>
      <c r="I2564" t="s">
        <v>3427</v>
      </c>
      <c r="J2564" t="s">
        <v>2183</v>
      </c>
      <c r="K2564" t="str">
        <f t="shared" si="360"/>
        <v>5054.15</v>
      </c>
      <c r="N2564" t="str">
        <f t="shared" si="361"/>
        <v>HOLDING REGISTER</v>
      </c>
      <c r="O2564" t="str">
        <f t="shared" si="362"/>
        <v>BOOL</v>
      </c>
      <c r="P2564" t="str">
        <f t="shared" si="363"/>
        <v>JETFAN V2DX</v>
      </c>
      <c r="R2564" t="str">
        <f t="shared" si="364"/>
        <v>Time Out Avviam. Dir. Sud</v>
      </c>
      <c r="U2564" t="str">
        <f t="shared" si="365"/>
        <v>Allarme</v>
      </c>
      <c r="V2564" t="str">
        <f t="shared" si="366"/>
        <v>GALLERIA</v>
      </c>
      <c r="W2564" t="str">
        <f t="shared" si="367"/>
        <v>GALLERIA CASOLA</v>
      </c>
      <c r="Z2564" t="str">
        <f t="shared" si="368"/>
        <v>10.220.80.16</v>
      </c>
    </row>
    <row r="2565" spans="1:26" x14ac:dyDescent="0.25">
      <c r="A2565" t="s">
        <v>10</v>
      </c>
      <c r="B2565" t="s">
        <v>1206</v>
      </c>
      <c r="C2565" t="s">
        <v>2173</v>
      </c>
      <c r="D2565" t="s">
        <v>2174</v>
      </c>
      <c r="E2565" t="s">
        <v>2219</v>
      </c>
      <c r="F2565" t="s">
        <v>14</v>
      </c>
      <c r="G2565" t="s">
        <v>28</v>
      </c>
      <c r="H2565" t="s">
        <v>22</v>
      </c>
      <c r="I2565" t="s">
        <v>3428</v>
      </c>
      <c r="J2565" t="s">
        <v>2185</v>
      </c>
      <c r="K2565" t="str">
        <f t="shared" si="360"/>
        <v>5055.0</v>
      </c>
      <c r="N2565" t="str">
        <f t="shared" si="361"/>
        <v>HOLDING REGISTER</v>
      </c>
      <c r="O2565" t="str">
        <f t="shared" si="362"/>
        <v>BOOL</v>
      </c>
      <c r="P2565" t="str">
        <f t="shared" si="363"/>
        <v>JETFAN V2DX</v>
      </c>
      <c r="R2565" t="str">
        <f t="shared" si="364"/>
        <v>Allarme Softstart/Differensiale</v>
      </c>
      <c r="U2565" t="str">
        <f t="shared" si="365"/>
        <v>Allarme</v>
      </c>
      <c r="V2565" t="str">
        <f t="shared" si="366"/>
        <v>GALLERIA</v>
      </c>
      <c r="W2565" t="str">
        <f t="shared" si="367"/>
        <v>GALLERIA CASOLA</v>
      </c>
      <c r="Z2565" t="str">
        <f t="shared" si="368"/>
        <v>10.220.80.16</v>
      </c>
    </row>
    <row r="2566" spans="1:26" x14ac:dyDescent="0.25">
      <c r="A2566" t="s">
        <v>10</v>
      </c>
      <c r="B2566" t="s">
        <v>1206</v>
      </c>
      <c r="C2566" t="s">
        <v>2173</v>
      </c>
      <c r="D2566" t="s">
        <v>2174</v>
      </c>
      <c r="E2566" t="s">
        <v>2219</v>
      </c>
      <c r="F2566" t="s">
        <v>14</v>
      </c>
      <c r="G2566" t="s">
        <v>28</v>
      </c>
      <c r="H2566" t="s">
        <v>22</v>
      </c>
      <c r="I2566" t="s">
        <v>3429</v>
      </c>
      <c r="J2566" t="s">
        <v>2187</v>
      </c>
      <c r="K2566" t="str">
        <f t="shared" si="360"/>
        <v>5055.1</v>
      </c>
      <c r="N2566" t="str">
        <f t="shared" si="361"/>
        <v>HOLDING REGISTER</v>
      </c>
      <c r="O2566" t="str">
        <f t="shared" si="362"/>
        <v>BOOL</v>
      </c>
      <c r="P2566" t="str">
        <f t="shared" si="363"/>
        <v>JETFAN V2DX</v>
      </c>
      <c r="R2566" t="str">
        <f t="shared" si="364"/>
        <v>Preallarme Vibrazione</v>
      </c>
      <c r="U2566" t="str">
        <f t="shared" si="365"/>
        <v>Allarme</v>
      </c>
      <c r="V2566" t="str">
        <f t="shared" si="366"/>
        <v>GALLERIA</v>
      </c>
      <c r="W2566" t="str">
        <f t="shared" si="367"/>
        <v>GALLERIA CASOLA</v>
      </c>
      <c r="Z2566" t="str">
        <f t="shared" si="368"/>
        <v>10.220.80.16</v>
      </c>
    </row>
    <row r="2567" spans="1:26" x14ac:dyDescent="0.25">
      <c r="A2567" t="s">
        <v>10</v>
      </c>
      <c r="B2567" t="s">
        <v>1206</v>
      </c>
      <c r="C2567" t="s">
        <v>2173</v>
      </c>
      <c r="D2567" t="s">
        <v>2174</v>
      </c>
      <c r="E2567" t="s">
        <v>2219</v>
      </c>
      <c r="F2567" t="s">
        <v>14</v>
      </c>
      <c r="G2567" t="s">
        <v>28</v>
      </c>
      <c r="H2567" t="s">
        <v>22</v>
      </c>
      <c r="I2567" t="s">
        <v>3430</v>
      </c>
      <c r="J2567" t="s">
        <v>2189</v>
      </c>
      <c r="K2567" t="str">
        <f t="shared" si="360"/>
        <v>5055.2</v>
      </c>
      <c r="N2567" t="str">
        <f t="shared" si="361"/>
        <v>HOLDING REGISTER</v>
      </c>
      <c r="O2567" t="str">
        <f t="shared" si="362"/>
        <v>BOOL</v>
      </c>
      <c r="P2567" t="str">
        <f t="shared" si="363"/>
        <v>JETFAN V2DX</v>
      </c>
      <c r="R2567" t="str">
        <f t="shared" si="364"/>
        <v>Allarme Vibrazione</v>
      </c>
      <c r="U2567" t="str">
        <f t="shared" si="365"/>
        <v>Allarme</v>
      </c>
      <c r="V2567" t="str">
        <f t="shared" si="366"/>
        <v>GALLERIA</v>
      </c>
      <c r="W2567" t="str">
        <f t="shared" si="367"/>
        <v>GALLERIA CASOLA</v>
      </c>
      <c r="Z2567" t="str">
        <f t="shared" si="368"/>
        <v>10.220.80.16</v>
      </c>
    </row>
    <row r="2568" spans="1:26" x14ac:dyDescent="0.25">
      <c r="A2568" t="s">
        <v>10</v>
      </c>
      <c r="B2568" t="s">
        <v>1206</v>
      </c>
      <c r="C2568" t="s">
        <v>2173</v>
      </c>
      <c r="D2568" t="s">
        <v>2174</v>
      </c>
      <c r="E2568" t="s">
        <v>2219</v>
      </c>
      <c r="F2568" t="s">
        <v>14</v>
      </c>
      <c r="G2568" t="s">
        <v>28</v>
      </c>
      <c r="H2568" t="s">
        <v>22</v>
      </c>
      <c r="I2568" t="s">
        <v>3431</v>
      </c>
      <c r="J2568" t="s">
        <v>2191</v>
      </c>
      <c r="K2568" t="str">
        <f t="shared" si="360"/>
        <v>5055.3</v>
      </c>
      <c r="N2568" t="str">
        <f t="shared" si="361"/>
        <v>HOLDING REGISTER</v>
      </c>
      <c r="O2568" t="str">
        <f t="shared" si="362"/>
        <v>BOOL</v>
      </c>
      <c r="P2568" t="str">
        <f t="shared" si="363"/>
        <v>JETFAN V2DX</v>
      </c>
      <c r="R2568" t="str">
        <f t="shared" si="364"/>
        <v>Sensore Vibrazioni Scollegato</v>
      </c>
      <c r="U2568" t="str">
        <f t="shared" si="365"/>
        <v>Allarme</v>
      </c>
      <c r="V2568" t="str">
        <f t="shared" si="366"/>
        <v>GALLERIA</v>
      </c>
      <c r="W2568" t="str">
        <f t="shared" si="367"/>
        <v>GALLERIA CASOLA</v>
      </c>
      <c r="Z2568" t="str">
        <f t="shared" si="368"/>
        <v>10.220.80.16</v>
      </c>
    </row>
    <row r="2569" spans="1:26" x14ac:dyDescent="0.25">
      <c r="A2569" t="s">
        <v>10</v>
      </c>
      <c r="B2569" t="s">
        <v>1206</v>
      </c>
      <c r="C2569" t="s">
        <v>2173</v>
      </c>
      <c r="D2569" t="s">
        <v>2174</v>
      </c>
      <c r="E2569" t="s">
        <v>2219</v>
      </c>
      <c r="F2569" t="s">
        <v>14</v>
      </c>
      <c r="G2569" t="s">
        <v>28</v>
      </c>
      <c r="H2569" t="s">
        <v>22</v>
      </c>
      <c r="I2569" t="s">
        <v>3432</v>
      </c>
      <c r="J2569" t="s">
        <v>2193</v>
      </c>
      <c r="K2569" t="str">
        <f t="shared" si="360"/>
        <v>5055.4</v>
      </c>
      <c r="N2569" t="str">
        <f t="shared" si="361"/>
        <v>HOLDING REGISTER</v>
      </c>
      <c r="O2569" t="str">
        <f t="shared" si="362"/>
        <v>BOOL</v>
      </c>
      <c r="P2569" t="str">
        <f t="shared" si="363"/>
        <v>JETFAN V2DX</v>
      </c>
      <c r="R2569" t="str">
        <f t="shared" si="364"/>
        <v>Allarme Orizzontalita'</v>
      </c>
      <c r="U2569" t="str">
        <f t="shared" si="365"/>
        <v>Allarme</v>
      </c>
      <c r="V2569" t="str">
        <f t="shared" si="366"/>
        <v>GALLERIA</v>
      </c>
      <c r="W2569" t="str">
        <f t="shared" si="367"/>
        <v>GALLERIA CASOLA</v>
      </c>
      <c r="Z2569" t="str">
        <f t="shared" si="368"/>
        <v>10.220.80.16</v>
      </c>
    </row>
    <row r="2570" spans="1:26" x14ac:dyDescent="0.25">
      <c r="A2570" t="s">
        <v>10</v>
      </c>
      <c r="B2570" t="s">
        <v>1206</v>
      </c>
      <c r="C2570" t="s">
        <v>2173</v>
      </c>
      <c r="D2570" t="s">
        <v>2174</v>
      </c>
      <c r="E2570" t="s">
        <v>2219</v>
      </c>
      <c r="F2570" t="s">
        <v>14</v>
      </c>
      <c r="G2570" t="s">
        <v>21</v>
      </c>
      <c r="H2570" t="s">
        <v>22</v>
      </c>
      <c r="I2570" t="s">
        <v>3433</v>
      </c>
      <c r="J2570" t="s">
        <v>2195</v>
      </c>
      <c r="K2570" t="str">
        <f t="shared" si="360"/>
        <v>5055.5</v>
      </c>
      <c r="N2570" t="str">
        <f t="shared" si="361"/>
        <v>HOLDING REGISTER</v>
      </c>
      <c r="O2570" t="str">
        <f t="shared" si="362"/>
        <v>BOOL</v>
      </c>
      <c r="P2570" t="str">
        <f t="shared" si="363"/>
        <v>JETFAN V2DX</v>
      </c>
      <c r="R2570" t="str">
        <f t="shared" si="364"/>
        <v>In Avviamento</v>
      </c>
      <c r="U2570" t="str">
        <f t="shared" si="365"/>
        <v>Stato</v>
      </c>
      <c r="V2570" t="str">
        <f t="shared" si="366"/>
        <v>GALLERIA</v>
      </c>
      <c r="W2570" t="str">
        <f t="shared" si="367"/>
        <v>GALLERIA CASOLA</v>
      </c>
      <c r="Z2570" t="str">
        <f t="shared" si="368"/>
        <v>10.220.80.16</v>
      </c>
    </row>
    <row r="2571" spans="1:26" x14ac:dyDescent="0.25">
      <c r="A2571" t="s">
        <v>10</v>
      </c>
      <c r="B2571" t="s">
        <v>1206</v>
      </c>
      <c r="C2571" t="s">
        <v>2173</v>
      </c>
      <c r="D2571" t="s">
        <v>2174</v>
      </c>
      <c r="E2571" t="s">
        <v>2219</v>
      </c>
      <c r="F2571" t="s">
        <v>14</v>
      </c>
      <c r="G2571" t="s">
        <v>21</v>
      </c>
      <c r="H2571" t="s">
        <v>22</v>
      </c>
      <c r="I2571" t="s">
        <v>3434</v>
      </c>
      <c r="J2571" t="s">
        <v>2197</v>
      </c>
      <c r="K2571" t="str">
        <f t="shared" si="360"/>
        <v>5055.6</v>
      </c>
      <c r="N2571" t="str">
        <f t="shared" si="361"/>
        <v>HOLDING REGISTER</v>
      </c>
      <c r="O2571" t="str">
        <f t="shared" si="362"/>
        <v>BOOL</v>
      </c>
      <c r="P2571" t="str">
        <f t="shared" si="363"/>
        <v>JETFAN V2DX</v>
      </c>
      <c r="R2571" t="str">
        <f t="shared" si="364"/>
        <v>In Marcia</v>
      </c>
      <c r="U2571" t="str">
        <f t="shared" si="365"/>
        <v>Stato</v>
      </c>
      <c r="V2571" t="str">
        <f t="shared" si="366"/>
        <v>GALLERIA</v>
      </c>
      <c r="W2571" t="str">
        <f t="shared" si="367"/>
        <v>GALLERIA CASOLA</v>
      </c>
      <c r="Z2571" t="str">
        <f t="shared" si="368"/>
        <v>10.220.80.16</v>
      </c>
    </row>
    <row r="2572" spans="1:26" x14ac:dyDescent="0.25">
      <c r="A2572" t="s">
        <v>10</v>
      </c>
      <c r="B2572" t="s">
        <v>1206</v>
      </c>
      <c r="C2572" t="s">
        <v>2173</v>
      </c>
      <c r="D2572" t="s">
        <v>2174</v>
      </c>
      <c r="E2572" t="s">
        <v>2219</v>
      </c>
      <c r="F2572" t="s">
        <v>14</v>
      </c>
      <c r="G2572" t="s">
        <v>21</v>
      </c>
      <c r="H2572" t="s">
        <v>22</v>
      </c>
      <c r="I2572" t="s">
        <v>3435</v>
      </c>
      <c r="J2572" t="s">
        <v>2199</v>
      </c>
      <c r="K2572" t="str">
        <f t="shared" si="360"/>
        <v>5055.7</v>
      </c>
      <c r="N2572" t="str">
        <f t="shared" si="361"/>
        <v>HOLDING REGISTER</v>
      </c>
      <c r="O2572" t="str">
        <f t="shared" si="362"/>
        <v>BOOL</v>
      </c>
      <c r="P2572" t="str">
        <f t="shared" si="363"/>
        <v>JETFAN V2DX</v>
      </c>
      <c r="R2572" t="str">
        <f t="shared" si="364"/>
        <v>In Arresto</v>
      </c>
      <c r="U2572" t="str">
        <f t="shared" si="365"/>
        <v>Stato</v>
      </c>
      <c r="V2572" t="str">
        <f t="shared" si="366"/>
        <v>GALLERIA</v>
      </c>
      <c r="W2572" t="str">
        <f t="shared" si="367"/>
        <v>GALLERIA CASOLA</v>
      </c>
      <c r="Z2572" t="str">
        <f t="shared" si="368"/>
        <v>10.220.80.16</v>
      </c>
    </row>
    <row r="2573" spans="1:26" x14ac:dyDescent="0.25">
      <c r="A2573" t="s">
        <v>10</v>
      </c>
      <c r="B2573" t="s">
        <v>1206</v>
      </c>
      <c r="C2573" t="s">
        <v>2173</v>
      </c>
      <c r="D2573" t="s">
        <v>2174</v>
      </c>
      <c r="E2573" t="s">
        <v>2219</v>
      </c>
      <c r="F2573" t="s">
        <v>14</v>
      </c>
      <c r="G2573" t="s">
        <v>21</v>
      </c>
      <c r="H2573" t="s">
        <v>22</v>
      </c>
      <c r="I2573" t="s">
        <v>3436</v>
      </c>
      <c r="J2573" t="s">
        <v>2201</v>
      </c>
      <c r="K2573" t="str">
        <f t="shared" si="360"/>
        <v>5055.8</v>
      </c>
      <c r="N2573" t="str">
        <f t="shared" si="361"/>
        <v>HOLDING REGISTER</v>
      </c>
      <c r="O2573" t="str">
        <f t="shared" si="362"/>
        <v>BOOL</v>
      </c>
      <c r="P2573" t="str">
        <f t="shared" si="363"/>
        <v>JETFAN V2DX</v>
      </c>
      <c r="R2573" t="str">
        <f t="shared" si="364"/>
        <v>Incluso Da Scada</v>
      </c>
      <c r="U2573" t="str">
        <f t="shared" si="365"/>
        <v>Stato</v>
      </c>
      <c r="V2573" t="str">
        <f t="shared" si="366"/>
        <v>GALLERIA</v>
      </c>
      <c r="W2573" t="str">
        <f t="shared" si="367"/>
        <v>GALLERIA CASOLA</v>
      </c>
      <c r="Z2573" t="str">
        <f t="shared" si="368"/>
        <v>10.220.80.16</v>
      </c>
    </row>
    <row r="2574" spans="1:26" x14ac:dyDescent="0.25">
      <c r="A2574" t="s">
        <v>10</v>
      </c>
      <c r="B2574" t="s">
        <v>1206</v>
      </c>
      <c r="C2574" t="s">
        <v>2173</v>
      </c>
      <c r="D2574" t="s">
        <v>2174</v>
      </c>
      <c r="E2574" t="s">
        <v>2219</v>
      </c>
      <c r="F2574" t="s">
        <v>14</v>
      </c>
      <c r="G2574" t="s">
        <v>21</v>
      </c>
      <c r="H2574" t="s">
        <v>22</v>
      </c>
      <c r="I2574" t="s">
        <v>3437</v>
      </c>
      <c r="J2574" t="s">
        <v>2203</v>
      </c>
      <c r="K2574" t="str">
        <f t="shared" si="360"/>
        <v>5055.9</v>
      </c>
      <c r="N2574" t="str">
        <f t="shared" si="361"/>
        <v>HOLDING REGISTER</v>
      </c>
      <c r="O2574" t="str">
        <f t="shared" si="362"/>
        <v>BOOL</v>
      </c>
      <c r="P2574" t="str">
        <f t="shared" si="363"/>
        <v>JETFAN V2DX</v>
      </c>
      <c r="R2574" t="str">
        <f t="shared" si="364"/>
        <v>In Manuale Da Scada</v>
      </c>
      <c r="U2574" t="str">
        <f t="shared" si="365"/>
        <v>Stato</v>
      </c>
      <c r="V2574" t="str">
        <f t="shared" si="366"/>
        <v>GALLERIA</v>
      </c>
      <c r="W2574" t="str">
        <f t="shared" si="367"/>
        <v>GALLERIA CASOLA</v>
      </c>
      <c r="Z2574" t="str">
        <f t="shared" si="368"/>
        <v>10.220.80.16</v>
      </c>
    </row>
    <row r="2575" spans="1:26" x14ac:dyDescent="0.25">
      <c r="A2575" t="s">
        <v>10</v>
      </c>
      <c r="B2575" t="s">
        <v>1206</v>
      </c>
      <c r="C2575" t="s">
        <v>2173</v>
      </c>
      <c r="D2575" t="s">
        <v>2174</v>
      </c>
      <c r="E2575" t="s">
        <v>2234</v>
      </c>
      <c r="F2575" t="s">
        <v>14</v>
      </c>
      <c r="G2575" t="s">
        <v>28</v>
      </c>
      <c r="H2575" t="s">
        <v>22</v>
      </c>
      <c r="I2575" t="s">
        <v>3438</v>
      </c>
      <c r="J2575" t="s">
        <v>2177</v>
      </c>
      <c r="K2575" t="str">
        <f t="shared" si="360"/>
        <v>5055.10</v>
      </c>
      <c r="N2575" t="str">
        <f t="shared" si="361"/>
        <v>HOLDING REGISTER</v>
      </c>
      <c r="O2575" t="str">
        <f t="shared" si="362"/>
        <v>BOOL</v>
      </c>
      <c r="P2575" t="str">
        <f t="shared" si="363"/>
        <v>JETFAN V2SX</v>
      </c>
      <c r="R2575" t="str">
        <f t="shared" si="364"/>
        <v>Intervento Protezione Motore</v>
      </c>
      <c r="U2575" t="str">
        <f t="shared" si="365"/>
        <v>Allarme</v>
      </c>
      <c r="V2575" t="str">
        <f t="shared" si="366"/>
        <v>GALLERIA</v>
      </c>
      <c r="W2575" t="str">
        <f t="shared" si="367"/>
        <v>GALLERIA CASOLA</v>
      </c>
      <c r="Z2575" t="str">
        <f t="shared" si="368"/>
        <v>10.220.80.16</v>
      </c>
    </row>
    <row r="2576" spans="1:26" x14ac:dyDescent="0.25">
      <c r="A2576" t="s">
        <v>10</v>
      </c>
      <c r="B2576" t="s">
        <v>1206</v>
      </c>
      <c r="C2576" t="s">
        <v>2173</v>
      </c>
      <c r="D2576" t="s">
        <v>2174</v>
      </c>
      <c r="E2576" t="s">
        <v>2234</v>
      </c>
      <c r="F2576" t="s">
        <v>14</v>
      </c>
      <c r="G2576" t="s">
        <v>28</v>
      </c>
      <c r="H2576" t="s">
        <v>22</v>
      </c>
      <c r="I2576" t="s">
        <v>3439</v>
      </c>
      <c r="J2576" t="s">
        <v>2179</v>
      </c>
      <c r="K2576" t="str">
        <f t="shared" si="360"/>
        <v>5055.11</v>
      </c>
      <c r="N2576" t="str">
        <f t="shared" si="361"/>
        <v>HOLDING REGISTER</v>
      </c>
      <c r="O2576" t="str">
        <f t="shared" si="362"/>
        <v>BOOL</v>
      </c>
      <c r="P2576" t="str">
        <f t="shared" si="363"/>
        <v>JETFAN V2SX</v>
      </c>
      <c r="R2576" t="str">
        <f t="shared" si="364"/>
        <v>Allarme Alimentazione</v>
      </c>
      <c r="U2576" t="str">
        <f t="shared" si="365"/>
        <v>Allarme</v>
      </c>
      <c r="V2576" t="str">
        <f t="shared" si="366"/>
        <v>GALLERIA</v>
      </c>
      <c r="W2576" t="str">
        <f t="shared" si="367"/>
        <v>GALLERIA CASOLA</v>
      </c>
      <c r="Z2576" t="str">
        <f t="shared" si="368"/>
        <v>10.220.80.16</v>
      </c>
    </row>
    <row r="2577" spans="1:26" x14ac:dyDescent="0.25">
      <c r="A2577" t="s">
        <v>10</v>
      </c>
      <c r="B2577" t="s">
        <v>1206</v>
      </c>
      <c r="C2577" t="s">
        <v>2173</v>
      </c>
      <c r="D2577" t="s">
        <v>2174</v>
      </c>
      <c r="E2577" t="s">
        <v>2234</v>
      </c>
      <c r="F2577" t="s">
        <v>14</v>
      </c>
      <c r="G2577" t="s">
        <v>28</v>
      </c>
      <c r="H2577" t="s">
        <v>22</v>
      </c>
      <c r="I2577" t="s">
        <v>3440</v>
      </c>
      <c r="J2577" t="s">
        <v>2181</v>
      </c>
      <c r="K2577" t="str">
        <f t="shared" si="360"/>
        <v>5055.12</v>
      </c>
      <c r="N2577" t="str">
        <f t="shared" si="361"/>
        <v>HOLDING REGISTER</v>
      </c>
      <c r="O2577" t="str">
        <f t="shared" si="362"/>
        <v>BOOL</v>
      </c>
      <c r="P2577" t="str">
        <f t="shared" si="363"/>
        <v>JETFAN V2SX</v>
      </c>
      <c r="R2577" t="str">
        <f t="shared" si="364"/>
        <v>Time Out Avviam. Dir. Nord</v>
      </c>
      <c r="U2577" t="str">
        <f t="shared" si="365"/>
        <v>Allarme</v>
      </c>
      <c r="V2577" t="str">
        <f t="shared" si="366"/>
        <v>GALLERIA</v>
      </c>
      <c r="W2577" t="str">
        <f t="shared" si="367"/>
        <v>GALLERIA CASOLA</v>
      </c>
      <c r="Z2577" t="str">
        <f t="shared" si="368"/>
        <v>10.220.80.16</v>
      </c>
    </row>
    <row r="2578" spans="1:26" x14ac:dyDescent="0.25">
      <c r="A2578" t="s">
        <v>10</v>
      </c>
      <c r="B2578" t="s">
        <v>1206</v>
      </c>
      <c r="C2578" t="s">
        <v>2173</v>
      </c>
      <c r="D2578" t="s">
        <v>2174</v>
      </c>
      <c r="E2578" t="s">
        <v>2234</v>
      </c>
      <c r="F2578" t="s">
        <v>14</v>
      </c>
      <c r="G2578" t="s">
        <v>28</v>
      </c>
      <c r="H2578" t="s">
        <v>22</v>
      </c>
      <c r="I2578" t="s">
        <v>3441</v>
      </c>
      <c r="J2578" t="s">
        <v>2183</v>
      </c>
      <c r="K2578" t="str">
        <f t="shared" si="360"/>
        <v>5055.13</v>
      </c>
      <c r="N2578" t="str">
        <f t="shared" si="361"/>
        <v>HOLDING REGISTER</v>
      </c>
      <c r="O2578" t="str">
        <f t="shared" si="362"/>
        <v>BOOL</v>
      </c>
      <c r="P2578" t="str">
        <f t="shared" si="363"/>
        <v>JETFAN V2SX</v>
      </c>
      <c r="R2578" t="str">
        <f t="shared" si="364"/>
        <v>Time Out Avviam. Dir. Sud</v>
      </c>
      <c r="U2578" t="str">
        <f t="shared" si="365"/>
        <v>Allarme</v>
      </c>
      <c r="V2578" t="str">
        <f t="shared" si="366"/>
        <v>GALLERIA</v>
      </c>
      <c r="W2578" t="str">
        <f t="shared" si="367"/>
        <v>GALLERIA CASOLA</v>
      </c>
      <c r="Z2578" t="str">
        <f t="shared" si="368"/>
        <v>10.220.80.16</v>
      </c>
    </row>
    <row r="2579" spans="1:26" x14ac:dyDescent="0.25">
      <c r="A2579" t="s">
        <v>10</v>
      </c>
      <c r="B2579" t="s">
        <v>1206</v>
      </c>
      <c r="C2579" t="s">
        <v>2173</v>
      </c>
      <c r="D2579" t="s">
        <v>2174</v>
      </c>
      <c r="E2579" t="s">
        <v>2234</v>
      </c>
      <c r="F2579" t="s">
        <v>14</v>
      </c>
      <c r="G2579" t="s">
        <v>28</v>
      </c>
      <c r="H2579" t="s">
        <v>22</v>
      </c>
      <c r="I2579" t="s">
        <v>3442</v>
      </c>
      <c r="J2579" t="s">
        <v>2185</v>
      </c>
      <c r="K2579" t="str">
        <f t="shared" si="360"/>
        <v>5055.14</v>
      </c>
      <c r="N2579" t="str">
        <f t="shared" si="361"/>
        <v>HOLDING REGISTER</v>
      </c>
      <c r="O2579" t="str">
        <f t="shared" si="362"/>
        <v>BOOL</v>
      </c>
      <c r="P2579" t="str">
        <f t="shared" si="363"/>
        <v>JETFAN V2SX</v>
      </c>
      <c r="R2579" t="str">
        <f t="shared" si="364"/>
        <v>Allarme Softstart/Differensiale</v>
      </c>
      <c r="U2579" t="str">
        <f t="shared" si="365"/>
        <v>Allarme</v>
      </c>
      <c r="V2579" t="str">
        <f t="shared" si="366"/>
        <v>GALLERIA</v>
      </c>
      <c r="W2579" t="str">
        <f t="shared" si="367"/>
        <v>GALLERIA CASOLA</v>
      </c>
      <c r="Z2579" t="str">
        <f t="shared" si="368"/>
        <v>10.220.80.16</v>
      </c>
    </row>
    <row r="2580" spans="1:26" x14ac:dyDescent="0.25">
      <c r="A2580" t="s">
        <v>10</v>
      </c>
      <c r="B2580" t="s">
        <v>1206</v>
      </c>
      <c r="C2580" t="s">
        <v>2173</v>
      </c>
      <c r="D2580" t="s">
        <v>2174</v>
      </c>
      <c r="E2580" t="s">
        <v>2234</v>
      </c>
      <c r="F2580" t="s">
        <v>14</v>
      </c>
      <c r="G2580" t="s">
        <v>28</v>
      </c>
      <c r="H2580" t="s">
        <v>22</v>
      </c>
      <c r="I2580" t="s">
        <v>3443</v>
      </c>
      <c r="J2580" t="s">
        <v>2187</v>
      </c>
      <c r="K2580" t="str">
        <f t="shared" si="360"/>
        <v>5055.15</v>
      </c>
      <c r="N2580" t="str">
        <f t="shared" si="361"/>
        <v>HOLDING REGISTER</v>
      </c>
      <c r="O2580" t="str">
        <f t="shared" si="362"/>
        <v>BOOL</v>
      </c>
      <c r="P2580" t="str">
        <f t="shared" si="363"/>
        <v>JETFAN V2SX</v>
      </c>
      <c r="R2580" t="str">
        <f t="shared" si="364"/>
        <v>Preallarme Vibrazione</v>
      </c>
      <c r="U2580" t="str">
        <f t="shared" si="365"/>
        <v>Allarme</v>
      </c>
      <c r="V2580" t="str">
        <f t="shared" si="366"/>
        <v>GALLERIA</v>
      </c>
      <c r="W2580" t="str">
        <f t="shared" si="367"/>
        <v>GALLERIA CASOLA</v>
      </c>
      <c r="Z2580" t="str">
        <f t="shared" si="368"/>
        <v>10.220.80.16</v>
      </c>
    </row>
    <row r="2581" spans="1:26" x14ac:dyDescent="0.25">
      <c r="A2581" t="s">
        <v>10</v>
      </c>
      <c r="B2581" t="s">
        <v>1206</v>
      </c>
      <c r="C2581" t="s">
        <v>2173</v>
      </c>
      <c r="D2581" t="s">
        <v>2174</v>
      </c>
      <c r="E2581" t="s">
        <v>2234</v>
      </c>
      <c r="F2581" t="s">
        <v>14</v>
      </c>
      <c r="G2581" t="s">
        <v>28</v>
      </c>
      <c r="H2581" t="s">
        <v>22</v>
      </c>
      <c r="I2581" t="s">
        <v>3444</v>
      </c>
      <c r="J2581" t="s">
        <v>2189</v>
      </c>
      <c r="K2581" t="str">
        <f t="shared" si="360"/>
        <v>5056.0</v>
      </c>
      <c r="N2581" t="str">
        <f t="shared" si="361"/>
        <v>HOLDING REGISTER</v>
      </c>
      <c r="O2581" t="str">
        <f t="shared" si="362"/>
        <v>BOOL</v>
      </c>
      <c r="P2581" t="str">
        <f t="shared" si="363"/>
        <v>JETFAN V2SX</v>
      </c>
      <c r="R2581" t="str">
        <f t="shared" si="364"/>
        <v>Allarme Vibrazione</v>
      </c>
      <c r="U2581" t="str">
        <f t="shared" si="365"/>
        <v>Allarme</v>
      </c>
      <c r="V2581" t="str">
        <f t="shared" si="366"/>
        <v>GALLERIA</v>
      </c>
      <c r="W2581" t="str">
        <f t="shared" si="367"/>
        <v>GALLERIA CASOLA</v>
      </c>
      <c r="Z2581" t="str">
        <f t="shared" si="368"/>
        <v>10.220.80.16</v>
      </c>
    </row>
    <row r="2582" spans="1:26" x14ac:dyDescent="0.25">
      <c r="A2582" t="s">
        <v>10</v>
      </c>
      <c r="B2582" t="s">
        <v>1206</v>
      </c>
      <c r="C2582" t="s">
        <v>2173</v>
      </c>
      <c r="D2582" t="s">
        <v>2174</v>
      </c>
      <c r="E2582" t="s">
        <v>2234</v>
      </c>
      <c r="F2582" t="s">
        <v>14</v>
      </c>
      <c r="G2582" t="s">
        <v>28</v>
      </c>
      <c r="H2582" t="s">
        <v>22</v>
      </c>
      <c r="I2582" t="s">
        <v>3445</v>
      </c>
      <c r="J2582" t="s">
        <v>2191</v>
      </c>
      <c r="K2582" t="str">
        <f t="shared" si="360"/>
        <v>5056.1</v>
      </c>
      <c r="N2582" t="str">
        <f t="shared" si="361"/>
        <v>HOLDING REGISTER</v>
      </c>
      <c r="O2582" t="str">
        <f t="shared" si="362"/>
        <v>BOOL</v>
      </c>
      <c r="P2582" t="str">
        <f t="shared" si="363"/>
        <v>JETFAN V2SX</v>
      </c>
      <c r="R2582" t="str">
        <f t="shared" si="364"/>
        <v>Sensore Vibrazioni Scollegato</v>
      </c>
      <c r="U2582" t="str">
        <f t="shared" si="365"/>
        <v>Allarme</v>
      </c>
      <c r="V2582" t="str">
        <f t="shared" si="366"/>
        <v>GALLERIA</v>
      </c>
      <c r="W2582" t="str">
        <f t="shared" si="367"/>
        <v>GALLERIA CASOLA</v>
      </c>
      <c r="Z2582" t="str">
        <f t="shared" si="368"/>
        <v>10.220.80.16</v>
      </c>
    </row>
    <row r="2583" spans="1:26" x14ac:dyDescent="0.25">
      <c r="A2583" t="s">
        <v>10</v>
      </c>
      <c r="B2583" t="s">
        <v>1206</v>
      </c>
      <c r="C2583" t="s">
        <v>2173</v>
      </c>
      <c r="D2583" t="s">
        <v>2174</v>
      </c>
      <c r="E2583" t="s">
        <v>2234</v>
      </c>
      <c r="F2583" t="s">
        <v>14</v>
      </c>
      <c r="G2583" t="s">
        <v>28</v>
      </c>
      <c r="H2583" t="s">
        <v>22</v>
      </c>
      <c r="I2583" t="s">
        <v>3446</v>
      </c>
      <c r="J2583" t="s">
        <v>2193</v>
      </c>
      <c r="K2583" t="str">
        <f t="shared" si="360"/>
        <v>5056.2</v>
      </c>
      <c r="N2583" t="str">
        <f t="shared" si="361"/>
        <v>HOLDING REGISTER</v>
      </c>
      <c r="O2583" t="str">
        <f t="shared" si="362"/>
        <v>BOOL</v>
      </c>
      <c r="P2583" t="str">
        <f t="shared" si="363"/>
        <v>JETFAN V2SX</v>
      </c>
      <c r="R2583" t="str">
        <f t="shared" si="364"/>
        <v>Allarme Orizzontalita'</v>
      </c>
      <c r="U2583" t="str">
        <f t="shared" si="365"/>
        <v>Allarme</v>
      </c>
      <c r="V2583" t="str">
        <f t="shared" si="366"/>
        <v>GALLERIA</v>
      </c>
      <c r="W2583" t="str">
        <f t="shared" si="367"/>
        <v>GALLERIA CASOLA</v>
      </c>
      <c r="Z2583" t="str">
        <f t="shared" si="368"/>
        <v>10.220.80.16</v>
      </c>
    </row>
    <row r="2584" spans="1:26" x14ac:dyDescent="0.25">
      <c r="A2584" t="s">
        <v>10</v>
      </c>
      <c r="B2584" t="s">
        <v>1206</v>
      </c>
      <c r="C2584" t="s">
        <v>2173</v>
      </c>
      <c r="D2584" t="s">
        <v>2174</v>
      </c>
      <c r="E2584" t="s">
        <v>2234</v>
      </c>
      <c r="F2584" t="s">
        <v>14</v>
      </c>
      <c r="G2584" t="s">
        <v>21</v>
      </c>
      <c r="H2584" t="s">
        <v>22</v>
      </c>
      <c r="I2584" t="s">
        <v>3447</v>
      </c>
      <c r="J2584" t="s">
        <v>2195</v>
      </c>
      <c r="K2584" t="str">
        <f t="shared" si="360"/>
        <v>5056.3</v>
      </c>
      <c r="N2584" t="str">
        <f t="shared" si="361"/>
        <v>HOLDING REGISTER</v>
      </c>
      <c r="O2584" t="str">
        <f t="shared" si="362"/>
        <v>BOOL</v>
      </c>
      <c r="P2584" t="str">
        <f t="shared" si="363"/>
        <v>JETFAN V2SX</v>
      </c>
      <c r="R2584" t="str">
        <f t="shared" si="364"/>
        <v>In Avviamento</v>
      </c>
      <c r="U2584" t="str">
        <f t="shared" si="365"/>
        <v>Stato</v>
      </c>
      <c r="V2584" t="str">
        <f t="shared" si="366"/>
        <v>GALLERIA</v>
      </c>
      <c r="W2584" t="str">
        <f t="shared" si="367"/>
        <v>GALLERIA CASOLA</v>
      </c>
      <c r="Z2584" t="str">
        <f t="shared" si="368"/>
        <v>10.220.80.16</v>
      </c>
    </row>
    <row r="2585" spans="1:26" x14ac:dyDescent="0.25">
      <c r="A2585" t="s">
        <v>10</v>
      </c>
      <c r="B2585" t="s">
        <v>1206</v>
      </c>
      <c r="C2585" t="s">
        <v>2173</v>
      </c>
      <c r="D2585" t="s">
        <v>2174</v>
      </c>
      <c r="E2585" t="s">
        <v>2234</v>
      </c>
      <c r="F2585" t="s">
        <v>14</v>
      </c>
      <c r="G2585" t="s">
        <v>21</v>
      </c>
      <c r="H2585" t="s">
        <v>22</v>
      </c>
      <c r="I2585" t="s">
        <v>3448</v>
      </c>
      <c r="J2585" t="s">
        <v>2197</v>
      </c>
      <c r="K2585" t="str">
        <f t="shared" si="360"/>
        <v>5056.4</v>
      </c>
      <c r="N2585" t="str">
        <f t="shared" si="361"/>
        <v>HOLDING REGISTER</v>
      </c>
      <c r="O2585" t="str">
        <f t="shared" si="362"/>
        <v>BOOL</v>
      </c>
      <c r="P2585" t="str">
        <f t="shared" si="363"/>
        <v>JETFAN V2SX</v>
      </c>
      <c r="R2585" t="str">
        <f t="shared" si="364"/>
        <v>In Marcia</v>
      </c>
      <c r="U2585" t="str">
        <f t="shared" si="365"/>
        <v>Stato</v>
      </c>
      <c r="V2585" t="str">
        <f t="shared" si="366"/>
        <v>GALLERIA</v>
      </c>
      <c r="W2585" t="str">
        <f t="shared" si="367"/>
        <v>GALLERIA CASOLA</v>
      </c>
      <c r="Z2585" t="str">
        <f t="shared" si="368"/>
        <v>10.220.80.16</v>
      </c>
    </row>
    <row r="2586" spans="1:26" x14ac:dyDescent="0.25">
      <c r="A2586" t="s">
        <v>10</v>
      </c>
      <c r="B2586" t="s">
        <v>1206</v>
      </c>
      <c r="C2586" t="s">
        <v>2173</v>
      </c>
      <c r="D2586" t="s">
        <v>2174</v>
      </c>
      <c r="E2586" t="s">
        <v>2234</v>
      </c>
      <c r="F2586" t="s">
        <v>14</v>
      </c>
      <c r="G2586" t="s">
        <v>21</v>
      </c>
      <c r="H2586" t="s">
        <v>22</v>
      </c>
      <c r="I2586" t="s">
        <v>3449</v>
      </c>
      <c r="J2586" t="s">
        <v>2199</v>
      </c>
      <c r="K2586" t="str">
        <f t="shared" si="360"/>
        <v>5056.5</v>
      </c>
      <c r="N2586" t="str">
        <f t="shared" si="361"/>
        <v>HOLDING REGISTER</v>
      </c>
      <c r="O2586" t="str">
        <f t="shared" si="362"/>
        <v>BOOL</v>
      </c>
      <c r="P2586" t="str">
        <f t="shared" si="363"/>
        <v>JETFAN V2SX</v>
      </c>
      <c r="R2586" t="str">
        <f t="shared" si="364"/>
        <v>In Arresto</v>
      </c>
      <c r="U2586" t="str">
        <f t="shared" si="365"/>
        <v>Stato</v>
      </c>
      <c r="V2586" t="str">
        <f t="shared" si="366"/>
        <v>GALLERIA</v>
      </c>
      <c r="W2586" t="str">
        <f t="shared" si="367"/>
        <v>GALLERIA CASOLA</v>
      </c>
      <c r="Z2586" t="str">
        <f t="shared" si="368"/>
        <v>10.220.80.16</v>
      </c>
    </row>
    <row r="2587" spans="1:26" x14ac:dyDescent="0.25">
      <c r="A2587" t="s">
        <v>10</v>
      </c>
      <c r="B2587" t="s">
        <v>1206</v>
      </c>
      <c r="C2587" t="s">
        <v>2173</v>
      </c>
      <c r="D2587" t="s">
        <v>2174</v>
      </c>
      <c r="E2587" t="s">
        <v>2234</v>
      </c>
      <c r="F2587" t="s">
        <v>14</v>
      </c>
      <c r="G2587" t="s">
        <v>21</v>
      </c>
      <c r="H2587" t="s">
        <v>22</v>
      </c>
      <c r="I2587" t="s">
        <v>3450</v>
      </c>
      <c r="J2587" t="s">
        <v>2201</v>
      </c>
      <c r="K2587" t="str">
        <f t="shared" si="360"/>
        <v>5056.6</v>
      </c>
      <c r="N2587" t="str">
        <f t="shared" si="361"/>
        <v>HOLDING REGISTER</v>
      </c>
      <c r="O2587" t="str">
        <f t="shared" si="362"/>
        <v>BOOL</v>
      </c>
      <c r="P2587" t="str">
        <f t="shared" si="363"/>
        <v>JETFAN V2SX</v>
      </c>
      <c r="R2587" t="str">
        <f t="shared" si="364"/>
        <v>Incluso Da Scada</v>
      </c>
      <c r="U2587" t="str">
        <f t="shared" si="365"/>
        <v>Stato</v>
      </c>
      <c r="V2587" t="str">
        <f t="shared" si="366"/>
        <v>GALLERIA</v>
      </c>
      <c r="W2587" t="str">
        <f t="shared" si="367"/>
        <v>GALLERIA CASOLA</v>
      </c>
      <c r="Z2587" t="str">
        <f t="shared" si="368"/>
        <v>10.220.80.16</v>
      </c>
    </row>
    <row r="2588" spans="1:26" x14ac:dyDescent="0.25">
      <c r="A2588" t="s">
        <v>10</v>
      </c>
      <c r="B2588" t="s">
        <v>1206</v>
      </c>
      <c r="C2588" t="s">
        <v>2173</v>
      </c>
      <c r="D2588" t="s">
        <v>2174</v>
      </c>
      <c r="E2588" t="s">
        <v>2234</v>
      </c>
      <c r="F2588" t="s">
        <v>14</v>
      </c>
      <c r="G2588" t="s">
        <v>21</v>
      </c>
      <c r="H2588" t="s">
        <v>22</v>
      </c>
      <c r="I2588" t="s">
        <v>3451</v>
      </c>
      <c r="J2588" t="s">
        <v>2203</v>
      </c>
      <c r="K2588" t="str">
        <f t="shared" si="360"/>
        <v>5056.7</v>
      </c>
      <c r="N2588" t="str">
        <f t="shared" si="361"/>
        <v>HOLDING REGISTER</v>
      </c>
      <c r="O2588" t="str">
        <f t="shared" si="362"/>
        <v>BOOL</v>
      </c>
      <c r="P2588" t="str">
        <f t="shared" si="363"/>
        <v>JETFAN V2SX</v>
      </c>
      <c r="R2588" t="str">
        <f t="shared" si="364"/>
        <v>In Manuale Da Scada</v>
      </c>
      <c r="U2588" t="str">
        <f t="shared" si="365"/>
        <v>Stato</v>
      </c>
      <c r="V2588" t="str">
        <f t="shared" si="366"/>
        <v>GALLERIA</v>
      </c>
      <c r="W2588" t="str">
        <f t="shared" si="367"/>
        <v>GALLERIA CASOLA</v>
      </c>
      <c r="Z2588" t="str">
        <f t="shared" si="368"/>
        <v>10.220.80.16</v>
      </c>
    </row>
    <row r="2589" spans="1:26" x14ac:dyDescent="0.25">
      <c r="A2589" t="s">
        <v>10</v>
      </c>
      <c r="B2589" t="s">
        <v>1206</v>
      </c>
      <c r="C2589" t="s">
        <v>2173</v>
      </c>
      <c r="D2589" t="s">
        <v>2174</v>
      </c>
      <c r="E2589" t="s">
        <v>2249</v>
      </c>
      <c r="F2589" t="s">
        <v>14</v>
      </c>
      <c r="G2589" t="s">
        <v>28</v>
      </c>
      <c r="H2589" t="s">
        <v>22</v>
      </c>
      <c r="I2589" t="s">
        <v>3452</v>
      </c>
      <c r="J2589" t="s">
        <v>2177</v>
      </c>
      <c r="K2589" t="str">
        <f t="shared" si="360"/>
        <v>5056.8</v>
      </c>
      <c r="N2589" t="str">
        <f t="shared" si="361"/>
        <v>HOLDING REGISTER</v>
      </c>
      <c r="O2589" t="str">
        <f t="shared" si="362"/>
        <v>BOOL</v>
      </c>
      <c r="P2589" t="str">
        <f t="shared" si="363"/>
        <v>JETFAN V3DX</v>
      </c>
      <c r="R2589" t="str">
        <f t="shared" si="364"/>
        <v>Intervento Protezione Motore</v>
      </c>
      <c r="U2589" t="str">
        <f t="shared" si="365"/>
        <v>Allarme</v>
      </c>
      <c r="V2589" t="str">
        <f t="shared" si="366"/>
        <v>GALLERIA</v>
      </c>
      <c r="W2589" t="str">
        <f t="shared" si="367"/>
        <v>GALLERIA CASOLA</v>
      </c>
      <c r="Z2589" t="str">
        <f t="shared" si="368"/>
        <v>10.220.80.16</v>
      </c>
    </row>
    <row r="2590" spans="1:26" x14ac:dyDescent="0.25">
      <c r="A2590" t="s">
        <v>10</v>
      </c>
      <c r="B2590" t="s">
        <v>1206</v>
      </c>
      <c r="C2590" t="s">
        <v>2173</v>
      </c>
      <c r="D2590" t="s">
        <v>2174</v>
      </c>
      <c r="E2590" t="s">
        <v>2249</v>
      </c>
      <c r="F2590" t="s">
        <v>14</v>
      </c>
      <c r="G2590" t="s">
        <v>28</v>
      </c>
      <c r="H2590" t="s">
        <v>22</v>
      </c>
      <c r="I2590" t="s">
        <v>3453</v>
      </c>
      <c r="J2590" t="s">
        <v>2179</v>
      </c>
      <c r="K2590" t="str">
        <f t="shared" si="360"/>
        <v>5056.9</v>
      </c>
      <c r="N2590" t="str">
        <f t="shared" si="361"/>
        <v>HOLDING REGISTER</v>
      </c>
      <c r="O2590" t="str">
        <f t="shared" si="362"/>
        <v>BOOL</v>
      </c>
      <c r="P2590" t="str">
        <f t="shared" si="363"/>
        <v>JETFAN V3DX</v>
      </c>
      <c r="R2590" t="str">
        <f t="shared" si="364"/>
        <v>Allarme Alimentazione</v>
      </c>
      <c r="U2590" t="str">
        <f t="shared" si="365"/>
        <v>Allarme</v>
      </c>
      <c r="V2590" t="str">
        <f t="shared" si="366"/>
        <v>GALLERIA</v>
      </c>
      <c r="W2590" t="str">
        <f t="shared" si="367"/>
        <v>GALLERIA CASOLA</v>
      </c>
      <c r="Z2590" t="str">
        <f t="shared" si="368"/>
        <v>10.220.80.16</v>
      </c>
    </row>
    <row r="2591" spans="1:26" x14ac:dyDescent="0.25">
      <c r="A2591" t="s">
        <v>10</v>
      </c>
      <c r="B2591" t="s">
        <v>1206</v>
      </c>
      <c r="C2591" t="s">
        <v>2173</v>
      </c>
      <c r="D2591" t="s">
        <v>2174</v>
      </c>
      <c r="E2591" t="s">
        <v>2249</v>
      </c>
      <c r="F2591" t="s">
        <v>14</v>
      </c>
      <c r="G2591" t="s">
        <v>28</v>
      </c>
      <c r="H2591" t="s">
        <v>22</v>
      </c>
      <c r="I2591" t="s">
        <v>3454</v>
      </c>
      <c r="J2591" t="s">
        <v>2181</v>
      </c>
      <c r="K2591" t="str">
        <f t="shared" si="360"/>
        <v>5056.10</v>
      </c>
      <c r="N2591" t="str">
        <f t="shared" si="361"/>
        <v>HOLDING REGISTER</v>
      </c>
      <c r="O2591" t="str">
        <f t="shared" si="362"/>
        <v>BOOL</v>
      </c>
      <c r="P2591" t="str">
        <f t="shared" si="363"/>
        <v>JETFAN V3DX</v>
      </c>
      <c r="R2591" t="str">
        <f t="shared" si="364"/>
        <v>Time Out Avviam. Dir. Nord</v>
      </c>
      <c r="U2591" t="str">
        <f t="shared" si="365"/>
        <v>Allarme</v>
      </c>
      <c r="V2591" t="str">
        <f t="shared" si="366"/>
        <v>GALLERIA</v>
      </c>
      <c r="W2591" t="str">
        <f t="shared" si="367"/>
        <v>GALLERIA CASOLA</v>
      </c>
      <c r="Z2591" t="str">
        <f t="shared" si="368"/>
        <v>10.220.80.16</v>
      </c>
    </row>
    <row r="2592" spans="1:26" x14ac:dyDescent="0.25">
      <c r="A2592" t="s">
        <v>10</v>
      </c>
      <c r="B2592" t="s">
        <v>1206</v>
      </c>
      <c r="C2592" t="s">
        <v>2173</v>
      </c>
      <c r="D2592" t="s">
        <v>2174</v>
      </c>
      <c r="E2592" t="s">
        <v>2249</v>
      </c>
      <c r="F2592" t="s">
        <v>14</v>
      </c>
      <c r="G2592" t="s">
        <v>28</v>
      </c>
      <c r="H2592" t="s">
        <v>22</v>
      </c>
      <c r="I2592" t="s">
        <v>3455</v>
      </c>
      <c r="J2592" t="s">
        <v>2183</v>
      </c>
      <c r="K2592" t="str">
        <f t="shared" si="360"/>
        <v>5056.11</v>
      </c>
      <c r="N2592" t="str">
        <f t="shared" si="361"/>
        <v>HOLDING REGISTER</v>
      </c>
      <c r="O2592" t="str">
        <f t="shared" si="362"/>
        <v>BOOL</v>
      </c>
      <c r="P2592" t="str">
        <f t="shared" si="363"/>
        <v>JETFAN V3DX</v>
      </c>
      <c r="R2592" t="str">
        <f t="shared" si="364"/>
        <v>Time Out Avviam. Dir. Sud</v>
      </c>
      <c r="U2592" t="str">
        <f t="shared" si="365"/>
        <v>Allarme</v>
      </c>
      <c r="V2592" t="str">
        <f t="shared" si="366"/>
        <v>GALLERIA</v>
      </c>
      <c r="W2592" t="str">
        <f t="shared" si="367"/>
        <v>GALLERIA CASOLA</v>
      </c>
      <c r="Z2592" t="str">
        <f t="shared" si="368"/>
        <v>10.220.80.16</v>
      </c>
    </row>
    <row r="2593" spans="1:26" x14ac:dyDescent="0.25">
      <c r="A2593" t="s">
        <v>10</v>
      </c>
      <c r="B2593" t="s">
        <v>1206</v>
      </c>
      <c r="C2593" t="s">
        <v>2173</v>
      </c>
      <c r="D2593" t="s">
        <v>2174</v>
      </c>
      <c r="E2593" t="s">
        <v>2249</v>
      </c>
      <c r="F2593" t="s">
        <v>14</v>
      </c>
      <c r="G2593" t="s">
        <v>28</v>
      </c>
      <c r="H2593" t="s">
        <v>22</v>
      </c>
      <c r="I2593" t="s">
        <v>3456</v>
      </c>
      <c r="J2593" t="s">
        <v>2185</v>
      </c>
      <c r="K2593" t="str">
        <f t="shared" si="360"/>
        <v>5056.12</v>
      </c>
      <c r="N2593" t="str">
        <f t="shared" si="361"/>
        <v>HOLDING REGISTER</v>
      </c>
      <c r="O2593" t="str">
        <f t="shared" si="362"/>
        <v>BOOL</v>
      </c>
      <c r="P2593" t="str">
        <f t="shared" si="363"/>
        <v>JETFAN V3DX</v>
      </c>
      <c r="R2593" t="str">
        <f t="shared" si="364"/>
        <v>Allarme Softstart/Differensiale</v>
      </c>
      <c r="U2593" t="str">
        <f t="shared" si="365"/>
        <v>Allarme</v>
      </c>
      <c r="V2593" t="str">
        <f t="shared" si="366"/>
        <v>GALLERIA</v>
      </c>
      <c r="W2593" t="str">
        <f t="shared" si="367"/>
        <v>GALLERIA CASOLA</v>
      </c>
      <c r="Z2593" t="str">
        <f t="shared" si="368"/>
        <v>10.220.80.16</v>
      </c>
    </row>
    <row r="2594" spans="1:26" x14ac:dyDescent="0.25">
      <c r="A2594" t="s">
        <v>10</v>
      </c>
      <c r="B2594" t="s">
        <v>1206</v>
      </c>
      <c r="C2594" t="s">
        <v>2173</v>
      </c>
      <c r="D2594" t="s">
        <v>2174</v>
      </c>
      <c r="E2594" t="s">
        <v>2249</v>
      </c>
      <c r="F2594" t="s">
        <v>14</v>
      </c>
      <c r="G2594" t="s">
        <v>28</v>
      </c>
      <c r="H2594" t="s">
        <v>22</v>
      </c>
      <c r="I2594" t="s">
        <v>3457</v>
      </c>
      <c r="J2594" t="s">
        <v>2187</v>
      </c>
      <c r="K2594" t="str">
        <f t="shared" si="360"/>
        <v>5056.13</v>
      </c>
      <c r="N2594" t="str">
        <f t="shared" si="361"/>
        <v>HOLDING REGISTER</v>
      </c>
      <c r="O2594" t="str">
        <f t="shared" si="362"/>
        <v>BOOL</v>
      </c>
      <c r="P2594" t="str">
        <f t="shared" si="363"/>
        <v>JETFAN V3DX</v>
      </c>
      <c r="R2594" t="str">
        <f t="shared" si="364"/>
        <v>Preallarme Vibrazione</v>
      </c>
      <c r="U2594" t="str">
        <f t="shared" si="365"/>
        <v>Allarme</v>
      </c>
      <c r="V2594" t="str">
        <f t="shared" si="366"/>
        <v>GALLERIA</v>
      </c>
      <c r="W2594" t="str">
        <f t="shared" si="367"/>
        <v>GALLERIA CASOLA</v>
      </c>
      <c r="Z2594" t="str">
        <f t="shared" si="368"/>
        <v>10.220.80.16</v>
      </c>
    </row>
    <row r="2595" spans="1:26" x14ac:dyDescent="0.25">
      <c r="A2595" t="s">
        <v>10</v>
      </c>
      <c r="B2595" t="s">
        <v>1206</v>
      </c>
      <c r="C2595" t="s">
        <v>2173</v>
      </c>
      <c r="D2595" t="s">
        <v>2174</v>
      </c>
      <c r="E2595" t="s">
        <v>2249</v>
      </c>
      <c r="F2595" t="s">
        <v>14</v>
      </c>
      <c r="G2595" t="s">
        <v>28</v>
      </c>
      <c r="H2595" t="s">
        <v>22</v>
      </c>
      <c r="I2595" t="s">
        <v>3458</v>
      </c>
      <c r="J2595" t="s">
        <v>2189</v>
      </c>
      <c r="K2595" t="str">
        <f t="shared" si="360"/>
        <v>5056.14</v>
      </c>
      <c r="N2595" t="str">
        <f t="shared" si="361"/>
        <v>HOLDING REGISTER</v>
      </c>
      <c r="O2595" t="str">
        <f t="shared" si="362"/>
        <v>BOOL</v>
      </c>
      <c r="P2595" t="str">
        <f t="shared" si="363"/>
        <v>JETFAN V3DX</v>
      </c>
      <c r="R2595" t="str">
        <f t="shared" si="364"/>
        <v>Allarme Vibrazione</v>
      </c>
      <c r="U2595" t="str">
        <f t="shared" si="365"/>
        <v>Allarme</v>
      </c>
      <c r="V2595" t="str">
        <f t="shared" si="366"/>
        <v>GALLERIA</v>
      </c>
      <c r="W2595" t="str">
        <f t="shared" si="367"/>
        <v>GALLERIA CASOLA</v>
      </c>
      <c r="Z2595" t="str">
        <f t="shared" si="368"/>
        <v>10.220.80.16</v>
      </c>
    </row>
    <row r="2596" spans="1:26" x14ac:dyDescent="0.25">
      <c r="A2596" t="s">
        <v>10</v>
      </c>
      <c r="B2596" t="s">
        <v>1206</v>
      </c>
      <c r="C2596" t="s">
        <v>2173</v>
      </c>
      <c r="D2596" t="s">
        <v>2174</v>
      </c>
      <c r="E2596" t="s">
        <v>2249</v>
      </c>
      <c r="F2596" t="s">
        <v>14</v>
      </c>
      <c r="G2596" t="s">
        <v>28</v>
      </c>
      <c r="H2596" t="s">
        <v>22</v>
      </c>
      <c r="I2596" t="s">
        <v>3459</v>
      </c>
      <c r="J2596" t="s">
        <v>2191</v>
      </c>
      <c r="K2596" t="str">
        <f t="shared" si="360"/>
        <v>5056.15</v>
      </c>
      <c r="N2596" t="str">
        <f t="shared" si="361"/>
        <v>HOLDING REGISTER</v>
      </c>
      <c r="O2596" t="str">
        <f t="shared" si="362"/>
        <v>BOOL</v>
      </c>
      <c r="P2596" t="str">
        <f t="shared" si="363"/>
        <v>JETFAN V3DX</v>
      </c>
      <c r="R2596" t="str">
        <f t="shared" si="364"/>
        <v>Sensore Vibrazioni Scollegato</v>
      </c>
      <c r="U2596" t="str">
        <f t="shared" si="365"/>
        <v>Allarme</v>
      </c>
      <c r="V2596" t="str">
        <f t="shared" si="366"/>
        <v>GALLERIA</v>
      </c>
      <c r="W2596" t="str">
        <f t="shared" si="367"/>
        <v>GALLERIA CASOLA</v>
      </c>
      <c r="Z2596" t="str">
        <f t="shared" si="368"/>
        <v>10.220.80.16</v>
      </c>
    </row>
    <row r="2597" spans="1:26" x14ac:dyDescent="0.25">
      <c r="A2597" t="s">
        <v>10</v>
      </c>
      <c r="B2597" t="s">
        <v>1206</v>
      </c>
      <c r="C2597" t="s">
        <v>2173</v>
      </c>
      <c r="D2597" t="s">
        <v>2174</v>
      </c>
      <c r="E2597" t="s">
        <v>2249</v>
      </c>
      <c r="F2597" t="s">
        <v>14</v>
      </c>
      <c r="G2597" t="s">
        <v>28</v>
      </c>
      <c r="H2597" t="s">
        <v>22</v>
      </c>
      <c r="I2597" t="s">
        <v>3460</v>
      </c>
      <c r="J2597" t="s">
        <v>2193</v>
      </c>
      <c r="K2597" t="str">
        <f t="shared" si="360"/>
        <v>5057.0</v>
      </c>
      <c r="N2597" t="str">
        <f t="shared" si="361"/>
        <v>HOLDING REGISTER</v>
      </c>
      <c r="O2597" t="str">
        <f t="shared" si="362"/>
        <v>BOOL</v>
      </c>
      <c r="P2597" t="str">
        <f t="shared" si="363"/>
        <v>JETFAN V3DX</v>
      </c>
      <c r="R2597" t="str">
        <f t="shared" si="364"/>
        <v>Allarme Orizzontalita'</v>
      </c>
      <c r="U2597" t="str">
        <f t="shared" si="365"/>
        <v>Allarme</v>
      </c>
      <c r="V2597" t="str">
        <f t="shared" si="366"/>
        <v>GALLERIA</v>
      </c>
      <c r="W2597" t="str">
        <f t="shared" si="367"/>
        <v>GALLERIA CASOLA</v>
      </c>
      <c r="Z2597" t="str">
        <f t="shared" si="368"/>
        <v>10.220.80.16</v>
      </c>
    </row>
    <row r="2598" spans="1:26" x14ac:dyDescent="0.25">
      <c r="A2598" t="s">
        <v>10</v>
      </c>
      <c r="B2598" t="s">
        <v>1206</v>
      </c>
      <c r="C2598" t="s">
        <v>2173</v>
      </c>
      <c r="D2598" t="s">
        <v>2174</v>
      </c>
      <c r="E2598" t="s">
        <v>2249</v>
      </c>
      <c r="F2598" t="s">
        <v>14</v>
      </c>
      <c r="G2598" t="s">
        <v>21</v>
      </c>
      <c r="H2598" t="s">
        <v>22</v>
      </c>
      <c r="I2598" t="s">
        <v>3461</v>
      </c>
      <c r="J2598" t="s">
        <v>2195</v>
      </c>
      <c r="K2598" t="str">
        <f t="shared" si="360"/>
        <v>5057.1</v>
      </c>
      <c r="N2598" t="str">
        <f t="shared" si="361"/>
        <v>HOLDING REGISTER</v>
      </c>
      <c r="O2598" t="str">
        <f t="shared" si="362"/>
        <v>BOOL</v>
      </c>
      <c r="P2598" t="str">
        <f t="shared" si="363"/>
        <v>JETFAN V3DX</v>
      </c>
      <c r="R2598" t="str">
        <f t="shared" si="364"/>
        <v>In Avviamento</v>
      </c>
      <c r="U2598" t="str">
        <f t="shared" si="365"/>
        <v>Stato</v>
      </c>
      <c r="V2598" t="str">
        <f t="shared" si="366"/>
        <v>GALLERIA</v>
      </c>
      <c r="W2598" t="str">
        <f t="shared" si="367"/>
        <v>GALLERIA CASOLA</v>
      </c>
      <c r="Z2598" t="str">
        <f t="shared" si="368"/>
        <v>10.220.80.16</v>
      </c>
    </row>
    <row r="2599" spans="1:26" x14ac:dyDescent="0.25">
      <c r="A2599" t="s">
        <v>10</v>
      </c>
      <c r="B2599" t="s">
        <v>1206</v>
      </c>
      <c r="C2599" t="s">
        <v>2173</v>
      </c>
      <c r="D2599" t="s">
        <v>2174</v>
      </c>
      <c r="E2599" t="s">
        <v>2249</v>
      </c>
      <c r="F2599" t="s">
        <v>14</v>
      </c>
      <c r="G2599" t="s">
        <v>21</v>
      </c>
      <c r="H2599" t="s">
        <v>22</v>
      </c>
      <c r="I2599" t="s">
        <v>3462</v>
      </c>
      <c r="J2599" t="s">
        <v>2197</v>
      </c>
      <c r="K2599" t="str">
        <f t="shared" si="360"/>
        <v>5057.2</v>
      </c>
      <c r="N2599" t="str">
        <f t="shared" si="361"/>
        <v>HOLDING REGISTER</v>
      </c>
      <c r="O2599" t="str">
        <f t="shared" si="362"/>
        <v>BOOL</v>
      </c>
      <c r="P2599" t="str">
        <f t="shared" si="363"/>
        <v>JETFAN V3DX</v>
      </c>
      <c r="R2599" t="str">
        <f t="shared" si="364"/>
        <v>In Marcia</v>
      </c>
      <c r="U2599" t="str">
        <f t="shared" si="365"/>
        <v>Stato</v>
      </c>
      <c r="V2599" t="str">
        <f t="shared" si="366"/>
        <v>GALLERIA</v>
      </c>
      <c r="W2599" t="str">
        <f t="shared" si="367"/>
        <v>GALLERIA CASOLA</v>
      </c>
      <c r="Z2599" t="str">
        <f t="shared" si="368"/>
        <v>10.220.80.16</v>
      </c>
    </row>
    <row r="2600" spans="1:26" x14ac:dyDescent="0.25">
      <c r="A2600" t="s">
        <v>10</v>
      </c>
      <c r="B2600" t="s">
        <v>1206</v>
      </c>
      <c r="C2600" t="s">
        <v>2173</v>
      </c>
      <c r="D2600" t="s">
        <v>2174</v>
      </c>
      <c r="E2600" t="s">
        <v>2249</v>
      </c>
      <c r="F2600" t="s">
        <v>14</v>
      </c>
      <c r="G2600" t="s">
        <v>21</v>
      </c>
      <c r="H2600" t="s">
        <v>22</v>
      </c>
      <c r="I2600" t="s">
        <v>3463</v>
      </c>
      <c r="J2600" t="s">
        <v>2199</v>
      </c>
      <c r="K2600" t="str">
        <f t="shared" si="360"/>
        <v>5057.3</v>
      </c>
      <c r="N2600" t="str">
        <f t="shared" si="361"/>
        <v>HOLDING REGISTER</v>
      </c>
      <c r="O2600" t="str">
        <f t="shared" si="362"/>
        <v>BOOL</v>
      </c>
      <c r="P2600" t="str">
        <f t="shared" si="363"/>
        <v>JETFAN V3DX</v>
      </c>
      <c r="R2600" t="str">
        <f t="shared" si="364"/>
        <v>In Arresto</v>
      </c>
      <c r="U2600" t="str">
        <f t="shared" si="365"/>
        <v>Stato</v>
      </c>
      <c r="V2600" t="str">
        <f t="shared" si="366"/>
        <v>GALLERIA</v>
      </c>
      <c r="W2600" t="str">
        <f t="shared" si="367"/>
        <v>GALLERIA CASOLA</v>
      </c>
      <c r="Z2600" t="str">
        <f t="shared" si="368"/>
        <v>10.220.80.16</v>
      </c>
    </row>
    <row r="2601" spans="1:26" x14ac:dyDescent="0.25">
      <c r="A2601" t="s">
        <v>10</v>
      </c>
      <c r="B2601" t="s">
        <v>1206</v>
      </c>
      <c r="C2601" t="s">
        <v>2173</v>
      </c>
      <c r="D2601" t="s">
        <v>2174</v>
      </c>
      <c r="E2601" t="s">
        <v>2249</v>
      </c>
      <c r="F2601" t="s">
        <v>14</v>
      </c>
      <c r="G2601" t="s">
        <v>21</v>
      </c>
      <c r="H2601" t="s">
        <v>22</v>
      </c>
      <c r="I2601" t="s">
        <v>3464</v>
      </c>
      <c r="J2601" t="s">
        <v>2201</v>
      </c>
      <c r="K2601" t="str">
        <f t="shared" si="360"/>
        <v>5057.4</v>
      </c>
      <c r="N2601" t="str">
        <f t="shared" si="361"/>
        <v>HOLDING REGISTER</v>
      </c>
      <c r="O2601" t="str">
        <f t="shared" si="362"/>
        <v>BOOL</v>
      </c>
      <c r="P2601" t="str">
        <f t="shared" si="363"/>
        <v>JETFAN V3DX</v>
      </c>
      <c r="R2601" t="str">
        <f t="shared" si="364"/>
        <v>Incluso Da Scada</v>
      </c>
      <c r="U2601" t="str">
        <f t="shared" si="365"/>
        <v>Stato</v>
      </c>
      <c r="V2601" t="str">
        <f t="shared" si="366"/>
        <v>GALLERIA</v>
      </c>
      <c r="W2601" t="str">
        <f t="shared" si="367"/>
        <v>GALLERIA CASOLA</v>
      </c>
      <c r="Z2601" t="str">
        <f t="shared" si="368"/>
        <v>10.220.80.16</v>
      </c>
    </row>
    <row r="2602" spans="1:26" x14ac:dyDescent="0.25">
      <c r="A2602" t="s">
        <v>10</v>
      </c>
      <c r="B2602" t="s">
        <v>1206</v>
      </c>
      <c r="C2602" t="s">
        <v>2173</v>
      </c>
      <c r="D2602" t="s">
        <v>2174</v>
      </c>
      <c r="E2602" t="s">
        <v>2249</v>
      </c>
      <c r="F2602" t="s">
        <v>14</v>
      </c>
      <c r="G2602" t="s">
        <v>21</v>
      </c>
      <c r="H2602" t="s">
        <v>22</v>
      </c>
      <c r="I2602" t="s">
        <v>3465</v>
      </c>
      <c r="J2602" t="s">
        <v>2203</v>
      </c>
      <c r="K2602" t="str">
        <f t="shared" si="360"/>
        <v>5057.5</v>
      </c>
      <c r="N2602" t="str">
        <f t="shared" si="361"/>
        <v>HOLDING REGISTER</v>
      </c>
      <c r="O2602" t="str">
        <f t="shared" si="362"/>
        <v>BOOL</v>
      </c>
      <c r="P2602" t="str">
        <f t="shared" si="363"/>
        <v>JETFAN V3DX</v>
      </c>
      <c r="R2602" t="str">
        <f t="shared" si="364"/>
        <v>In Manuale Da Scada</v>
      </c>
      <c r="U2602" t="str">
        <f t="shared" si="365"/>
        <v>Stato</v>
      </c>
      <c r="V2602" t="str">
        <f t="shared" si="366"/>
        <v>GALLERIA</v>
      </c>
      <c r="W2602" t="str">
        <f t="shared" si="367"/>
        <v>GALLERIA CASOLA</v>
      </c>
      <c r="Z2602" t="str">
        <f t="shared" si="368"/>
        <v>10.220.80.16</v>
      </c>
    </row>
    <row r="2603" spans="1:26" x14ac:dyDescent="0.25">
      <c r="A2603" t="s">
        <v>10</v>
      </c>
      <c r="B2603" t="s">
        <v>1206</v>
      </c>
      <c r="C2603" t="s">
        <v>2173</v>
      </c>
      <c r="D2603" t="s">
        <v>2174</v>
      </c>
      <c r="E2603" t="s">
        <v>2264</v>
      </c>
      <c r="F2603" t="s">
        <v>14</v>
      </c>
      <c r="G2603" t="s">
        <v>28</v>
      </c>
      <c r="H2603" t="s">
        <v>22</v>
      </c>
      <c r="I2603" t="s">
        <v>3466</v>
      </c>
      <c r="J2603" t="s">
        <v>2177</v>
      </c>
      <c r="K2603" t="str">
        <f t="shared" si="360"/>
        <v>5057.6</v>
      </c>
      <c r="N2603" t="str">
        <f t="shared" si="361"/>
        <v>HOLDING REGISTER</v>
      </c>
      <c r="O2603" t="str">
        <f t="shared" si="362"/>
        <v>BOOL</v>
      </c>
      <c r="P2603" t="str">
        <f t="shared" si="363"/>
        <v>JETFAN V3SX</v>
      </c>
      <c r="R2603" t="str">
        <f t="shared" si="364"/>
        <v>Intervento Protezione Motore</v>
      </c>
      <c r="U2603" t="str">
        <f t="shared" si="365"/>
        <v>Allarme</v>
      </c>
      <c r="V2603" t="str">
        <f t="shared" si="366"/>
        <v>GALLERIA</v>
      </c>
      <c r="W2603" t="str">
        <f t="shared" si="367"/>
        <v>GALLERIA CASOLA</v>
      </c>
      <c r="Z2603" t="str">
        <f t="shared" si="368"/>
        <v>10.220.80.16</v>
      </c>
    </row>
    <row r="2604" spans="1:26" x14ac:dyDescent="0.25">
      <c r="A2604" t="s">
        <v>10</v>
      </c>
      <c r="B2604" t="s">
        <v>1206</v>
      </c>
      <c r="C2604" t="s">
        <v>2173</v>
      </c>
      <c r="D2604" t="s">
        <v>2174</v>
      </c>
      <c r="E2604" t="s">
        <v>2264</v>
      </c>
      <c r="F2604" t="s">
        <v>14</v>
      </c>
      <c r="G2604" t="s">
        <v>28</v>
      </c>
      <c r="H2604" t="s">
        <v>22</v>
      </c>
      <c r="I2604" t="s">
        <v>3467</v>
      </c>
      <c r="J2604" t="s">
        <v>2179</v>
      </c>
      <c r="K2604" t="str">
        <f t="shared" si="360"/>
        <v>5057.7</v>
      </c>
      <c r="N2604" t="str">
        <f t="shared" si="361"/>
        <v>HOLDING REGISTER</v>
      </c>
      <c r="O2604" t="str">
        <f t="shared" si="362"/>
        <v>BOOL</v>
      </c>
      <c r="P2604" t="str">
        <f t="shared" si="363"/>
        <v>JETFAN V3SX</v>
      </c>
      <c r="R2604" t="str">
        <f t="shared" si="364"/>
        <v>Allarme Alimentazione</v>
      </c>
      <c r="U2604" t="str">
        <f t="shared" si="365"/>
        <v>Allarme</v>
      </c>
      <c r="V2604" t="str">
        <f t="shared" si="366"/>
        <v>GALLERIA</v>
      </c>
      <c r="W2604" t="str">
        <f t="shared" si="367"/>
        <v>GALLERIA CASOLA</v>
      </c>
      <c r="Z2604" t="str">
        <f t="shared" si="368"/>
        <v>10.220.80.16</v>
      </c>
    </row>
    <row r="2605" spans="1:26" x14ac:dyDescent="0.25">
      <c r="A2605" t="s">
        <v>10</v>
      </c>
      <c r="B2605" t="s">
        <v>1206</v>
      </c>
      <c r="C2605" t="s">
        <v>2173</v>
      </c>
      <c r="D2605" t="s">
        <v>2174</v>
      </c>
      <c r="E2605" t="s">
        <v>2264</v>
      </c>
      <c r="F2605" t="s">
        <v>14</v>
      </c>
      <c r="G2605" t="s">
        <v>28</v>
      </c>
      <c r="H2605" t="s">
        <v>22</v>
      </c>
      <c r="I2605" t="s">
        <v>3468</v>
      </c>
      <c r="J2605" t="s">
        <v>2181</v>
      </c>
      <c r="K2605" t="str">
        <f t="shared" si="360"/>
        <v>5057.8</v>
      </c>
      <c r="N2605" t="str">
        <f t="shared" si="361"/>
        <v>HOLDING REGISTER</v>
      </c>
      <c r="O2605" t="str">
        <f t="shared" si="362"/>
        <v>BOOL</v>
      </c>
      <c r="P2605" t="str">
        <f t="shared" si="363"/>
        <v>JETFAN V3SX</v>
      </c>
      <c r="R2605" t="str">
        <f t="shared" si="364"/>
        <v>Time Out Avviam. Dir. Nord</v>
      </c>
      <c r="U2605" t="str">
        <f t="shared" si="365"/>
        <v>Allarme</v>
      </c>
      <c r="V2605" t="str">
        <f t="shared" si="366"/>
        <v>GALLERIA</v>
      </c>
      <c r="W2605" t="str">
        <f t="shared" si="367"/>
        <v>GALLERIA CASOLA</v>
      </c>
      <c r="Z2605" t="str">
        <f t="shared" si="368"/>
        <v>10.220.80.16</v>
      </c>
    </row>
    <row r="2606" spans="1:26" x14ac:dyDescent="0.25">
      <c r="A2606" t="s">
        <v>10</v>
      </c>
      <c r="B2606" t="s">
        <v>1206</v>
      </c>
      <c r="C2606" t="s">
        <v>2173</v>
      </c>
      <c r="D2606" t="s">
        <v>2174</v>
      </c>
      <c r="E2606" t="s">
        <v>2264</v>
      </c>
      <c r="F2606" t="s">
        <v>14</v>
      </c>
      <c r="G2606" t="s">
        <v>28</v>
      </c>
      <c r="H2606" t="s">
        <v>22</v>
      </c>
      <c r="I2606" t="s">
        <v>3469</v>
      </c>
      <c r="J2606" t="s">
        <v>2183</v>
      </c>
      <c r="K2606" t="str">
        <f t="shared" si="360"/>
        <v>5057.9</v>
      </c>
      <c r="N2606" t="str">
        <f t="shared" si="361"/>
        <v>HOLDING REGISTER</v>
      </c>
      <c r="O2606" t="str">
        <f t="shared" si="362"/>
        <v>BOOL</v>
      </c>
      <c r="P2606" t="str">
        <f t="shared" si="363"/>
        <v>JETFAN V3SX</v>
      </c>
      <c r="R2606" t="str">
        <f t="shared" si="364"/>
        <v>Time Out Avviam. Dir. Sud</v>
      </c>
      <c r="U2606" t="str">
        <f t="shared" si="365"/>
        <v>Allarme</v>
      </c>
      <c r="V2606" t="str">
        <f t="shared" si="366"/>
        <v>GALLERIA</v>
      </c>
      <c r="W2606" t="str">
        <f t="shared" si="367"/>
        <v>GALLERIA CASOLA</v>
      </c>
      <c r="Z2606" t="str">
        <f t="shared" si="368"/>
        <v>10.220.80.16</v>
      </c>
    </row>
    <row r="2607" spans="1:26" x14ac:dyDescent="0.25">
      <c r="A2607" t="s">
        <v>10</v>
      </c>
      <c r="B2607" t="s">
        <v>1206</v>
      </c>
      <c r="C2607" t="s">
        <v>2173</v>
      </c>
      <c r="D2607" t="s">
        <v>2174</v>
      </c>
      <c r="E2607" t="s">
        <v>2264</v>
      </c>
      <c r="F2607" t="s">
        <v>14</v>
      </c>
      <c r="G2607" t="s">
        <v>28</v>
      </c>
      <c r="H2607" t="s">
        <v>22</v>
      </c>
      <c r="I2607" t="s">
        <v>3470</v>
      </c>
      <c r="J2607" t="s">
        <v>2185</v>
      </c>
      <c r="K2607" t="str">
        <f t="shared" si="360"/>
        <v>5057.10</v>
      </c>
      <c r="N2607" t="str">
        <f t="shared" si="361"/>
        <v>HOLDING REGISTER</v>
      </c>
      <c r="O2607" t="str">
        <f t="shared" si="362"/>
        <v>BOOL</v>
      </c>
      <c r="P2607" t="str">
        <f t="shared" si="363"/>
        <v>JETFAN V3SX</v>
      </c>
      <c r="R2607" t="str">
        <f t="shared" si="364"/>
        <v>Allarme Softstart/Differensiale</v>
      </c>
      <c r="U2607" t="str">
        <f t="shared" si="365"/>
        <v>Allarme</v>
      </c>
      <c r="V2607" t="str">
        <f t="shared" si="366"/>
        <v>GALLERIA</v>
      </c>
      <c r="W2607" t="str">
        <f t="shared" si="367"/>
        <v>GALLERIA CASOLA</v>
      </c>
      <c r="Z2607" t="str">
        <f t="shared" si="368"/>
        <v>10.220.80.16</v>
      </c>
    </row>
    <row r="2608" spans="1:26" x14ac:dyDescent="0.25">
      <c r="A2608" t="s">
        <v>10</v>
      </c>
      <c r="B2608" t="s">
        <v>1206</v>
      </c>
      <c r="C2608" t="s">
        <v>2173</v>
      </c>
      <c r="D2608" t="s">
        <v>2174</v>
      </c>
      <c r="E2608" t="s">
        <v>2264</v>
      </c>
      <c r="F2608" t="s">
        <v>14</v>
      </c>
      <c r="G2608" t="s">
        <v>28</v>
      </c>
      <c r="H2608" t="s">
        <v>22</v>
      </c>
      <c r="I2608" t="s">
        <v>3471</v>
      </c>
      <c r="J2608" t="s">
        <v>2187</v>
      </c>
      <c r="K2608" t="str">
        <f t="shared" si="360"/>
        <v>5057.11</v>
      </c>
      <c r="N2608" t="str">
        <f t="shared" si="361"/>
        <v>HOLDING REGISTER</v>
      </c>
      <c r="O2608" t="str">
        <f t="shared" si="362"/>
        <v>BOOL</v>
      </c>
      <c r="P2608" t="str">
        <f t="shared" si="363"/>
        <v>JETFAN V3SX</v>
      </c>
      <c r="R2608" t="str">
        <f t="shared" si="364"/>
        <v>Preallarme Vibrazione</v>
      </c>
      <c r="U2608" t="str">
        <f t="shared" si="365"/>
        <v>Allarme</v>
      </c>
      <c r="V2608" t="str">
        <f t="shared" si="366"/>
        <v>GALLERIA</v>
      </c>
      <c r="W2608" t="str">
        <f t="shared" si="367"/>
        <v>GALLERIA CASOLA</v>
      </c>
      <c r="Z2608" t="str">
        <f t="shared" si="368"/>
        <v>10.220.80.16</v>
      </c>
    </row>
    <row r="2609" spans="1:26" x14ac:dyDescent="0.25">
      <c r="A2609" t="s">
        <v>10</v>
      </c>
      <c r="B2609" t="s">
        <v>1206</v>
      </c>
      <c r="C2609" t="s">
        <v>2173</v>
      </c>
      <c r="D2609" t="s">
        <v>2174</v>
      </c>
      <c r="E2609" t="s">
        <v>2264</v>
      </c>
      <c r="F2609" t="s">
        <v>14</v>
      </c>
      <c r="G2609" t="s">
        <v>28</v>
      </c>
      <c r="H2609" t="s">
        <v>22</v>
      </c>
      <c r="I2609" t="s">
        <v>3472</v>
      </c>
      <c r="J2609" t="s">
        <v>2189</v>
      </c>
      <c r="K2609" t="str">
        <f t="shared" si="360"/>
        <v>5057.12</v>
      </c>
      <c r="N2609" t="str">
        <f t="shared" si="361"/>
        <v>HOLDING REGISTER</v>
      </c>
      <c r="O2609" t="str">
        <f t="shared" si="362"/>
        <v>BOOL</v>
      </c>
      <c r="P2609" t="str">
        <f t="shared" si="363"/>
        <v>JETFAN V3SX</v>
      </c>
      <c r="R2609" t="str">
        <f t="shared" si="364"/>
        <v>Allarme Vibrazione</v>
      </c>
      <c r="U2609" t="str">
        <f t="shared" si="365"/>
        <v>Allarme</v>
      </c>
      <c r="V2609" t="str">
        <f t="shared" si="366"/>
        <v>GALLERIA</v>
      </c>
      <c r="W2609" t="str">
        <f t="shared" si="367"/>
        <v>GALLERIA CASOLA</v>
      </c>
      <c r="Z2609" t="str">
        <f t="shared" si="368"/>
        <v>10.220.80.16</v>
      </c>
    </row>
    <row r="2610" spans="1:26" x14ac:dyDescent="0.25">
      <c r="A2610" t="s">
        <v>10</v>
      </c>
      <c r="B2610" t="s">
        <v>1206</v>
      </c>
      <c r="C2610" t="s">
        <v>2173</v>
      </c>
      <c r="D2610" t="s">
        <v>2174</v>
      </c>
      <c r="E2610" t="s">
        <v>2264</v>
      </c>
      <c r="F2610" t="s">
        <v>14</v>
      </c>
      <c r="G2610" t="s">
        <v>28</v>
      </c>
      <c r="H2610" t="s">
        <v>22</v>
      </c>
      <c r="I2610" t="s">
        <v>3473</v>
      </c>
      <c r="J2610" t="s">
        <v>2191</v>
      </c>
      <c r="K2610" t="str">
        <f t="shared" si="360"/>
        <v>5057.13</v>
      </c>
      <c r="N2610" t="str">
        <f t="shared" si="361"/>
        <v>HOLDING REGISTER</v>
      </c>
      <c r="O2610" t="str">
        <f t="shared" si="362"/>
        <v>BOOL</v>
      </c>
      <c r="P2610" t="str">
        <f t="shared" si="363"/>
        <v>JETFAN V3SX</v>
      </c>
      <c r="R2610" t="str">
        <f t="shared" si="364"/>
        <v>Sensore Vibrazioni Scollegato</v>
      </c>
      <c r="U2610" t="str">
        <f t="shared" si="365"/>
        <v>Allarme</v>
      </c>
      <c r="V2610" t="str">
        <f t="shared" si="366"/>
        <v>GALLERIA</v>
      </c>
      <c r="W2610" t="str">
        <f t="shared" si="367"/>
        <v>GALLERIA CASOLA</v>
      </c>
      <c r="Z2610" t="str">
        <f t="shared" si="368"/>
        <v>10.220.80.16</v>
      </c>
    </row>
    <row r="2611" spans="1:26" x14ac:dyDescent="0.25">
      <c r="A2611" t="s">
        <v>10</v>
      </c>
      <c r="B2611" t="s">
        <v>1206</v>
      </c>
      <c r="C2611" t="s">
        <v>2173</v>
      </c>
      <c r="D2611" t="s">
        <v>2174</v>
      </c>
      <c r="E2611" t="s">
        <v>2264</v>
      </c>
      <c r="F2611" t="s">
        <v>14</v>
      </c>
      <c r="G2611" t="s">
        <v>28</v>
      </c>
      <c r="H2611" t="s">
        <v>22</v>
      </c>
      <c r="I2611" t="s">
        <v>3474</v>
      </c>
      <c r="J2611" t="s">
        <v>2193</v>
      </c>
      <c r="K2611" t="str">
        <f t="shared" si="360"/>
        <v>5057.14</v>
      </c>
      <c r="N2611" t="str">
        <f t="shared" si="361"/>
        <v>HOLDING REGISTER</v>
      </c>
      <c r="O2611" t="str">
        <f t="shared" si="362"/>
        <v>BOOL</v>
      </c>
      <c r="P2611" t="str">
        <f t="shared" si="363"/>
        <v>JETFAN V3SX</v>
      </c>
      <c r="R2611" t="str">
        <f t="shared" si="364"/>
        <v>Allarme Orizzontalita'</v>
      </c>
      <c r="U2611" t="str">
        <f t="shared" si="365"/>
        <v>Allarme</v>
      </c>
      <c r="V2611" t="str">
        <f t="shared" si="366"/>
        <v>GALLERIA</v>
      </c>
      <c r="W2611" t="str">
        <f t="shared" si="367"/>
        <v>GALLERIA CASOLA</v>
      </c>
      <c r="Z2611" t="str">
        <f t="shared" si="368"/>
        <v>10.220.80.16</v>
      </c>
    </row>
    <row r="2612" spans="1:26" x14ac:dyDescent="0.25">
      <c r="A2612" t="s">
        <v>10</v>
      </c>
      <c r="B2612" t="s">
        <v>1206</v>
      </c>
      <c r="C2612" t="s">
        <v>2173</v>
      </c>
      <c r="D2612" t="s">
        <v>2174</v>
      </c>
      <c r="E2612" t="s">
        <v>2264</v>
      </c>
      <c r="F2612" t="s">
        <v>14</v>
      </c>
      <c r="G2612" t="s">
        <v>21</v>
      </c>
      <c r="H2612" t="s">
        <v>22</v>
      </c>
      <c r="I2612" t="s">
        <v>3475</v>
      </c>
      <c r="J2612" t="s">
        <v>2195</v>
      </c>
      <c r="K2612" t="str">
        <f t="shared" si="360"/>
        <v>5057.15</v>
      </c>
      <c r="N2612" t="str">
        <f t="shared" si="361"/>
        <v>HOLDING REGISTER</v>
      </c>
      <c r="O2612" t="str">
        <f t="shared" si="362"/>
        <v>BOOL</v>
      </c>
      <c r="P2612" t="str">
        <f t="shared" si="363"/>
        <v>JETFAN V3SX</v>
      </c>
      <c r="R2612" t="str">
        <f t="shared" si="364"/>
        <v>In Avviamento</v>
      </c>
      <c r="U2612" t="str">
        <f t="shared" si="365"/>
        <v>Stato</v>
      </c>
      <c r="V2612" t="str">
        <f t="shared" si="366"/>
        <v>GALLERIA</v>
      </c>
      <c r="W2612" t="str">
        <f t="shared" si="367"/>
        <v>GALLERIA CASOLA</v>
      </c>
      <c r="Z2612" t="str">
        <f t="shared" si="368"/>
        <v>10.220.80.16</v>
      </c>
    </row>
    <row r="2613" spans="1:26" x14ac:dyDescent="0.25">
      <c r="A2613" t="s">
        <v>10</v>
      </c>
      <c r="B2613" t="s">
        <v>1206</v>
      </c>
      <c r="C2613" t="s">
        <v>2173</v>
      </c>
      <c r="D2613" t="s">
        <v>2174</v>
      </c>
      <c r="E2613" t="s">
        <v>2264</v>
      </c>
      <c r="F2613" t="s">
        <v>14</v>
      </c>
      <c r="G2613" t="s">
        <v>21</v>
      </c>
      <c r="H2613" t="s">
        <v>22</v>
      </c>
      <c r="I2613" t="s">
        <v>3476</v>
      </c>
      <c r="J2613" t="s">
        <v>2197</v>
      </c>
      <c r="K2613" t="str">
        <f t="shared" si="360"/>
        <v>5058.0</v>
      </c>
      <c r="N2613" t="str">
        <f t="shared" si="361"/>
        <v>HOLDING REGISTER</v>
      </c>
      <c r="O2613" t="str">
        <f t="shared" si="362"/>
        <v>BOOL</v>
      </c>
      <c r="P2613" t="str">
        <f t="shared" si="363"/>
        <v>JETFAN V3SX</v>
      </c>
      <c r="R2613" t="str">
        <f t="shared" si="364"/>
        <v>In Marcia</v>
      </c>
      <c r="U2613" t="str">
        <f t="shared" si="365"/>
        <v>Stato</v>
      </c>
      <c r="V2613" t="str">
        <f t="shared" si="366"/>
        <v>GALLERIA</v>
      </c>
      <c r="W2613" t="str">
        <f t="shared" si="367"/>
        <v>GALLERIA CASOLA</v>
      </c>
      <c r="Z2613" t="str">
        <f t="shared" si="368"/>
        <v>10.220.80.16</v>
      </c>
    </row>
    <row r="2614" spans="1:26" x14ac:dyDescent="0.25">
      <c r="A2614" t="s">
        <v>10</v>
      </c>
      <c r="B2614" t="s">
        <v>1206</v>
      </c>
      <c r="C2614" t="s">
        <v>2173</v>
      </c>
      <c r="D2614" t="s">
        <v>2174</v>
      </c>
      <c r="E2614" t="s">
        <v>2264</v>
      </c>
      <c r="F2614" t="s">
        <v>14</v>
      </c>
      <c r="G2614" t="s">
        <v>21</v>
      </c>
      <c r="H2614" t="s">
        <v>22</v>
      </c>
      <c r="I2614" t="s">
        <v>3477</v>
      </c>
      <c r="J2614" t="s">
        <v>2199</v>
      </c>
      <c r="K2614" t="str">
        <f t="shared" si="360"/>
        <v>5058.1</v>
      </c>
      <c r="N2614" t="str">
        <f t="shared" si="361"/>
        <v>HOLDING REGISTER</v>
      </c>
      <c r="O2614" t="str">
        <f t="shared" si="362"/>
        <v>BOOL</v>
      </c>
      <c r="P2614" t="str">
        <f t="shared" si="363"/>
        <v>JETFAN V3SX</v>
      </c>
      <c r="R2614" t="str">
        <f t="shared" si="364"/>
        <v>In Arresto</v>
      </c>
      <c r="U2614" t="str">
        <f t="shared" si="365"/>
        <v>Stato</v>
      </c>
      <c r="V2614" t="str">
        <f t="shared" si="366"/>
        <v>GALLERIA</v>
      </c>
      <c r="W2614" t="str">
        <f t="shared" si="367"/>
        <v>GALLERIA CASOLA</v>
      </c>
      <c r="Z2614" t="str">
        <f t="shared" si="368"/>
        <v>10.220.80.16</v>
      </c>
    </row>
    <row r="2615" spans="1:26" x14ac:dyDescent="0.25">
      <c r="A2615" t="s">
        <v>10</v>
      </c>
      <c r="B2615" t="s">
        <v>1206</v>
      </c>
      <c r="C2615" t="s">
        <v>2173</v>
      </c>
      <c r="D2615" t="s">
        <v>2174</v>
      </c>
      <c r="E2615" t="s">
        <v>2264</v>
      </c>
      <c r="F2615" t="s">
        <v>14</v>
      </c>
      <c r="G2615" t="s">
        <v>21</v>
      </c>
      <c r="H2615" t="s">
        <v>22</v>
      </c>
      <c r="I2615" t="s">
        <v>3478</v>
      </c>
      <c r="J2615" t="s">
        <v>2201</v>
      </c>
      <c r="K2615" t="str">
        <f t="shared" si="360"/>
        <v>5058.2</v>
      </c>
      <c r="N2615" t="str">
        <f t="shared" si="361"/>
        <v>HOLDING REGISTER</v>
      </c>
      <c r="O2615" t="str">
        <f t="shared" si="362"/>
        <v>BOOL</v>
      </c>
      <c r="P2615" t="str">
        <f t="shared" si="363"/>
        <v>JETFAN V3SX</v>
      </c>
      <c r="R2615" t="str">
        <f t="shared" si="364"/>
        <v>Incluso Da Scada</v>
      </c>
      <c r="U2615" t="str">
        <f t="shared" si="365"/>
        <v>Stato</v>
      </c>
      <c r="V2615" t="str">
        <f t="shared" si="366"/>
        <v>GALLERIA</v>
      </c>
      <c r="W2615" t="str">
        <f t="shared" si="367"/>
        <v>GALLERIA CASOLA</v>
      </c>
      <c r="Z2615" t="str">
        <f t="shared" si="368"/>
        <v>10.220.80.16</v>
      </c>
    </row>
    <row r="2616" spans="1:26" x14ac:dyDescent="0.25">
      <c r="A2616" t="s">
        <v>10</v>
      </c>
      <c r="B2616" t="s">
        <v>1206</v>
      </c>
      <c r="C2616" t="s">
        <v>2173</v>
      </c>
      <c r="D2616" t="s">
        <v>2174</v>
      </c>
      <c r="E2616" t="s">
        <v>2264</v>
      </c>
      <c r="F2616" t="s">
        <v>14</v>
      </c>
      <c r="G2616" t="s">
        <v>21</v>
      </c>
      <c r="H2616" t="s">
        <v>22</v>
      </c>
      <c r="I2616" t="s">
        <v>3479</v>
      </c>
      <c r="J2616" t="s">
        <v>2203</v>
      </c>
      <c r="K2616" t="str">
        <f t="shared" si="360"/>
        <v>5058.3</v>
      </c>
      <c r="N2616" t="str">
        <f t="shared" si="361"/>
        <v>HOLDING REGISTER</v>
      </c>
      <c r="O2616" t="str">
        <f t="shared" si="362"/>
        <v>BOOL</v>
      </c>
      <c r="P2616" t="str">
        <f t="shared" si="363"/>
        <v>JETFAN V3SX</v>
      </c>
      <c r="R2616" t="str">
        <f t="shared" si="364"/>
        <v>In Manuale Da Scada</v>
      </c>
      <c r="U2616" t="str">
        <f t="shared" si="365"/>
        <v>Stato</v>
      </c>
      <c r="V2616" t="str">
        <f t="shared" si="366"/>
        <v>GALLERIA</v>
      </c>
      <c r="W2616" t="str">
        <f t="shared" si="367"/>
        <v>GALLERIA CASOLA</v>
      </c>
      <c r="Z2616" t="str">
        <f t="shared" si="368"/>
        <v>10.220.80.16</v>
      </c>
    </row>
    <row r="2617" spans="1:26" x14ac:dyDescent="0.25">
      <c r="A2617" t="s">
        <v>10</v>
      </c>
      <c r="B2617" t="s">
        <v>1206</v>
      </c>
      <c r="C2617" t="s">
        <v>2173</v>
      </c>
      <c r="D2617" t="s">
        <v>2174</v>
      </c>
      <c r="E2617" t="s">
        <v>2175</v>
      </c>
      <c r="F2617" t="s">
        <v>14</v>
      </c>
      <c r="G2617" t="s">
        <v>15</v>
      </c>
      <c r="H2617" t="s">
        <v>1295</v>
      </c>
      <c r="I2617">
        <v>5060</v>
      </c>
      <c r="J2617" t="s">
        <v>2309</v>
      </c>
      <c r="K2617">
        <f t="shared" si="360"/>
        <v>5060</v>
      </c>
      <c r="N2617" t="str">
        <f t="shared" si="361"/>
        <v>HOLDING REGISTER</v>
      </c>
      <c r="O2617" t="str">
        <f t="shared" si="362"/>
        <v>REAL</v>
      </c>
      <c r="P2617" t="str">
        <f t="shared" si="363"/>
        <v>JETFAN V1DX</v>
      </c>
      <c r="R2617" t="str">
        <f t="shared" si="364"/>
        <v>Misura Vibrazioni Motore</v>
      </c>
      <c r="U2617" t="str">
        <f t="shared" si="365"/>
        <v>Misura</v>
      </c>
      <c r="V2617" t="str">
        <f t="shared" si="366"/>
        <v>GALLERIA</v>
      </c>
      <c r="W2617" t="str">
        <f t="shared" si="367"/>
        <v>GALLERIA CASOLA</v>
      </c>
      <c r="Z2617" t="str">
        <f t="shared" si="368"/>
        <v>10.220.80.16</v>
      </c>
    </row>
    <row r="2618" spans="1:26" x14ac:dyDescent="0.25">
      <c r="A2618" t="s">
        <v>10</v>
      </c>
      <c r="B2618" t="s">
        <v>1206</v>
      </c>
      <c r="C2618" t="s">
        <v>2173</v>
      </c>
      <c r="D2618" t="s">
        <v>2174</v>
      </c>
      <c r="E2618" t="s">
        <v>2204</v>
      </c>
      <c r="F2618" t="s">
        <v>14</v>
      </c>
      <c r="G2618" t="s">
        <v>15</v>
      </c>
      <c r="H2618" t="s">
        <v>1295</v>
      </c>
      <c r="I2618">
        <v>5062</v>
      </c>
      <c r="J2618" t="s">
        <v>2309</v>
      </c>
      <c r="K2618">
        <f t="shared" si="360"/>
        <v>5062</v>
      </c>
      <c r="N2618" t="str">
        <f t="shared" si="361"/>
        <v>HOLDING REGISTER</v>
      </c>
      <c r="O2618" t="str">
        <f t="shared" si="362"/>
        <v>REAL</v>
      </c>
      <c r="P2618" t="str">
        <f t="shared" si="363"/>
        <v>JETFAN V1SX</v>
      </c>
      <c r="R2618" t="str">
        <f t="shared" si="364"/>
        <v>Misura Vibrazioni Motore</v>
      </c>
      <c r="U2618" t="str">
        <f t="shared" si="365"/>
        <v>Misura</v>
      </c>
      <c r="V2618" t="str">
        <f t="shared" si="366"/>
        <v>GALLERIA</v>
      </c>
      <c r="W2618" t="str">
        <f t="shared" si="367"/>
        <v>GALLERIA CASOLA</v>
      </c>
      <c r="Z2618" t="str">
        <f t="shared" si="368"/>
        <v>10.220.80.16</v>
      </c>
    </row>
    <row r="2619" spans="1:26" x14ac:dyDescent="0.25">
      <c r="A2619" t="s">
        <v>10</v>
      </c>
      <c r="B2619" t="s">
        <v>1206</v>
      </c>
      <c r="C2619" t="s">
        <v>2173</v>
      </c>
      <c r="D2619" t="s">
        <v>2174</v>
      </c>
      <c r="E2619" t="s">
        <v>2219</v>
      </c>
      <c r="F2619" t="s">
        <v>14</v>
      </c>
      <c r="G2619" t="s">
        <v>15</v>
      </c>
      <c r="H2619" t="s">
        <v>1295</v>
      </c>
      <c r="I2619">
        <v>5064</v>
      </c>
      <c r="J2619" t="s">
        <v>2309</v>
      </c>
      <c r="K2619">
        <f t="shared" si="360"/>
        <v>5064</v>
      </c>
      <c r="N2619" t="str">
        <f t="shared" si="361"/>
        <v>HOLDING REGISTER</v>
      </c>
      <c r="O2619" t="str">
        <f t="shared" si="362"/>
        <v>REAL</v>
      </c>
      <c r="P2619" t="str">
        <f t="shared" si="363"/>
        <v>JETFAN V2DX</v>
      </c>
      <c r="R2619" t="str">
        <f t="shared" si="364"/>
        <v>Misura Vibrazioni Motore</v>
      </c>
      <c r="U2619" t="str">
        <f t="shared" si="365"/>
        <v>Misura</v>
      </c>
      <c r="V2619" t="str">
        <f t="shared" si="366"/>
        <v>GALLERIA</v>
      </c>
      <c r="W2619" t="str">
        <f t="shared" si="367"/>
        <v>GALLERIA CASOLA</v>
      </c>
      <c r="Z2619" t="str">
        <f t="shared" si="368"/>
        <v>10.220.80.16</v>
      </c>
    </row>
    <row r="2620" spans="1:26" x14ac:dyDescent="0.25">
      <c r="A2620" t="s">
        <v>10</v>
      </c>
      <c r="B2620" t="s">
        <v>1206</v>
      </c>
      <c r="C2620" t="s">
        <v>2173</v>
      </c>
      <c r="D2620" t="s">
        <v>2174</v>
      </c>
      <c r="E2620" t="s">
        <v>2234</v>
      </c>
      <c r="F2620" t="s">
        <v>14</v>
      </c>
      <c r="G2620" t="s">
        <v>15</v>
      </c>
      <c r="H2620" t="s">
        <v>1295</v>
      </c>
      <c r="I2620">
        <v>5066</v>
      </c>
      <c r="J2620" t="s">
        <v>2309</v>
      </c>
      <c r="K2620">
        <f t="shared" si="360"/>
        <v>5066</v>
      </c>
      <c r="N2620" t="str">
        <f t="shared" si="361"/>
        <v>HOLDING REGISTER</v>
      </c>
      <c r="O2620" t="str">
        <f t="shared" si="362"/>
        <v>REAL</v>
      </c>
      <c r="P2620" t="str">
        <f t="shared" si="363"/>
        <v>JETFAN V2SX</v>
      </c>
      <c r="R2620" t="str">
        <f t="shared" si="364"/>
        <v>Misura Vibrazioni Motore</v>
      </c>
      <c r="U2620" t="str">
        <f t="shared" si="365"/>
        <v>Misura</v>
      </c>
      <c r="V2620" t="str">
        <f t="shared" si="366"/>
        <v>GALLERIA</v>
      </c>
      <c r="W2620" t="str">
        <f t="shared" si="367"/>
        <v>GALLERIA CASOLA</v>
      </c>
      <c r="Z2620" t="str">
        <f t="shared" si="368"/>
        <v>10.220.80.16</v>
      </c>
    </row>
    <row r="2621" spans="1:26" x14ac:dyDescent="0.25">
      <c r="A2621" t="s">
        <v>10</v>
      </c>
      <c r="B2621" t="s">
        <v>1206</v>
      </c>
      <c r="C2621" t="s">
        <v>2173</v>
      </c>
      <c r="D2621" t="s">
        <v>2174</v>
      </c>
      <c r="E2621" t="s">
        <v>2249</v>
      </c>
      <c r="F2621" t="s">
        <v>14</v>
      </c>
      <c r="G2621" t="s">
        <v>15</v>
      </c>
      <c r="H2621" t="s">
        <v>1295</v>
      </c>
      <c r="I2621">
        <v>5068</v>
      </c>
      <c r="J2621" t="s">
        <v>2309</v>
      </c>
      <c r="K2621">
        <f t="shared" si="360"/>
        <v>5068</v>
      </c>
      <c r="N2621" t="str">
        <f t="shared" si="361"/>
        <v>HOLDING REGISTER</v>
      </c>
      <c r="O2621" t="str">
        <f t="shared" si="362"/>
        <v>REAL</v>
      </c>
      <c r="P2621" t="str">
        <f t="shared" si="363"/>
        <v>JETFAN V3DX</v>
      </c>
      <c r="R2621" t="str">
        <f t="shared" si="364"/>
        <v>Misura Vibrazioni Motore</v>
      </c>
      <c r="U2621" t="str">
        <f t="shared" si="365"/>
        <v>Misura</v>
      </c>
      <c r="V2621" t="str">
        <f t="shared" si="366"/>
        <v>GALLERIA</v>
      </c>
      <c r="W2621" t="str">
        <f t="shared" si="367"/>
        <v>GALLERIA CASOLA</v>
      </c>
      <c r="Z2621" t="str">
        <f t="shared" si="368"/>
        <v>10.220.80.16</v>
      </c>
    </row>
    <row r="2622" spans="1:26" x14ac:dyDescent="0.25">
      <c r="A2622" t="s">
        <v>10</v>
      </c>
      <c r="B2622" t="s">
        <v>1206</v>
      </c>
      <c r="C2622" t="s">
        <v>2173</v>
      </c>
      <c r="D2622" t="s">
        <v>2174</v>
      </c>
      <c r="E2622" t="s">
        <v>2264</v>
      </c>
      <c r="F2622" t="s">
        <v>14</v>
      </c>
      <c r="G2622" t="s">
        <v>15</v>
      </c>
      <c r="H2622" t="s">
        <v>1295</v>
      </c>
      <c r="I2622">
        <v>5070</v>
      </c>
      <c r="J2622" t="s">
        <v>2309</v>
      </c>
      <c r="K2622">
        <f t="shared" si="360"/>
        <v>5070</v>
      </c>
      <c r="N2622" t="str">
        <f t="shared" si="361"/>
        <v>HOLDING REGISTER</v>
      </c>
      <c r="O2622" t="str">
        <f t="shared" si="362"/>
        <v>REAL</v>
      </c>
      <c r="P2622" t="str">
        <f t="shared" si="363"/>
        <v>JETFAN V3SX</v>
      </c>
      <c r="R2622" t="str">
        <f t="shared" si="364"/>
        <v>Misura Vibrazioni Motore</v>
      </c>
      <c r="U2622" t="str">
        <f t="shared" si="365"/>
        <v>Misura</v>
      </c>
      <c r="V2622" t="str">
        <f t="shared" si="366"/>
        <v>GALLERIA</v>
      </c>
      <c r="W2622" t="str">
        <f t="shared" si="367"/>
        <v>GALLERIA CASOLA</v>
      </c>
      <c r="Z2622" t="str">
        <f t="shared" si="368"/>
        <v>10.220.80.16</v>
      </c>
    </row>
    <row r="2623" spans="1:26" x14ac:dyDescent="0.25">
      <c r="A2623" t="s">
        <v>10</v>
      </c>
      <c r="B2623" t="s">
        <v>1206</v>
      </c>
      <c r="C2623" t="s">
        <v>2173</v>
      </c>
      <c r="D2623" t="s">
        <v>2174</v>
      </c>
      <c r="E2623" t="s">
        <v>2175</v>
      </c>
      <c r="F2623" t="s">
        <v>14</v>
      </c>
      <c r="G2623" t="s">
        <v>15</v>
      </c>
      <c r="H2623" t="s">
        <v>16</v>
      </c>
      <c r="I2623">
        <v>5072</v>
      </c>
      <c r="J2623" t="s">
        <v>2310</v>
      </c>
      <c r="K2623">
        <f t="shared" si="360"/>
        <v>5072</v>
      </c>
      <c r="N2623" t="str">
        <f t="shared" si="361"/>
        <v>HOLDING REGISTER</v>
      </c>
      <c r="O2623" t="str">
        <f t="shared" si="362"/>
        <v>INT</v>
      </c>
      <c r="P2623" t="str">
        <f t="shared" si="363"/>
        <v>JETFAN V1DX</v>
      </c>
      <c r="R2623" t="str">
        <f t="shared" si="364"/>
        <v>Ore Attivo</v>
      </c>
      <c r="U2623" t="str">
        <f t="shared" si="365"/>
        <v>Misura</v>
      </c>
      <c r="V2623" t="str">
        <f t="shared" si="366"/>
        <v>GALLERIA</v>
      </c>
      <c r="W2623" t="str">
        <f t="shared" si="367"/>
        <v>GALLERIA CASOLA</v>
      </c>
      <c r="Z2623" t="str">
        <f t="shared" si="368"/>
        <v>10.220.80.16</v>
      </c>
    </row>
    <row r="2624" spans="1:26" x14ac:dyDescent="0.25">
      <c r="A2624" t="s">
        <v>10</v>
      </c>
      <c r="B2624" t="s">
        <v>1206</v>
      </c>
      <c r="C2624" t="s">
        <v>2173</v>
      </c>
      <c r="D2624" t="s">
        <v>2174</v>
      </c>
      <c r="E2624" t="s">
        <v>2175</v>
      </c>
      <c r="F2624" t="s">
        <v>14</v>
      </c>
      <c r="G2624" t="s">
        <v>15</v>
      </c>
      <c r="H2624" t="s">
        <v>16</v>
      </c>
      <c r="I2624">
        <v>5073</v>
      </c>
      <c r="J2624" t="s">
        <v>2311</v>
      </c>
      <c r="K2624">
        <f t="shared" si="360"/>
        <v>5073</v>
      </c>
      <c r="N2624" t="str">
        <f t="shared" si="361"/>
        <v>HOLDING REGISTER</v>
      </c>
      <c r="O2624" t="str">
        <f t="shared" si="362"/>
        <v>INT</v>
      </c>
      <c r="P2624" t="str">
        <f t="shared" si="363"/>
        <v>JETFAN V1DX</v>
      </c>
      <c r="R2624" t="str">
        <f t="shared" si="364"/>
        <v>Ore Inattivo</v>
      </c>
      <c r="U2624" t="str">
        <f t="shared" si="365"/>
        <v>Misura</v>
      </c>
      <c r="V2624" t="str">
        <f t="shared" si="366"/>
        <v>GALLERIA</v>
      </c>
      <c r="W2624" t="str">
        <f t="shared" si="367"/>
        <v>GALLERIA CASOLA</v>
      </c>
      <c r="Z2624" t="str">
        <f t="shared" si="368"/>
        <v>10.220.80.16</v>
      </c>
    </row>
    <row r="2625" spans="1:26" x14ac:dyDescent="0.25">
      <c r="A2625" t="s">
        <v>10</v>
      </c>
      <c r="B2625" t="s">
        <v>1206</v>
      </c>
      <c r="C2625" t="s">
        <v>2173</v>
      </c>
      <c r="D2625" t="s">
        <v>2174</v>
      </c>
      <c r="E2625" t="s">
        <v>2175</v>
      </c>
      <c r="F2625" t="s">
        <v>14</v>
      </c>
      <c r="G2625" t="s">
        <v>15</v>
      </c>
      <c r="H2625" t="s">
        <v>16</v>
      </c>
      <c r="I2625">
        <v>5074</v>
      </c>
      <c r="J2625" t="s">
        <v>2312</v>
      </c>
      <c r="K2625">
        <f t="shared" si="360"/>
        <v>5074</v>
      </c>
      <c r="N2625" t="str">
        <f t="shared" si="361"/>
        <v>HOLDING REGISTER</v>
      </c>
      <c r="O2625" t="str">
        <f t="shared" si="362"/>
        <v>INT</v>
      </c>
      <c r="P2625" t="str">
        <f t="shared" si="363"/>
        <v>JETFAN V1DX</v>
      </c>
      <c r="R2625" t="str">
        <f t="shared" si="364"/>
        <v>Num. Avviamenti</v>
      </c>
      <c r="U2625" t="str">
        <f t="shared" si="365"/>
        <v>Misura</v>
      </c>
      <c r="V2625" t="str">
        <f t="shared" si="366"/>
        <v>GALLERIA</v>
      </c>
      <c r="W2625" t="str">
        <f t="shared" si="367"/>
        <v>GALLERIA CASOLA</v>
      </c>
      <c r="Z2625" t="str">
        <f t="shared" si="368"/>
        <v>10.220.80.16</v>
      </c>
    </row>
    <row r="2626" spans="1:26" x14ac:dyDescent="0.25">
      <c r="A2626" t="s">
        <v>10</v>
      </c>
      <c r="B2626" t="s">
        <v>1206</v>
      </c>
      <c r="C2626" t="s">
        <v>2173</v>
      </c>
      <c r="D2626" t="s">
        <v>2174</v>
      </c>
      <c r="E2626" t="s">
        <v>2204</v>
      </c>
      <c r="F2626" t="s">
        <v>14</v>
      </c>
      <c r="G2626" t="s">
        <v>15</v>
      </c>
      <c r="H2626" t="s">
        <v>16</v>
      </c>
      <c r="I2626">
        <v>5075</v>
      </c>
      <c r="J2626" t="s">
        <v>2310</v>
      </c>
      <c r="K2626">
        <f t="shared" si="360"/>
        <v>5075</v>
      </c>
      <c r="N2626" t="str">
        <f t="shared" si="361"/>
        <v>HOLDING REGISTER</v>
      </c>
      <c r="O2626" t="str">
        <f t="shared" si="362"/>
        <v>INT</v>
      </c>
      <c r="P2626" t="str">
        <f t="shared" si="363"/>
        <v>JETFAN V1SX</v>
      </c>
      <c r="R2626" t="str">
        <f t="shared" si="364"/>
        <v>Ore Attivo</v>
      </c>
      <c r="U2626" t="str">
        <f t="shared" si="365"/>
        <v>Misura</v>
      </c>
      <c r="V2626" t="str">
        <f t="shared" si="366"/>
        <v>GALLERIA</v>
      </c>
      <c r="W2626" t="str">
        <f t="shared" si="367"/>
        <v>GALLERIA CASOLA</v>
      </c>
      <c r="Z2626" t="str">
        <f t="shared" si="368"/>
        <v>10.220.80.16</v>
      </c>
    </row>
    <row r="2627" spans="1:26" x14ac:dyDescent="0.25">
      <c r="A2627" t="s">
        <v>10</v>
      </c>
      <c r="B2627" t="s">
        <v>1206</v>
      </c>
      <c r="C2627" t="s">
        <v>2173</v>
      </c>
      <c r="D2627" t="s">
        <v>2174</v>
      </c>
      <c r="E2627" t="s">
        <v>2204</v>
      </c>
      <c r="F2627" t="s">
        <v>14</v>
      </c>
      <c r="G2627" t="s">
        <v>15</v>
      </c>
      <c r="H2627" t="s">
        <v>16</v>
      </c>
      <c r="I2627">
        <v>5076</v>
      </c>
      <c r="J2627" t="s">
        <v>2311</v>
      </c>
      <c r="K2627">
        <f t="shared" ref="K2627:K2690" si="369">IF(I2627="","",I2627)</f>
        <v>5076</v>
      </c>
      <c r="N2627" t="str">
        <f t="shared" ref="N2627:N2690" si="370">IF(F2627="","",F2627)</f>
        <v>HOLDING REGISTER</v>
      </c>
      <c r="O2627" t="str">
        <f t="shared" ref="O2627:O2690" si="371">IF(H2627="","",H2627)</f>
        <v>INT</v>
      </c>
      <c r="P2627" t="str">
        <f t="shared" ref="P2627:P2690" si="372">_xlfn.CONCAT(D2627," ",E2627)</f>
        <v>JETFAN V1SX</v>
      </c>
      <c r="R2627" t="str">
        <f t="shared" ref="R2627:R2690" si="373">IF(J2627="","",J2627)</f>
        <v>Ore Inattivo</v>
      </c>
      <c r="U2627" t="str">
        <f t="shared" ref="U2627:U2690" si="374">IF(G2627="","",G2627)</f>
        <v>Misura</v>
      </c>
      <c r="V2627" t="str">
        <f t="shared" ref="V2627:V2690" si="375">IF(C2627="","",C2627)</f>
        <v>GALLERIA</v>
      </c>
      <c r="W2627" t="str">
        <f t="shared" ref="W2627:W2690" si="376">IF(B2627="","",B2627)</f>
        <v>GALLERIA CASOLA</v>
      </c>
      <c r="Z2627" t="str">
        <f t="shared" ref="Z2627:Z2690" si="377">IF(A2627="","",A2627)</f>
        <v>10.220.80.16</v>
      </c>
    </row>
    <row r="2628" spans="1:26" x14ac:dyDescent="0.25">
      <c r="A2628" t="s">
        <v>10</v>
      </c>
      <c r="B2628" t="s">
        <v>1206</v>
      </c>
      <c r="C2628" t="s">
        <v>2173</v>
      </c>
      <c r="D2628" t="s">
        <v>2174</v>
      </c>
      <c r="E2628" t="s">
        <v>2204</v>
      </c>
      <c r="F2628" t="s">
        <v>14</v>
      </c>
      <c r="G2628" t="s">
        <v>15</v>
      </c>
      <c r="H2628" t="s">
        <v>16</v>
      </c>
      <c r="I2628">
        <v>5077</v>
      </c>
      <c r="J2628" t="s">
        <v>2312</v>
      </c>
      <c r="K2628">
        <f t="shared" si="369"/>
        <v>5077</v>
      </c>
      <c r="N2628" t="str">
        <f t="shared" si="370"/>
        <v>HOLDING REGISTER</v>
      </c>
      <c r="O2628" t="str">
        <f t="shared" si="371"/>
        <v>INT</v>
      </c>
      <c r="P2628" t="str">
        <f t="shared" si="372"/>
        <v>JETFAN V1SX</v>
      </c>
      <c r="R2628" t="str">
        <f t="shared" si="373"/>
        <v>Num. Avviamenti</v>
      </c>
      <c r="U2628" t="str">
        <f t="shared" si="374"/>
        <v>Misura</v>
      </c>
      <c r="V2628" t="str">
        <f t="shared" si="375"/>
        <v>GALLERIA</v>
      </c>
      <c r="W2628" t="str">
        <f t="shared" si="376"/>
        <v>GALLERIA CASOLA</v>
      </c>
      <c r="Z2628" t="str">
        <f t="shared" si="377"/>
        <v>10.220.80.16</v>
      </c>
    </row>
    <row r="2629" spans="1:26" x14ac:dyDescent="0.25">
      <c r="A2629" t="s">
        <v>10</v>
      </c>
      <c r="B2629" t="s">
        <v>1206</v>
      </c>
      <c r="C2629" t="s">
        <v>2173</v>
      </c>
      <c r="D2629" t="s">
        <v>2174</v>
      </c>
      <c r="E2629" t="s">
        <v>2219</v>
      </c>
      <c r="F2629" t="s">
        <v>14</v>
      </c>
      <c r="G2629" t="s">
        <v>15</v>
      </c>
      <c r="H2629" t="s">
        <v>16</v>
      </c>
      <c r="I2629">
        <v>5078</v>
      </c>
      <c r="J2629" t="s">
        <v>2310</v>
      </c>
      <c r="K2629">
        <f t="shared" si="369"/>
        <v>5078</v>
      </c>
      <c r="N2629" t="str">
        <f t="shared" si="370"/>
        <v>HOLDING REGISTER</v>
      </c>
      <c r="O2629" t="str">
        <f t="shared" si="371"/>
        <v>INT</v>
      </c>
      <c r="P2629" t="str">
        <f t="shared" si="372"/>
        <v>JETFAN V2DX</v>
      </c>
      <c r="R2629" t="str">
        <f t="shared" si="373"/>
        <v>Ore Attivo</v>
      </c>
      <c r="U2629" t="str">
        <f t="shared" si="374"/>
        <v>Misura</v>
      </c>
      <c r="V2629" t="str">
        <f t="shared" si="375"/>
        <v>GALLERIA</v>
      </c>
      <c r="W2629" t="str">
        <f t="shared" si="376"/>
        <v>GALLERIA CASOLA</v>
      </c>
      <c r="Z2629" t="str">
        <f t="shared" si="377"/>
        <v>10.220.80.16</v>
      </c>
    </row>
    <row r="2630" spans="1:26" x14ac:dyDescent="0.25">
      <c r="A2630" t="s">
        <v>10</v>
      </c>
      <c r="B2630" t="s">
        <v>1206</v>
      </c>
      <c r="C2630" t="s">
        <v>2173</v>
      </c>
      <c r="D2630" t="s">
        <v>2174</v>
      </c>
      <c r="E2630" t="s">
        <v>2219</v>
      </c>
      <c r="F2630" t="s">
        <v>14</v>
      </c>
      <c r="G2630" t="s">
        <v>15</v>
      </c>
      <c r="H2630" t="s">
        <v>16</v>
      </c>
      <c r="I2630">
        <v>5079</v>
      </c>
      <c r="J2630" t="s">
        <v>2311</v>
      </c>
      <c r="K2630">
        <f t="shared" si="369"/>
        <v>5079</v>
      </c>
      <c r="N2630" t="str">
        <f t="shared" si="370"/>
        <v>HOLDING REGISTER</v>
      </c>
      <c r="O2630" t="str">
        <f t="shared" si="371"/>
        <v>INT</v>
      </c>
      <c r="P2630" t="str">
        <f t="shared" si="372"/>
        <v>JETFAN V2DX</v>
      </c>
      <c r="R2630" t="str">
        <f t="shared" si="373"/>
        <v>Ore Inattivo</v>
      </c>
      <c r="U2630" t="str">
        <f t="shared" si="374"/>
        <v>Misura</v>
      </c>
      <c r="V2630" t="str">
        <f t="shared" si="375"/>
        <v>GALLERIA</v>
      </c>
      <c r="W2630" t="str">
        <f t="shared" si="376"/>
        <v>GALLERIA CASOLA</v>
      </c>
      <c r="Z2630" t="str">
        <f t="shared" si="377"/>
        <v>10.220.80.16</v>
      </c>
    </row>
    <row r="2631" spans="1:26" x14ac:dyDescent="0.25">
      <c r="A2631" t="s">
        <v>10</v>
      </c>
      <c r="B2631" t="s">
        <v>1206</v>
      </c>
      <c r="C2631" t="s">
        <v>2173</v>
      </c>
      <c r="D2631" t="s">
        <v>2174</v>
      </c>
      <c r="E2631" t="s">
        <v>2219</v>
      </c>
      <c r="F2631" t="s">
        <v>14</v>
      </c>
      <c r="G2631" t="s">
        <v>15</v>
      </c>
      <c r="H2631" t="s">
        <v>16</v>
      </c>
      <c r="I2631">
        <v>5080</v>
      </c>
      <c r="J2631" t="s">
        <v>2312</v>
      </c>
      <c r="K2631">
        <f t="shared" si="369"/>
        <v>5080</v>
      </c>
      <c r="N2631" t="str">
        <f t="shared" si="370"/>
        <v>HOLDING REGISTER</v>
      </c>
      <c r="O2631" t="str">
        <f t="shared" si="371"/>
        <v>INT</v>
      </c>
      <c r="P2631" t="str">
        <f t="shared" si="372"/>
        <v>JETFAN V2DX</v>
      </c>
      <c r="R2631" t="str">
        <f t="shared" si="373"/>
        <v>Num. Avviamenti</v>
      </c>
      <c r="U2631" t="str">
        <f t="shared" si="374"/>
        <v>Misura</v>
      </c>
      <c r="V2631" t="str">
        <f t="shared" si="375"/>
        <v>GALLERIA</v>
      </c>
      <c r="W2631" t="str">
        <f t="shared" si="376"/>
        <v>GALLERIA CASOLA</v>
      </c>
      <c r="Z2631" t="str">
        <f t="shared" si="377"/>
        <v>10.220.80.16</v>
      </c>
    </row>
    <row r="2632" spans="1:26" x14ac:dyDescent="0.25">
      <c r="A2632" t="s">
        <v>10</v>
      </c>
      <c r="B2632" t="s">
        <v>1206</v>
      </c>
      <c r="C2632" t="s">
        <v>2173</v>
      </c>
      <c r="D2632" t="s">
        <v>2174</v>
      </c>
      <c r="E2632" t="s">
        <v>2234</v>
      </c>
      <c r="F2632" t="s">
        <v>14</v>
      </c>
      <c r="G2632" t="s">
        <v>15</v>
      </c>
      <c r="H2632" t="s">
        <v>16</v>
      </c>
      <c r="I2632">
        <v>5081</v>
      </c>
      <c r="J2632" t="s">
        <v>2310</v>
      </c>
      <c r="K2632">
        <f t="shared" si="369"/>
        <v>5081</v>
      </c>
      <c r="N2632" t="str">
        <f t="shared" si="370"/>
        <v>HOLDING REGISTER</v>
      </c>
      <c r="O2632" t="str">
        <f t="shared" si="371"/>
        <v>INT</v>
      </c>
      <c r="P2632" t="str">
        <f t="shared" si="372"/>
        <v>JETFAN V2SX</v>
      </c>
      <c r="R2632" t="str">
        <f t="shared" si="373"/>
        <v>Ore Attivo</v>
      </c>
      <c r="U2632" t="str">
        <f t="shared" si="374"/>
        <v>Misura</v>
      </c>
      <c r="V2632" t="str">
        <f t="shared" si="375"/>
        <v>GALLERIA</v>
      </c>
      <c r="W2632" t="str">
        <f t="shared" si="376"/>
        <v>GALLERIA CASOLA</v>
      </c>
      <c r="Z2632" t="str">
        <f t="shared" si="377"/>
        <v>10.220.80.16</v>
      </c>
    </row>
    <row r="2633" spans="1:26" x14ac:dyDescent="0.25">
      <c r="A2633" t="s">
        <v>10</v>
      </c>
      <c r="B2633" t="s">
        <v>1206</v>
      </c>
      <c r="C2633" t="s">
        <v>2173</v>
      </c>
      <c r="D2633" t="s">
        <v>2174</v>
      </c>
      <c r="E2633" t="s">
        <v>2234</v>
      </c>
      <c r="F2633" t="s">
        <v>14</v>
      </c>
      <c r="G2633" t="s">
        <v>15</v>
      </c>
      <c r="H2633" t="s">
        <v>16</v>
      </c>
      <c r="I2633">
        <v>5082</v>
      </c>
      <c r="J2633" t="s">
        <v>2311</v>
      </c>
      <c r="K2633">
        <f t="shared" si="369"/>
        <v>5082</v>
      </c>
      <c r="N2633" t="str">
        <f t="shared" si="370"/>
        <v>HOLDING REGISTER</v>
      </c>
      <c r="O2633" t="str">
        <f t="shared" si="371"/>
        <v>INT</v>
      </c>
      <c r="P2633" t="str">
        <f t="shared" si="372"/>
        <v>JETFAN V2SX</v>
      </c>
      <c r="R2633" t="str">
        <f t="shared" si="373"/>
        <v>Ore Inattivo</v>
      </c>
      <c r="U2633" t="str">
        <f t="shared" si="374"/>
        <v>Misura</v>
      </c>
      <c r="V2633" t="str">
        <f t="shared" si="375"/>
        <v>GALLERIA</v>
      </c>
      <c r="W2633" t="str">
        <f t="shared" si="376"/>
        <v>GALLERIA CASOLA</v>
      </c>
      <c r="Z2633" t="str">
        <f t="shared" si="377"/>
        <v>10.220.80.16</v>
      </c>
    </row>
    <row r="2634" spans="1:26" x14ac:dyDescent="0.25">
      <c r="A2634" t="s">
        <v>10</v>
      </c>
      <c r="B2634" t="s">
        <v>1206</v>
      </c>
      <c r="C2634" t="s">
        <v>2173</v>
      </c>
      <c r="D2634" t="s">
        <v>2174</v>
      </c>
      <c r="E2634" t="s">
        <v>2234</v>
      </c>
      <c r="F2634" t="s">
        <v>14</v>
      </c>
      <c r="G2634" t="s">
        <v>15</v>
      </c>
      <c r="H2634" t="s">
        <v>16</v>
      </c>
      <c r="I2634">
        <v>5083</v>
      </c>
      <c r="J2634" t="s">
        <v>2312</v>
      </c>
      <c r="K2634">
        <f t="shared" si="369"/>
        <v>5083</v>
      </c>
      <c r="N2634" t="str">
        <f t="shared" si="370"/>
        <v>HOLDING REGISTER</v>
      </c>
      <c r="O2634" t="str">
        <f t="shared" si="371"/>
        <v>INT</v>
      </c>
      <c r="P2634" t="str">
        <f t="shared" si="372"/>
        <v>JETFAN V2SX</v>
      </c>
      <c r="R2634" t="str">
        <f t="shared" si="373"/>
        <v>Num. Avviamenti</v>
      </c>
      <c r="U2634" t="str">
        <f t="shared" si="374"/>
        <v>Misura</v>
      </c>
      <c r="V2634" t="str">
        <f t="shared" si="375"/>
        <v>GALLERIA</v>
      </c>
      <c r="W2634" t="str">
        <f t="shared" si="376"/>
        <v>GALLERIA CASOLA</v>
      </c>
      <c r="Z2634" t="str">
        <f t="shared" si="377"/>
        <v>10.220.80.16</v>
      </c>
    </row>
    <row r="2635" spans="1:26" x14ac:dyDescent="0.25">
      <c r="A2635" t="s">
        <v>10</v>
      </c>
      <c r="B2635" t="s">
        <v>1206</v>
      </c>
      <c r="C2635" t="s">
        <v>2173</v>
      </c>
      <c r="D2635" t="s">
        <v>2174</v>
      </c>
      <c r="E2635" t="s">
        <v>2249</v>
      </c>
      <c r="F2635" t="s">
        <v>14</v>
      </c>
      <c r="G2635" t="s">
        <v>15</v>
      </c>
      <c r="H2635" t="s">
        <v>16</v>
      </c>
      <c r="I2635">
        <v>5084</v>
      </c>
      <c r="J2635" t="s">
        <v>2310</v>
      </c>
      <c r="K2635">
        <f t="shared" si="369"/>
        <v>5084</v>
      </c>
      <c r="N2635" t="str">
        <f t="shared" si="370"/>
        <v>HOLDING REGISTER</v>
      </c>
      <c r="O2635" t="str">
        <f t="shared" si="371"/>
        <v>INT</v>
      </c>
      <c r="P2635" t="str">
        <f t="shared" si="372"/>
        <v>JETFAN V3DX</v>
      </c>
      <c r="R2635" t="str">
        <f t="shared" si="373"/>
        <v>Ore Attivo</v>
      </c>
      <c r="U2635" t="str">
        <f t="shared" si="374"/>
        <v>Misura</v>
      </c>
      <c r="V2635" t="str">
        <f t="shared" si="375"/>
        <v>GALLERIA</v>
      </c>
      <c r="W2635" t="str">
        <f t="shared" si="376"/>
        <v>GALLERIA CASOLA</v>
      </c>
      <c r="Z2635" t="str">
        <f t="shared" si="377"/>
        <v>10.220.80.16</v>
      </c>
    </row>
    <row r="2636" spans="1:26" x14ac:dyDescent="0.25">
      <c r="A2636" t="s">
        <v>10</v>
      </c>
      <c r="B2636" t="s">
        <v>1206</v>
      </c>
      <c r="C2636" t="s">
        <v>2173</v>
      </c>
      <c r="D2636" t="s">
        <v>2174</v>
      </c>
      <c r="E2636" t="s">
        <v>2249</v>
      </c>
      <c r="F2636" t="s">
        <v>14</v>
      </c>
      <c r="G2636" t="s">
        <v>15</v>
      </c>
      <c r="H2636" t="s">
        <v>16</v>
      </c>
      <c r="I2636">
        <v>5085</v>
      </c>
      <c r="J2636" t="s">
        <v>2311</v>
      </c>
      <c r="K2636">
        <f t="shared" si="369"/>
        <v>5085</v>
      </c>
      <c r="N2636" t="str">
        <f t="shared" si="370"/>
        <v>HOLDING REGISTER</v>
      </c>
      <c r="O2636" t="str">
        <f t="shared" si="371"/>
        <v>INT</v>
      </c>
      <c r="P2636" t="str">
        <f t="shared" si="372"/>
        <v>JETFAN V3DX</v>
      </c>
      <c r="R2636" t="str">
        <f t="shared" si="373"/>
        <v>Ore Inattivo</v>
      </c>
      <c r="U2636" t="str">
        <f t="shared" si="374"/>
        <v>Misura</v>
      </c>
      <c r="V2636" t="str">
        <f t="shared" si="375"/>
        <v>GALLERIA</v>
      </c>
      <c r="W2636" t="str">
        <f t="shared" si="376"/>
        <v>GALLERIA CASOLA</v>
      </c>
      <c r="Z2636" t="str">
        <f t="shared" si="377"/>
        <v>10.220.80.16</v>
      </c>
    </row>
    <row r="2637" spans="1:26" x14ac:dyDescent="0.25">
      <c r="A2637" t="s">
        <v>10</v>
      </c>
      <c r="B2637" t="s">
        <v>1206</v>
      </c>
      <c r="C2637" t="s">
        <v>2173</v>
      </c>
      <c r="D2637" t="s">
        <v>2174</v>
      </c>
      <c r="E2637" t="s">
        <v>2249</v>
      </c>
      <c r="F2637" t="s">
        <v>14</v>
      </c>
      <c r="G2637" t="s">
        <v>15</v>
      </c>
      <c r="H2637" t="s">
        <v>16</v>
      </c>
      <c r="I2637">
        <v>5086</v>
      </c>
      <c r="J2637" t="s">
        <v>2312</v>
      </c>
      <c r="K2637">
        <f t="shared" si="369"/>
        <v>5086</v>
      </c>
      <c r="N2637" t="str">
        <f t="shared" si="370"/>
        <v>HOLDING REGISTER</v>
      </c>
      <c r="O2637" t="str">
        <f t="shared" si="371"/>
        <v>INT</v>
      </c>
      <c r="P2637" t="str">
        <f t="shared" si="372"/>
        <v>JETFAN V3DX</v>
      </c>
      <c r="R2637" t="str">
        <f t="shared" si="373"/>
        <v>Num. Avviamenti</v>
      </c>
      <c r="U2637" t="str">
        <f t="shared" si="374"/>
        <v>Misura</v>
      </c>
      <c r="V2637" t="str">
        <f t="shared" si="375"/>
        <v>GALLERIA</v>
      </c>
      <c r="W2637" t="str">
        <f t="shared" si="376"/>
        <v>GALLERIA CASOLA</v>
      </c>
      <c r="Z2637" t="str">
        <f t="shared" si="377"/>
        <v>10.220.80.16</v>
      </c>
    </row>
    <row r="2638" spans="1:26" x14ac:dyDescent="0.25">
      <c r="A2638" t="s">
        <v>10</v>
      </c>
      <c r="B2638" t="s">
        <v>1206</v>
      </c>
      <c r="C2638" t="s">
        <v>2173</v>
      </c>
      <c r="D2638" t="s">
        <v>2174</v>
      </c>
      <c r="E2638" t="s">
        <v>2264</v>
      </c>
      <c r="F2638" t="s">
        <v>14</v>
      </c>
      <c r="G2638" t="s">
        <v>15</v>
      </c>
      <c r="H2638" t="s">
        <v>16</v>
      </c>
      <c r="I2638">
        <v>5087</v>
      </c>
      <c r="J2638" t="s">
        <v>2310</v>
      </c>
      <c r="K2638">
        <f t="shared" si="369"/>
        <v>5087</v>
      </c>
      <c r="N2638" t="str">
        <f t="shared" si="370"/>
        <v>HOLDING REGISTER</v>
      </c>
      <c r="O2638" t="str">
        <f t="shared" si="371"/>
        <v>INT</v>
      </c>
      <c r="P2638" t="str">
        <f t="shared" si="372"/>
        <v>JETFAN V3SX</v>
      </c>
      <c r="R2638" t="str">
        <f t="shared" si="373"/>
        <v>Ore Attivo</v>
      </c>
      <c r="U2638" t="str">
        <f t="shared" si="374"/>
        <v>Misura</v>
      </c>
      <c r="V2638" t="str">
        <f t="shared" si="375"/>
        <v>GALLERIA</v>
      </c>
      <c r="W2638" t="str">
        <f t="shared" si="376"/>
        <v>GALLERIA CASOLA</v>
      </c>
      <c r="Z2638" t="str">
        <f t="shared" si="377"/>
        <v>10.220.80.16</v>
      </c>
    </row>
    <row r="2639" spans="1:26" x14ac:dyDescent="0.25">
      <c r="A2639" t="s">
        <v>10</v>
      </c>
      <c r="B2639" t="s">
        <v>1206</v>
      </c>
      <c r="C2639" t="s">
        <v>2173</v>
      </c>
      <c r="D2639" t="s">
        <v>2174</v>
      </c>
      <c r="E2639" t="s">
        <v>2264</v>
      </c>
      <c r="F2639" t="s">
        <v>14</v>
      </c>
      <c r="G2639" t="s">
        <v>15</v>
      </c>
      <c r="H2639" t="s">
        <v>16</v>
      </c>
      <c r="I2639">
        <v>5088</v>
      </c>
      <c r="J2639" t="s">
        <v>2311</v>
      </c>
      <c r="K2639">
        <f t="shared" si="369"/>
        <v>5088</v>
      </c>
      <c r="N2639" t="str">
        <f t="shared" si="370"/>
        <v>HOLDING REGISTER</v>
      </c>
      <c r="O2639" t="str">
        <f t="shared" si="371"/>
        <v>INT</v>
      </c>
      <c r="P2639" t="str">
        <f t="shared" si="372"/>
        <v>JETFAN V3SX</v>
      </c>
      <c r="R2639" t="str">
        <f t="shared" si="373"/>
        <v>Ore Inattivo</v>
      </c>
      <c r="U2639" t="str">
        <f t="shared" si="374"/>
        <v>Misura</v>
      </c>
      <c r="V2639" t="str">
        <f t="shared" si="375"/>
        <v>GALLERIA</v>
      </c>
      <c r="W2639" t="str">
        <f t="shared" si="376"/>
        <v>GALLERIA CASOLA</v>
      </c>
      <c r="Z2639" t="str">
        <f t="shared" si="377"/>
        <v>10.220.80.16</v>
      </c>
    </row>
    <row r="2640" spans="1:26" x14ac:dyDescent="0.25">
      <c r="A2640" t="s">
        <v>10</v>
      </c>
      <c r="B2640" t="s">
        <v>1206</v>
      </c>
      <c r="C2640" t="s">
        <v>2173</v>
      </c>
      <c r="D2640" t="s">
        <v>2174</v>
      </c>
      <c r="E2640" t="s">
        <v>2264</v>
      </c>
      <c r="F2640" t="s">
        <v>14</v>
      </c>
      <c r="G2640" t="s">
        <v>15</v>
      </c>
      <c r="H2640" t="s">
        <v>16</v>
      </c>
      <c r="I2640">
        <v>5089</v>
      </c>
      <c r="J2640" t="s">
        <v>2312</v>
      </c>
      <c r="K2640">
        <f t="shared" si="369"/>
        <v>5089</v>
      </c>
      <c r="N2640" t="str">
        <f t="shared" si="370"/>
        <v>HOLDING REGISTER</v>
      </c>
      <c r="O2640" t="str">
        <f t="shared" si="371"/>
        <v>INT</v>
      </c>
      <c r="P2640" t="str">
        <f t="shared" si="372"/>
        <v>JETFAN V3SX</v>
      </c>
      <c r="R2640" t="str">
        <f t="shared" si="373"/>
        <v>Num. Avviamenti</v>
      </c>
      <c r="U2640" t="str">
        <f t="shared" si="374"/>
        <v>Misura</v>
      </c>
      <c r="V2640" t="str">
        <f t="shared" si="375"/>
        <v>GALLERIA</v>
      </c>
      <c r="W2640" t="str">
        <f t="shared" si="376"/>
        <v>GALLERIA CASOLA</v>
      </c>
      <c r="Z2640" t="str">
        <f t="shared" si="377"/>
        <v>10.220.80.16</v>
      </c>
    </row>
    <row r="2641" spans="1:26" x14ac:dyDescent="0.25">
      <c r="A2641" t="s">
        <v>10</v>
      </c>
      <c r="B2641" t="s">
        <v>1206</v>
      </c>
      <c r="C2641" t="s">
        <v>2173</v>
      </c>
      <c r="D2641" t="s">
        <v>2313</v>
      </c>
      <c r="E2641" t="s">
        <v>2313</v>
      </c>
      <c r="F2641" t="s">
        <v>14</v>
      </c>
      <c r="G2641" t="s">
        <v>28</v>
      </c>
      <c r="H2641" t="s">
        <v>22</v>
      </c>
      <c r="I2641" t="s">
        <v>3480</v>
      </c>
      <c r="J2641" t="s">
        <v>2315</v>
      </c>
      <c r="K2641" t="str">
        <f t="shared" si="369"/>
        <v>5090.0</v>
      </c>
      <c r="N2641" t="str">
        <f t="shared" si="370"/>
        <v>HOLDING REGISTER</v>
      </c>
      <c r="O2641" t="str">
        <f t="shared" si="371"/>
        <v>BOOL</v>
      </c>
      <c r="P2641" t="str">
        <f t="shared" si="372"/>
        <v>SOGLIE INQUINANTI SOGLIE INQUINANTI</v>
      </c>
      <c r="R2641" t="str">
        <f t="shared" si="373"/>
        <v>SOGLIA ATTIVA 1</v>
      </c>
      <c r="U2641" t="str">
        <f t="shared" si="374"/>
        <v>Allarme</v>
      </c>
      <c r="V2641" t="str">
        <f t="shared" si="375"/>
        <v>GALLERIA</v>
      </c>
      <c r="W2641" t="str">
        <f t="shared" si="376"/>
        <v>GALLERIA CASOLA</v>
      </c>
      <c r="Z2641" t="str">
        <f t="shared" si="377"/>
        <v>10.220.80.16</v>
      </c>
    </row>
    <row r="2642" spans="1:26" x14ac:dyDescent="0.25">
      <c r="A2642" t="s">
        <v>10</v>
      </c>
      <c r="B2642" t="s">
        <v>1206</v>
      </c>
      <c r="C2642" t="s">
        <v>2173</v>
      </c>
      <c r="D2642" t="s">
        <v>2313</v>
      </c>
      <c r="E2642" t="s">
        <v>2313</v>
      </c>
      <c r="F2642" t="s">
        <v>14</v>
      </c>
      <c r="G2642" t="s">
        <v>28</v>
      </c>
      <c r="H2642" t="s">
        <v>22</v>
      </c>
      <c r="I2642" t="s">
        <v>3481</v>
      </c>
      <c r="J2642" t="s">
        <v>2317</v>
      </c>
      <c r="K2642" t="str">
        <f t="shared" si="369"/>
        <v>5090.1</v>
      </c>
      <c r="N2642" t="str">
        <f t="shared" si="370"/>
        <v>HOLDING REGISTER</v>
      </c>
      <c r="O2642" t="str">
        <f t="shared" si="371"/>
        <v>BOOL</v>
      </c>
      <c r="P2642" t="str">
        <f t="shared" si="372"/>
        <v>SOGLIE INQUINANTI SOGLIE INQUINANTI</v>
      </c>
      <c r="R2642" t="str">
        <f t="shared" si="373"/>
        <v>SOGLIA ATTIVA 2</v>
      </c>
      <c r="U2642" t="str">
        <f t="shared" si="374"/>
        <v>Allarme</v>
      </c>
      <c r="V2642" t="str">
        <f t="shared" si="375"/>
        <v>GALLERIA</v>
      </c>
      <c r="W2642" t="str">
        <f t="shared" si="376"/>
        <v>GALLERIA CASOLA</v>
      </c>
      <c r="Z2642" t="str">
        <f t="shared" si="377"/>
        <v>10.220.80.16</v>
      </c>
    </row>
    <row r="2643" spans="1:26" x14ac:dyDescent="0.25">
      <c r="A2643" t="s">
        <v>10</v>
      </c>
      <c r="B2643" t="s">
        <v>1206</v>
      </c>
      <c r="C2643" t="s">
        <v>2173</v>
      </c>
      <c r="D2643" t="s">
        <v>2313</v>
      </c>
      <c r="E2643" t="s">
        <v>2313</v>
      </c>
      <c r="F2643" t="s">
        <v>14</v>
      </c>
      <c r="G2643" t="s">
        <v>28</v>
      </c>
      <c r="H2643" t="s">
        <v>22</v>
      </c>
      <c r="I2643" t="s">
        <v>3482</v>
      </c>
      <c r="J2643" t="s">
        <v>2319</v>
      </c>
      <c r="K2643" t="str">
        <f t="shared" si="369"/>
        <v>5090.2</v>
      </c>
      <c r="N2643" t="str">
        <f t="shared" si="370"/>
        <v>HOLDING REGISTER</v>
      </c>
      <c r="O2643" t="str">
        <f t="shared" si="371"/>
        <v>BOOL</v>
      </c>
      <c r="P2643" t="str">
        <f t="shared" si="372"/>
        <v>SOGLIE INQUINANTI SOGLIE INQUINANTI</v>
      </c>
      <c r="R2643" t="str">
        <f t="shared" si="373"/>
        <v>SOGLIA ATTIVA 3</v>
      </c>
      <c r="U2643" t="str">
        <f t="shared" si="374"/>
        <v>Allarme</v>
      </c>
      <c r="V2643" t="str">
        <f t="shared" si="375"/>
        <v>GALLERIA</v>
      </c>
      <c r="W2643" t="str">
        <f t="shared" si="376"/>
        <v>GALLERIA CASOLA</v>
      </c>
      <c r="Z2643" t="str">
        <f t="shared" si="377"/>
        <v>10.220.80.16</v>
      </c>
    </row>
    <row r="2644" spans="1:26" x14ac:dyDescent="0.25">
      <c r="A2644" t="s">
        <v>10</v>
      </c>
      <c r="B2644" t="s">
        <v>1206</v>
      </c>
      <c r="C2644" t="s">
        <v>2173</v>
      </c>
      <c r="D2644" t="s">
        <v>2320</v>
      </c>
      <c r="E2644" t="s">
        <v>2320</v>
      </c>
      <c r="F2644" t="s">
        <v>14</v>
      </c>
      <c r="G2644" t="s">
        <v>21</v>
      </c>
      <c r="H2644" t="s">
        <v>22</v>
      </c>
      <c r="I2644" t="s">
        <v>3483</v>
      </c>
      <c r="J2644" t="s">
        <v>2322</v>
      </c>
      <c r="K2644" t="str">
        <f t="shared" si="369"/>
        <v>5090.3</v>
      </c>
      <c r="N2644" t="str">
        <f t="shared" si="370"/>
        <v>HOLDING REGISTER</v>
      </c>
      <c r="O2644" t="str">
        <f t="shared" si="371"/>
        <v>BOOL</v>
      </c>
      <c r="P2644" t="str">
        <f t="shared" si="372"/>
        <v>DIREZIONE VENTO DIREZIONE VENTO</v>
      </c>
      <c r="R2644" t="str">
        <f t="shared" si="373"/>
        <v>DIREZIONE VENTO (Nord=0 – Sud=1)</v>
      </c>
      <c r="U2644" t="str">
        <f t="shared" si="374"/>
        <v>Stato</v>
      </c>
      <c r="V2644" t="str">
        <f t="shared" si="375"/>
        <v>GALLERIA</v>
      </c>
      <c r="W2644" t="str">
        <f t="shared" si="376"/>
        <v>GALLERIA CASOLA</v>
      </c>
      <c r="Z2644" t="str">
        <f t="shared" si="377"/>
        <v>10.220.80.16</v>
      </c>
    </row>
    <row r="2645" spans="1:26" x14ac:dyDescent="0.25">
      <c r="A2645" t="s">
        <v>10</v>
      </c>
      <c r="B2645" t="s">
        <v>1206</v>
      </c>
      <c r="C2645" t="s">
        <v>2173</v>
      </c>
      <c r="D2645" t="s">
        <v>2323</v>
      </c>
      <c r="E2645" t="s">
        <v>2323</v>
      </c>
      <c r="F2645" t="s">
        <v>14</v>
      </c>
      <c r="G2645" t="s">
        <v>28</v>
      </c>
      <c r="H2645" t="s">
        <v>22</v>
      </c>
      <c r="I2645" t="s">
        <v>3484</v>
      </c>
      <c r="J2645" t="s">
        <v>2325</v>
      </c>
      <c r="K2645" t="str">
        <f t="shared" si="369"/>
        <v>5090.4</v>
      </c>
      <c r="N2645" t="str">
        <f t="shared" si="370"/>
        <v>HOLDING REGISTER</v>
      </c>
      <c r="O2645" t="str">
        <f t="shared" si="371"/>
        <v>BOOL</v>
      </c>
      <c r="P2645" t="str">
        <f t="shared" si="372"/>
        <v>CONTROLLO JETFAN CONTROLLO JETFAN</v>
      </c>
      <c r="R2645" t="str">
        <f t="shared" si="373"/>
        <v>NUMERO INSUFFICIENTE DI VENTILATORI DA AVVIARE</v>
      </c>
      <c r="U2645" t="str">
        <f t="shared" si="374"/>
        <v>Allarme</v>
      </c>
      <c r="V2645" t="str">
        <f t="shared" si="375"/>
        <v>GALLERIA</v>
      </c>
      <c r="W2645" t="str">
        <f t="shared" si="376"/>
        <v>GALLERIA CASOLA</v>
      </c>
      <c r="Z2645" t="str">
        <f t="shared" si="377"/>
        <v>10.220.80.16</v>
      </c>
    </row>
    <row r="2646" spans="1:26" x14ac:dyDescent="0.25">
      <c r="A2646" t="s">
        <v>10</v>
      </c>
      <c r="B2646" t="s">
        <v>1206</v>
      </c>
      <c r="C2646" t="s">
        <v>2326</v>
      </c>
      <c r="D2646" t="s">
        <v>555</v>
      </c>
      <c r="E2646" t="s">
        <v>2327</v>
      </c>
      <c r="F2646" t="s">
        <v>14</v>
      </c>
      <c r="G2646" t="s">
        <v>21</v>
      </c>
      <c r="H2646" t="s">
        <v>22</v>
      </c>
      <c r="I2646" t="s">
        <v>3485</v>
      </c>
      <c r="J2646" t="s">
        <v>2329</v>
      </c>
      <c r="K2646" t="str">
        <f t="shared" si="369"/>
        <v>5090.5</v>
      </c>
      <c r="N2646" t="str">
        <f t="shared" si="370"/>
        <v>HOLDING REGISTER</v>
      </c>
      <c r="O2646" t="str">
        <f t="shared" si="371"/>
        <v>BOOL</v>
      </c>
      <c r="P2646" t="str">
        <f t="shared" si="372"/>
        <v>SELETTORE QVF NORD</v>
      </c>
      <c r="R2646" t="str">
        <f t="shared" si="373"/>
        <v>QVF IN LOCALE</v>
      </c>
      <c r="U2646" t="str">
        <f t="shared" si="374"/>
        <v>Stato</v>
      </c>
      <c r="V2646" t="str">
        <f t="shared" si="375"/>
        <v>QVF</v>
      </c>
      <c r="W2646" t="str">
        <f t="shared" si="376"/>
        <v>GALLERIA CASOLA</v>
      </c>
      <c r="Z2646" t="str">
        <f t="shared" si="377"/>
        <v>10.220.80.16</v>
      </c>
    </row>
    <row r="2647" spans="1:26" x14ac:dyDescent="0.25">
      <c r="A2647" t="s">
        <v>10</v>
      </c>
      <c r="B2647" t="s">
        <v>1206</v>
      </c>
      <c r="C2647" t="s">
        <v>2326</v>
      </c>
      <c r="D2647" t="s">
        <v>555</v>
      </c>
      <c r="E2647" t="s">
        <v>2327</v>
      </c>
      <c r="F2647" t="s">
        <v>14</v>
      </c>
      <c r="G2647" t="s">
        <v>21</v>
      </c>
      <c r="H2647" t="s">
        <v>22</v>
      </c>
      <c r="I2647" t="s">
        <v>3486</v>
      </c>
      <c r="J2647" t="s">
        <v>1761</v>
      </c>
      <c r="K2647" t="str">
        <f t="shared" si="369"/>
        <v>5090.6</v>
      </c>
      <c r="N2647" t="str">
        <f t="shared" si="370"/>
        <v>HOLDING REGISTER</v>
      </c>
      <c r="O2647" t="str">
        <f t="shared" si="371"/>
        <v>BOOL</v>
      </c>
      <c r="P2647" t="str">
        <f t="shared" si="372"/>
        <v>SELETTORE QVF NORD</v>
      </c>
      <c r="R2647" t="str">
        <f t="shared" si="373"/>
        <v>DIREZIONE NORD</v>
      </c>
      <c r="U2647" t="str">
        <f t="shared" si="374"/>
        <v>Stato</v>
      </c>
      <c r="V2647" t="str">
        <f t="shared" si="375"/>
        <v>QVF</v>
      </c>
      <c r="W2647" t="str">
        <f t="shared" si="376"/>
        <v>GALLERIA CASOLA</v>
      </c>
      <c r="Z2647" t="str">
        <f t="shared" si="377"/>
        <v>10.220.80.16</v>
      </c>
    </row>
    <row r="2648" spans="1:26" x14ac:dyDescent="0.25">
      <c r="A2648" t="s">
        <v>10</v>
      </c>
      <c r="B2648" t="s">
        <v>1206</v>
      </c>
      <c r="C2648" t="s">
        <v>2326</v>
      </c>
      <c r="D2648" t="s">
        <v>555</v>
      </c>
      <c r="E2648" t="s">
        <v>2327</v>
      </c>
      <c r="F2648" t="s">
        <v>14</v>
      </c>
      <c r="G2648" t="s">
        <v>21</v>
      </c>
      <c r="H2648" t="s">
        <v>22</v>
      </c>
      <c r="I2648" t="s">
        <v>3487</v>
      </c>
      <c r="J2648" t="s">
        <v>1618</v>
      </c>
      <c r="K2648" t="str">
        <f t="shared" si="369"/>
        <v>5090.7</v>
      </c>
      <c r="N2648" t="str">
        <f t="shared" si="370"/>
        <v>HOLDING REGISTER</v>
      </c>
      <c r="O2648" t="str">
        <f t="shared" si="371"/>
        <v>BOOL</v>
      </c>
      <c r="P2648" t="str">
        <f t="shared" si="372"/>
        <v>SELETTORE QVF NORD</v>
      </c>
      <c r="R2648" t="str">
        <f t="shared" si="373"/>
        <v>DIREZIONE SUD</v>
      </c>
      <c r="U2648" t="str">
        <f t="shared" si="374"/>
        <v>Stato</v>
      </c>
      <c r="V2648" t="str">
        <f t="shared" si="375"/>
        <v>QVF</v>
      </c>
      <c r="W2648" t="str">
        <f t="shared" si="376"/>
        <v>GALLERIA CASOLA</v>
      </c>
      <c r="Z2648" t="str">
        <f t="shared" si="377"/>
        <v>10.220.80.16</v>
      </c>
    </row>
    <row r="2649" spans="1:26" x14ac:dyDescent="0.25">
      <c r="A2649" t="s">
        <v>10</v>
      </c>
      <c r="B2649" t="s">
        <v>1206</v>
      </c>
      <c r="C2649" t="s">
        <v>2326</v>
      </c>
      <c r="D2649" t="s">
        <v>555</v>
      </c>
      <c r="E2649" t="s">
        <v>2327</v>
      </c>
      <c r="F2649" t="s">
        <v>14</v>
      </c>
      <c r="G2649" t="s">
        <v>21</v>
      </c>
      <c r="H2649" t="s">
        <v>22</v>
      </c>
      <c r="I2649" t="s">
        <v>3488</v>
      </c>
      <c r="J2649" t="s">
        <v>2333</v>
      </c>
      <c r="K2649" t="str">
        <f t="shared" si="369"/>
        <v>5090.8</v>
      </c>
      <c r="N2649" t="str">
        <f t="shared" si="370"/>
        <v>HOLDING REGISTER</v>
      </c>
      <c r="O2649" t="str">
        <f t="shared" si="371"/>
        <v>BOOL</v>
      </c>
      <c r="P2649" t="str">
        <f t="shared" si="372"/>
        <v>SELETTORE QVF NORD</v>
      </c>
      <c r="R2649" t="str">
        <f t="shared" si="373"/>
        <v>V1 VENT. ON</v>
      </c>
      <c r="U2649" t="str">
        <f t="shared" si="374"/>
        <v>Stato</v>
      </c>
      <c r="V2649" t="str">
        <f t="shared" si="375"/>
        <v>QVF</v>
      </c>
      <c r="W2649" t="str">
        <f t="shared" si="376"/>
        <v>GALLERIA CASOLA</v>
      </c>
      <c r="Z2649" t="str">
        <f t="shared" si="377"/>
        <v>10.220.80.16</v>
      </c>
    </row>
    <row r="2650" spans="1:26" x14ac:dyDescent="0.25">
      <c r="A2650" t="s">
        <v>10</v>
      </c>
      <c r="B2650" t="s">
        <v>1206</v>
      </c>
      <c r="C2650" t="s">
        <v>2326</v>
      </c>
      <c r="D2650" t="s">
        <v>555</v>
      </c>
      <c r="E2650" t="s">
        <v>2327</v>
      </c>
      <c r="F2650" t="s">
        <v>14</v>
      </c>
      <c r="G2650" t="s">
        <v>21</v>
      </c>
      <c r="H2650" t="s">
        <v>22</v>
      </c>
      <c r="I2650" t="s">
        <v>3489</v>
      </c>
      <c r="J2650" t="s">
        <v>2335</v>
      </c>
      <c r="K2650" t="str">
        <f t="shared" si="369"/>
        <v>5090.9</v>
      </c>
      <c r="N2650" t="str">
        <f t="shared" si="370"/>
        <v>HOLDING REGISTER</v>
      </c>
      <c r="O2650" t="str">
        <f t="shared" si="371"/>
        <v>BOOL</v>
      </c>
      <c r="P2650" t="str">
        <f t="shared" si="372"/>
        <v>SELETTORE QVF NORD</v>
      </c>
      <c r="R2650" t="str">
        <f t="shared" si="373"/>
        <v>V2 VENT. ON</v>
      </c>
      <c r="U2650" t="str">
        <f t="shared" si="374"/>
        <v>Stato</v>
      </c>
      <c r="V2650" t="str">
        <f t="shared" si="375"/>
        <v>QVF</v>
      </c>
      <c r="W2650" t="str">
        <f t="shared" si="376"/>
        <v>GALLERIA CASOLA</v>
      </c>
      <c r="Z2650" t="str">
        <f t="shared" si="377"/>
        <v>10.220.80.16</v>
      </c>
    </row>
    <row r="2651" spans="1:26" x14ac:dyDescent="0.25">
      <c r="A2651" t="s">
        <v>10</v>
      </c>
      <c r="B2651" t="s">
        <v>1206</v>
      </c>
      <c r="C2651" t="s">
        <v>2326</v>
      </c>
      <c r="D2651" t="s">
        <v>555</v>
      </c>
      <c r="E2651" t="s">
        <v>2327</v>
      </c>
      <c r="F2651" t="s">
        <v>14</v>
      </c>
      <c r="G2651" t="s">
        <v>21</v>
      </c>
      <c r="H2651" t="s">
        <v>22</v>
      </c>
      <c r="I2651" t="s">
        <v>3490</v>
      </c>
      <c r="J2651" t="s">
        <v>2337</v>
      </c>
      <c r="K2651" t="str">
        <f t="shared" si="369"/>
        <v>5090.10</v>
      </c>
      <c r="N2651" t="str">
        <f t="shared" si="370"/>
        <v>HOLDING REGISTER</v>
      </c>
      <c r="O2651" t="str">
        <f t="shared" si="371"/>
        <v>BOOL</v>
      </c>
      <c r="P2651" t="str">
        <f t="shared" si="372"/>
        <v>SELETTORE QVF NORD</v>
      </c>
      <c r="R2651" t="str">
        <f t="shared" si="373"/>
        <v>V3 VENT. ON</v>
      </c>
      <c r="U2651" t="str">
        <f t="shared" si="374"/>
        <v>Stato</v>
      </c>
      <c r="V2651" t="str">
        <f t="shared" si="375"/>
        <v>QVF</v>
      </c>
      <c r="W2651" t="str">
        <f t="shared" si="376"/>
        <v>GALLERIA CASOLA</v>
      </c>
      <c r="Z2651" t="str">
        <f t="shared" si="377"/>
        <v>10.220.80.16</v>
      </c>
    </row>
    <row r="2652" spans="1:26" x14ac:dyDescent="0.25">
      <c r="A2652" t="s">
        <v>10</v>
      </c>
      <c r="B2652" t="s">
        <v>1206</v>
      </c>
      <c r="C2652" t="s">
        <v>2326</v>
      </c>
      <c r="D2652" t="s">
        <v>2340</v>
      </c>
      <c r="E2652" t="s">
        <v>2327</v>
      </c>
      <c r="F2652" t="s">
        <v>14</v>
      </c>
      <c r="G2652" t="s">
        <v>21</v>
      </c>
      <c r="H2652" t="s">
        <v>22</v>
      </c>
      <c r="I2652" t="s">
        <v>3491</v>
      </c>
      <c r="J2652" t="s">
        <v>2342</v>
      </c>
      <c r="K2652" t="str">
        <f t="shared" si="369"/>
        <v>5090.11</v>
      </c>
      <c r="N2652" t="str">
        <f t="shared" si="370"/>
        <v>HOLDING REGISTER</v>
      </c>
      <c r="O2652" t="str">
        <f t="shared" si="371"/>
        <v>BOOL</v>
      </c>
      <c r="P2652" t="str">
        <f t="shared" si="372"/>
        <v>PRESA COMANDI QVF NORD</v>
      </c>
      <c r="R2652" t="str">
        <f t="shared" si="373"/>
        <v>QUADRO ATTIVO</v>
      </c>
      <c r="U2652" t="str">
        <f t="shared" si="374"/>
        <v>Stato</v>
      </c>
      <c r="V2652" t="str">
        <f t="shared" si="375"/>
        <v>QVF</v>
      </c>
      <c r="W2652" t="str">
        <f t="shared" si="376"/>
        <v>GALLERIA CASOLA</v>
      </c>
      <c r="Z2652" t="str">
        <f t="shared" si="377"/>
        <v>10.220.80.16</v>
      </c>
    </row>
    <row r="2653" spans="1:26" x14ac:dyDescent="0.25">
      <c r="A2653" t="s">
        <v>10</v>
      </c>
      <c r="B2653" t="s">
        <v>1206</v>
      </c>
      <c r="C2653" t="s">
        <v>2326</v>
      </c>
      <c r="D2653" t="s">
        <v>12</v>
      </c>
      <c r="E2653" t="s">
        <v>2327</v>
      </c>
      <c r="F2653" t="s">
        <v>14</v>
      </c>
      <c r="G2653" t="s">
        <v>28</v>
      </c>
      <c r="H2653" t="s">
        <v>22</v>
      </c>
      <c r="I2653" t="s">
        <v>3492</v>
      </c>
      <c r="J2653" t="s">
        <v>1381</v>
      </c>
      <c r="K2653" t="str">
        <f t="shared" si="369"/>
        <v>5090.12</v>
      </c>
      <c r="N2653" t="str">
        <f t="shared" si="370"/>
        <v>HOLDING REGISTER</v>
      </c>
      <c r="O2653" t="str">
        <f t="shared" si="371"/>
        <v>BOOL</v>
      </c>
      <c r="P2653" t="str">
        <f t="shared" si="372"/>
        <v>PLC QVF NORD</v>
      </c>
      <c r="R2653" t="str">
        <f t="shared" si="373"/>
        <v>PLC IN STOP</v>
      </c>
      <c r="U2653" t="str">
        <f t="shared" si="374"/>
        <v>Allarme</v>
      </c>
      <c r="V2653" t="str">
        <f t="shared" si="375"/>
        <v>QVF</v>
      </c>
      <c r="W2653" t="str">
        <f t="shared" si="376"/>
        <v>GALLERIA CASOLA</v>
      </c>
      <c r="Z2653" t="str">
        <f t="shared" si="377"/>
        <v>10.220.80.16</v>
      </c>
    </row>
    <row r="2654" spans="1:26" x14ac:dyDescent="0.25">
      <c r="A2654" t="s">
        <v>10</v>
      </c>
      <c r="B2654" t="s">
        <v>1206</v>
      </c>
      <c r="C2654" t="s">
        <v>2326</v>
      </c>
      <c r="D2654" t="s">
        <v>12</v>
      </c>
      <c r="E2654" t="s">
        <v>2327</v>
      </c>
      <c r="F2654" t="s">
        <v>14</v>
      </c>
      <c r="G2654" t="s">
        <v>28</v>
      </c>
      <c r="H2654" t="s">
        <v>22</v>
      </c>
      <c r="I2654" t="s">
        <v>3493</v>
      </c>
      <c r="J2654" t="s">
        <v>1383</v>
      </c>
      <c r="K2654" t="str">
        <f t="shared" si="369"/>
        <v>5090.13</v>
      </c>
      <c r="N2654" t="str">
        <f t="shared" si="370"/>
        <v>HOLDING REGISTER</v>
      </c>
      <c r="O2654" t="str">
        <f t="shared" si="371"/>
        <v>BOOL</v>
      </c>
      <c r="P2654" t="str">
        <f t="shared" si="372"/>
        <v>PLC QVF NORD</v>
      </c>
      <c r="R2654" t="str">
        <f t="shared" si="373"/>
        <v>FAULT COMUNICAZIONE ETHERNET</v>
      </c>
      <c r="U2654" t="str">
        <f t="shared" si="374"/>
        <v>Allarme</v>
      </c>
      <c r="V2654" t="str">
        <f t="shared" si="375"/>
        <v>QVF</v>
      </c>
      <c r="W2654" t="str">
        <f t="shared" si="376"/>
        <v>GALLERIA CASOLA</v>
      </c>
      <c r="Z2654" t="str">
        <f t="shared" si="377"/>
        <v>10.220.80.16</v>
      </c>
    </row>
    <row r="2655" spans="1:26" x14ac:dyDescent="0.25">
      <c r="A2655" t="s">
        <v>10</v>
      </c>
      <c r="B2655" t="s">
        <v>1206</v>
      </c>
      <c r="C2655" t="s">
        <v>2326</v>
      </c>
      <c r="D2655" t="s">
        <v>555</v>
      </c>
      <c r="E2655" t="s">
        <v>2345</v>
      </c>
      <c r="F2655" t="s">
        <v>14</v>
      </c>
      <c r="G2655" t="s">
        <v>21</v>
      </c>
      <c r="H2655" t="s">
        <v>22</v>
      </c>
      <c r="I2655" t="s">
        <v>3494</v>
      </c>
      <c r="J2655" t="s">
        <v>2329</v>
      </c>
      <c r="K2655" t="str">
        <f t="shared" si="369"/>
        <v>5090.14</v>
      </c>
      <c r="N2655" t="str">
        <f t="shared" si="370"/>
        <v>HOLDING REGISTER</v>
      </c>
      <c r="O2655" t="str">
        <f t="shared" si="371"/>
        <v>BOOL</v>
      </c>
      <c r="P2655" t="str">
        <f t="shared" si="372"/>
        <v>SELETTORE QVF SUD</v>
      </c>
      <c r="R2655" t="str">
        <f t="shared" si="373"/>
        <v>QVF IN LOCALE</v>
      </c>
      <c r="U2655" t="str">
        <f t="shared" si="374"/>
        <v>Stato</v>
      </c>
      <c r="V2655" t="str">
        <f t="shared" si="375"/>
        <v>QVF</v>
      </c>
      <c r="W2655" t="str">
        <f t="shared" si="376"/>
        <v>GALLERIA CASOLA</v>
      </c>
      <c r="Z2655" t="str">
        <f t="shared" si="377"/>
        <v>10.220.80.16</v>
      </c>
    </row>
    <row r="2656" spans="1:26" x14ac:dyDescent="0.25">
      <c r="A2656" t="s">
        <v>10</v>
      </c>
      <c r="B2656" t="s">
        <v>1206</v>
      </c>
      <c r="C2656" t="s">
        <v>2326</v>
      </c>
      <c r="D2656" t="s">
        <v>555</v>
      </c>
      <c r="E2656" t="s">
        <v>2345</v>
      </c>
      <c r="F2656" t="s">
        <v>14</v>
      </c>
      <c r="G2656" t="s">
        <v>21</v>
      </c>
      <c r="H2656" t="s">
        <v>22</v>
      </c>
      <c r="I2656" t="s">
        <v>3495</v>
      </c>
      <c r="J2656" t="s">
        <v>1761</v>
      </c>
      <c r="K2656" t="str">
        <f t="shared" si="369"/>
        <v>5090.15</v>
      </c>
      <c r="N2656" t="str">
        <f t="shared" si="370"/>
        <v>HOLDING REGISTER</v>
      </c>
      <c r="O2656" t="str">
        <f t="shared" si="371"/>
        <v>BOOL</v>
      </c>
      <c r="P2656" t="str">
        <f t="shared" si="372"/>
        <v>SELETTORE QVF SUD</v>
      </c>
      <c r="R2656" t="str">
        <f t="shared" si="373"/>
        <v>DIREZIONE NORD</v>
      </c>
      <c r="U2656" t="str">
        <f t="shared" si="374"/>
        <v>Stato</v>
      </c>
      <c r="V2656" t="str">
        <f t="shared" si="375"/>
        <v>QVF</v>
      </c>
      <c r="W2656" t="str">
        <f t="shared" si="376"/>
        <v>GALLERIA CASOLA</v>
      </c>
      <c r="Z2656" t="str">
        <f t="shared" si="377"/>
        <v>10.220.80.16</v>
      </c>
    </row>
    <row r="2657" spans="1:26" x14ac:dyDescent="0.25">
      <c r="A2657" t="s">
        <v>10</v>
      </c>
      <c r="B2657" t="s">
        <v>1206</v>
      </c>
      <c r="C2657" t="s">
        <v>2326</v>
      </c>
      <c r="D2657" t="s">
        <v>555</v>
      </c>
      <c r="E2657" t="s">
        <v>2345</v>
      </c>
      <c r="F2657" t="s">
        <v>14</v>
      </c>
      <c r="G2657" t="s">
        <v>21</v>
      </c>
      <c r="H2657" t="s">
        <v>22</v>
      </c>
      <c r="I2657" t="s">
        <v>3496</v>
      </c>
      <c r="J2657" t="s">
        <v>1618</v>
      </c>
      <c r="K2657" t="str">
        <f t="shared" si="369"/>
        <v>5091.0</v>
      </c>
      <c r="N2657" t="str">
        <f t="shared" si="370"/>
        <v>HOLDING REGISTER</v>
      </c>
      <c r="O2657" t="str">
        <f t="shared" si="371"/>
        <v>BOOL</v>
      </c>
      <c r="P2657" t="str">
        <f t="shared" si="372"/>
        <v>SELETTORE QVF SUD</v>
      </c>
      <c r="R2657" t="str">
        <f t="shared" si="373"/>
        <v>DIREZIONE SUD</v>
      </c>
      <c r="U2657" t="str">
        <f t="shared" si="374"/>
        <v>Stato</v>
      </c>
      <c r="V2657" t="str">
        <f t="shared" si="375"/>
        <v>QVF</v>
      </c>
      <c r="W2657" t="str">
        <f t="shared" si="376"/>
        <v>GALLERIA CASOLA</v>
      </c>
      <c r="Z2657" t="str">
        <f t="shared" si="377"/>
        <v>10.220.80.16</v>
      </c>
    </row>
    <row r="2658" spans="1:26" x14ac:dyDescent="0.25">
      <c r="A2658" t="s">
        <v>10</v>
      </c>
      <c r="B2658" t="s">
        <v>1206</v>
      </c>
      <c r="C2658" t="s">
        <v>2326</v>
      </c>
      <c r="D2658" t="s">
        <v>555</v>
      </c>
      <c r="E2658" t="s">
        <v>2345</v>
      </c>
      <c r="F2658" t="s">
        <v>14</v>
      </c>
      <c r="G2658" t="s">
        <v>21</v>
      </c>
      <c r="H2658" t="s">
        <v>22</v>
      </c>
      <c r="I2658" t="s">
        <v>3497</v>
      </c>
      <c r="J2658" t="s">
        <v>2333</v>
      </c>
      <c r="K2658" t="str">
        <f t="shared" si="369"/>
        <v>5091.1</v>
      </c>
      <c r="N2658" t="str">
        <f t="shared" si="370"/>
        <v>HOLDING REGISTER</v>
      </c>
      <c r="O2658" t="str">
        <f t="shared" si="371"/>
        <v>BOOL</v>
      </c>
      <c r="P2658" t="str">
        <f t="shared" si="372"/>
        <v>SELETTORE QVF SUD</v>
      </c>
      <c r="R2658" t="str">
        <f t="shared" si="373"/>
        <v>V1 VENT. ON</v>
      </c>
      <c r="U2658" t="str">
        <f t="shared" si="374"/>
        <v>Stato</v>
      </c>
      <c r="V2658" t="str">
        <f t="shared" si="375"/>
        <v>QVF</v>
      </c>
      <c r="W2658" t="str">
        <f t="shared" si="376"/>
        <v>GALLERIA CASOLA</v>
      </c>
      <c r="Z2658" t="str">
        <f t="shared" si="377"/>
        <v>10.220.80.16</v>
      </c>
    </row>
    <row r="2659" spans="1:26" x14ac:dyDescent="0.25">
      <c r="A2659" t="s">
        <v>10</v>
      </c>
      <c r="B2659" t="s">
        <v>1206</v>
      </c>
      <c r="C2659" t="s">
        <v>2326</v>
      </c>
      <c r="D2659" t="s">
        <v>555</v>
      </c>
      <c r="E2659" t="s">
        <v>2345</v>
      </c>
      <c r="F2659" t="s">
        <v>14</v>
      </c>
      <c r="G2659" t="s">
        <v>21</v>
      </c>
      <c r="H2659" t="s">
        <v>22</v>
      </c>
      <c r="I2659" t="s">
        <v>3498</v>
      </c>
      <c r="J2659" t="s">
        <v>2335</v>
      </c>
      <c r="K2659" t="str">
        <f t="shared" si="369"/>
        <v>5091.2</v>
      </c>
      <c r="N2659" t="str">
        <f t="shared" si="370"/>
        <v>HOLDING REGISTER</v>
      </c>
      <c r="O2659" t="str">
        <f t="shared" si="371"/>
        <v>BOOL</v>
      </c>
      <c r="P2659" t="str">
        <f t="shared" si="372"/>
        <v>SELETTORE QVF SUD</v>
      </c>
      <c r="R2659" t="str">
        <f t="shared" si="373"/>
        <v>V2 VENT. ON</v>
      </c>
      <c r="U2659" t="str">
        <f t="shared" si="374"/>
        <v>Stato</v>
      </c>
      <c r="V2659" t="str">
        <f t="shared" si="375"/>
        <v>QVF</v>
      </c>
      <c r="W2659" t="str">
        <f t="shared" si="376"/>
        <v>GALLERIA CASOLA</v>
      </c>
      <c r="Z2659" t="str">
        <f t="shared" si="377"/>
        <v>10.220.80.16</v>
      </c>
    </row>
    <row r="2660" spans="1:26" x14ac:dyDescent="0.25">
      <c r="A2660" t="s">
        <v>10</v>
      </c>
      <c r="B2660" t="s">
        <v>1206</v>
      </c>
      <c r="C2660" t="s">
        <v>2326</v>
      </c>
      <c r="D2660" t="s">
        <v>555</v>
      </c>
      <c r="E2660" t="s">
        <v>2345</v>
      </c>
      <c r="F2660" t="s">
        <v>14</v>
      </c>
      <c r="G2660" t="s">
        <v>21</v>
      </c>
      <c r="H2660" t="s">
        <v>22</v>
      </c>
      <c r="I2660" t="s">
        <v>3499</v>
      </c>
      <c r="J2660" t="s">
        <v>2337</v>
      </c>
      <c r="K2660" t="str">
        <f t="shared" si="369"/>
        <v>5091.3</v>
      </c>
      <c r="N2660" t="str">
        <f t="shared" si="370"/>
        <v>HOLDING REGISTER</v>
      </c>
      <c r="O2660" t="str">
        <f t="shared" si="371"/>
        <v>BOOL</v>
      </c>
      <c r="P2660" t="str">
        <f t="shared" si="372"/>
        <v>SELETTORE QVF SUD</v>
      </c>
      <c r="R2660" t="str">
        <f t="shared" si="373"/>
        <v>V3 VENT. ON</v>
      </c>
      <c r="U2660" t="str">
        <f t="shared" si="374"/>
        <v>Stato</v>
      </c>
      <c r="V2660" t="str">
        <f t="shared" si="375"/>
        <v>QVF</v>
      </c>
      <c r="W2660" t="str">
        <f t="shared" si="376"/>
        <v>GALLERIA CASOLA</v>
      </c>
      <c r="Z2660" t="str">
        <f t="shared" si="377"/>
        <v>10.220.80.16</v>
      </c>
    </row>
    <row r="2661" spans="1:26" x14ac:dyDescent="0.25">
      <c r="A2661" t="s">
        <v>10</v>
      </c>
      <c r="B2661" t="s">
        <v>1206</v>
      </c>
      <c r="C2661" t="s">
        <v>2326</v>
      </c>
      <c r="D2661" t="s">
        <v>2340</v>
      </c>
      <c r="E2661" t="s">
        <v>2345</v>
      </c>
      <c r="F2661" t="s">
        <v>14</v>
      </c>
      <c r="G2661" t="s">
        <v>21</v>
      </c>
      <c r="H2661" t="s">
        <v>22</v>
      </c>
      <c r="I2661" t="s">
        <v>3500</v>
      </c>
      <c r="J2661" t="s">
        <v>2342</v>
      </c>
      <c r="K2661" t="str">
        <f t="shared" si="369"/>
        <v>5091.4</v>
      </c>
      <c r="N2661" t="str">
        <f t="shared" si="370"/>
        <v>HOLDING REGISTER</v>
      </c>
      <c r="O2661" t="str">
        <f t="shared" si="371"/>
        <v>BOOL</v>
      </c>
      <c r="P2661" t="str">
        <f t="shared" si="372"/>
        <v>PRESA COMANDI QVF SUD</v>
      </c>
      <c r="R2661" t="str">
        <f t="shared" si="373"/>
        <v>QUADRO ATTIVO</v>
      </c>
      <c r="U2661" t="str">
        <f t="shared" si="374"/>
        <v>Stato</v>
      </c>
      <c r="V2661" t="str">
        <f t="shared" si="375"/>
        <v>QVF</v>
      </c>
      <c r="W2661" t="str">
        <f t="shared" si="376"/>
        <v>GALLERIA CASOLA</v>
      </c>
      <c r="Z2661" t="str">
        <f t="shared" si="377"/>
        <v>10.220.80.16</v>
      </c>
    </row>
    <row r="2662" spans="1:26" x14ac:dyDescent="0.25">
      <c r="A2662" t="s">
        <v>10</v>
      </c>
      <c r="B2662" t="s">
        <v>1206</v>
      </c>
      <c r="C2662" t="s">
        <v>2326</v>
      </c>
      <c r="D2662" t="s">
        <v>12</v>
      </c>
      <c r="E2662" t="s">
        <v>2345</v>
      </c>
      <c r="F2662" t="s">
        <v>14</v>
      </c>
      <c r="G2662" t="s">
        <v>28</v>
      </c>
      <c r="H2662" t="s">
        <v>22</v>
      </c>
      <c r="I2662" t="s">
        <v>3501</v>
      </c>
      <c r="J2662" t="s">
        <v>1381</v>
      </c>
      <c r="K2662" t="str">
        <f t="shared" si="369"/>
        <v>5091.5</v>
      </c>
      <c r="N2662" t="str">
        <f t="shared" si="370"/>
        <v>HOLDING REGISTER</v>
      </c>
      <c r="O2662" t="str">
        <f t="shared" si="371"/>
        <v>BOOL</v>
      </c>
      <c r="P2662" t="str">
        <f t="shared" si="372"/>
        <v>PLC QVF SUD</v>
      </c>
      <c r="R2662" t="str">
        <f t="shared" si="373"/>
        <v>PLC IN STOP</v>
      </c>
      <c r="U2662" t="str">
        <f t="shared" si="374"/>
        <v>Allarme</v>
      </c>
      <c r="V2662" t="str">
        <f t="shared" si="375"/>
        <v>QVF</v>
      </c>
      <c r="W2662" t="str">
        <f t="shared" si="376"/>
        <v>GALLERIA CASOLA</v>
      </c>
      <c r="Z2662" t="str">
        <f t="shared" si="377"/>
        <v>10.220.80.16</v>
      </c>
    </row>
    <row r="2663" spans="1:26" x14ac:dyDescent="0.25">
      <c r="A2663" t="s">
        <v>10</v>
      </c>
      <c r="B2663" t="s">
        <v>1206</v>
      </c>
      <c r="C2663" t="s">
        <v>2326</v>
      </c>
      <c r="D2663" t="s">
        <v>12</v>
      </c>
      <c r="E2663" t="s">
        <v>2345</v>
      </c>
      <c r="F2663" t="s">
        <v>14</v>
      </c>
      <c r="G2663" t="s">
        <v>28</v>
      </c>
      <c r="H2663" t="s">
        <v>22</v>
      </c>
      <c r="I2663" t="s">
        <v>3502</v>
      </c>
      <c r="J2663" t="s">
        <v>1383</v>
      </c>
      <c r="K2663" t="str">
        <f t="shared" si="369"/>
        <v>5091.6</v>
      </c>
      <c r="N2663" t="str">
        <f t="shared" si="370"/>
        <v>HOLDING REGISTER</v>
      </c>
      <c r="O2663" t="str">
        <f t="shared" si="371"/>
        <v>BOOL</v>
      </c>
      <c r="P2663" t="str">
        <f t="shared" si="372"/>
        <v>PLC QVF SUD</v>
      </c>
      <c r="R2663" t="str">
        <f t="shared" si="373"/>
        <v>FAULT COMUNICAZIONE ETHERNET</v>
      </c>
      <c r="U2663" t="str">
        <f t="shared" si="374"/>
        <v>Allarme</v>
      </c>
      <c r="V2663" t="str">
        <f t="shared" si="375"/>
        <v>QVF</v>
      </c>
      <c r="W2663" t="str">
        <f t="shared" si="376"/>
        <v>GALLERIA CASOLA</v>
      </c>
      <c r="Z2663" t="str">
        <f t="shared" si="377"/>
        <v>10.220.80.16</v>
      </c>
    </row>
    <row r="2664" spans="1:26" x14ac:dyDescent="0.25">
      <c r="A2664" t="s">
        <v>10</v>
      </c>
      <c r="B2664" t="s">
        <v>1206</v>
      </c>
      <c r="C2664" t="s">
        <v>2173</v>
      </c>
      <c r="D2664" t="s">
        <v>2356</v>
      </c>
      <c r="E2664" t="s">
        <v>2356</v>
      </c>
      <c r="F2664" t="s">
        <v>14</v>
      </c>
      <c r="G2664" t="s">
        <v>21</v>
      </c>
      <c r="H2664" t="s">
        <v>22</v>
      </c>
      <c r="I2664" t="s">
        <v>3503</v>
      </c>
      <c r="J2664" t="s">
        <v>2358</v>
      </c>
      <c r="K2664" t="str">
        <f t="shared" si="369"/>
        <v>5091.7</v>
      </c>
      <c r="N2664" t="str">
        <f t="shared" si="370"/>
        <v>HOLDING REGISTER</v>
      </c>
      <c r="O2664" t="str">
        <f t="shared" si="371"/>
        <v>BOOL</v>
      </c>
      <c r="P2664" t="str">
        <f t="shared" si="372"/>
        <v>STATO VENTILAZIONE STATO VENTILAZIONE</v>
      </c>
      <c r="R2664" t="str">
        <f t="shared" si="373"/>
        <v>Stato Ventilazione : Sanitaria</v>
      </c>
      <c r="U2664" t="str">
        <f t="shared" si="374"/>
        <v>Stato</v>
      </c>
      <c r="V2664" t="str">
        <f t="shared" si="375"/>
        <v>GALLERIA</v>
      </c>
      <c r="W2664" t="str">
        <f t="shared" si="376"/>
        <v>GALLERIA CASOLA</v>
      </c>
      <c r="Z2664" t="str">
        <f t="shared" si="377"/>
        <v>10.220.80.16</v>
      </c>
    </row>
    <row r="2665" spans="1:26" x14ac:dyDescent="0.25">
      <c r="A2665" t="s">
        <v>10</v>
      </c>
      <c r="B2665" t="s">
        <v>1206</v>
      </c>
      <c r="C2665" t="s">
        <v>2173</v>
      </c>
      <c r="D2665" t="s">
        <v>2356</v>
      </c>
      <c r="E2665" t="s">
        <v>2356</v>
      </c>
      <c r="F2665" t="s">
        <v>14</v>
      </c>
      <c r="G2665" t="s">
        <v>21</v>
      </c>
      <c r="H2665" t="s">
        <v>22</v>
      </c>
      <c r="I2665" t="s">
        <v>3504</v>
      </c>
      <c r="J2665" t="s">
        <v>2360</v>
      </c>
      <c r="K2665" t="str">
        <f t="shared" si="369"/>
        <v>5091.8</v>
      </c>
      <c r="N2665" t="str">
        <f t="shared" si="370"/>
        <v>HOLDING REGISTER</v>
      </c>
      <c r="O2665" t="str">
        <f t="shared" si="371"/>
        <v>BOOL</v>
      </c>
      <c r="P2665" t="str">
        <f t="shared" si="372"/>
        <v>STATO VENTILAZIONE STATO VENTILAZIONE</v>
      </c>
      <c r="R2665" t="str">
        <f t="shared" si="373"/>
        <v>Stato Ventilazione : attesa stratificazione</v>
      </c>
      <c r="U2665" t="str">
        <f t="shared" si="374"/>
        <v>Stato</v>
      </c>
      <c r="V2665" t="str">
        <f t="shared" si="375"/>
        <v>GALLERIA</v>
      </c>
      <c r="W2665" t="str">
        <f t="shared" si="376"/>
        <v>GALLERIA CASOLA</v>
      </c>
      <c r="Z2665" t="str">
        <f t="shared" si="377"/>
        <v>10.220.80.16</v>
      </c>
    </row>
    <row r="2666" spans="1:26" x14ac:dyDescent="0.25">
      <c r="A2666" t="s">
        <v>10</v>
      </c>
      <c r="B2666" t="s">
        <v>1206</v>
      </c>
      <c r="C2666" t="s">
        <v>2173</v>
      </c>
      <c r="D2666" t="s">
        <v>2356</v>
      </c>
      <c r="E2666" t="s">
        <v>2356</v>
      </c>
      <c r="F2666" t="s">
        <v>14</v>
      </c>
      <c r="G2666" t="s">
        <v>21</v>
      </c>
      <c r="H2666" t="s">
        <v>22</v>
      </c>
      <c r="I2666" t="s">
        <v>3505</v>
      </c>
      <c r="J2666" t="s">
        <v>2362</v>
      </c>
      <c r="K2666" t="str">
        <f t="shared" si="369"/>
        <v>5091.9</v>
      </c>
      <c r="N2666" t="str">
        <f t="shared" si="370"/>
        <v>HOLDING REGISTER</v>
      </c>
      <c r="O2666" t="str">
        <f t="shared" si="371"/>
        <v>BOOL</v>
      </c>
      <c r="P2666" t="str">
        <f t="shared" si="372"/>
        <v>STATO VENTILAZIONE STATO VENTILAZIONE</v>
      </c>
      <c r="R2666" t="str">
        <f t="shared" si="373"/>
        <v>Stato Ventilazione : stratificazione</v>
      </c>
      <c r="U2666" t="str">
        <f t="shared" si="374"/>
        <v>Stato</v>
      </c>
      <c r="V2666" t="str">
        <f t="shared" si="375"/>
        <v>GALLERIA</v>
      </c>
      <c r="W2666" t="str">
        <f t="shared" si="376"/>
        <v>GALLERIA CASOLA</v>
      </c>
      <c r="Z2666" t="str">
        <f t="shared" si="377"/>
        <v>10.220.80.16</v>
      </c>
    </row>
    <row r="2667" spans="1:26" x14ac:dyDescent="0.25">
      <c r="A2667" t="s">
        <v>10</v>
      </c>
      <c r="B2667" t="s">
        <v>1206</v>
      </c>
      <c r="C2667" t="s">
        <v>2173</v>
      </c>
      <c r="D2667" t="s">
        <v>2356</v>
      </c>
      <c r="E2667" t="s">
        <v>2356</v>
      </c>
      <c r="F2667" t="s">
        <v>14</v>
      </c>
      <c r="G2667" t="s">
        <v>21</v>
      </c>
      <c r="H2667" t="s">
        <v>22</v>
      </c>
      <c r="I2667" t="s">
        <v>3506</v>
      </c>
      <c r="J2667" t="s">
        <v>2364</v>
      </c>
      <c r="K2667" t="str">
        <f t="shared" si="369"/>
        <v>5091.10</v>
      </c>
      <c r="N2667" t="str">
        <f t="shared" si="370"/>
        <v>HOLDING REGISTER</v>
      </c>
      <c r="O2667" t="str">
        <f t="shared" si="371"/>
        <v>BOOL</v>
      </c>
      <c r="P2667" t="str">
        <f t="shared" si="372"/>
        <v>STATO VENTILAZIONE STATO VENTILAZIONE</v>
      </c>
      <c r="R2667" t="str">
        <f t="shared" si="373"/>
        <v xml:space="preserve">Stato Ventilazione : attesa lavaggio </v>
      </c>
      <c r="U2667" t="str">
        <f t="shared" si="374"/>
        <v>Stato</v>
      </c>
      <c r="V2667" t="str">
        <f t="shared" si="375"/>
        <v>GALLERIA</v>
      </c>
      <c r="W2667" t="str">
        <f t="shared" si="376"/>
        <v>GALLERIA CASOLA</v>
      </c>
      <c r="Z2667" t="str">
        <f t="shared" si="377"/>
        <v>10.220.80.16</v>
      </c>
    </row>
    <row r="2668" spans="1:26" x14ac:dyDescent="0.25">
      <c r="A2668" t="s">
        <v>10</v>
      </c>
      <c r="B2668" t="s">
        <v>1206</v>
      </c>
      <c r="C2668" t="s">
        <v>2173</v>
      </c>
      <c r="D2668" t="s">
        <v>2356</v>
      </c>
      <c r="E2668" t="s">
        <v>2356</v>
      </c>
      <c r="F2668" t="s">
        <v>14</v>
      </c>
      <c r="G2668" t="s">
        <v>21</v>
      </c>
      <c r="H2668" t="s">
        <v>22</v>
      </c>
      <c r="I2668" t="s">
        <v>3507</v>
      </c>
      <c r="J2668" t="s">
        <v>2366</v>
      </c>
      <c r="K2668" t="str">
        <f t="shared" si="369"/>
        <v>5091.11</v>
      </c>
      <c r="N2668" t="str">
        <f t="shared" si="370"/>
        <v>HOLDING REGISTER</v>
      </c>
      <c r="O2668" t="str">
        <f t="shared" si="371"/>
        <v>BOOL</v>
      </c>
      <c r="P2668" t="str">
        <f t="shared" si="372"/>
        <v>STATO VENTILAZIONE STATO VENTILAZIONE</v>
      </c>
      <c r="R2668" t="str">
        <f t="shared" si="373"/>
        <v xml:space="preserve">Stato Ventilazione : lavaggio </v>
      </c>
      <c r="U2668" t="str">
        <f t="shared" si="374"/>
        <v>Stato</v>
      </c>
      <c r="V2668" t="str">
        <f t="shared" si="375"/>
        <v>GALLERIA</v>
      </c>
      <c r="W2668" t="str">
        <f t="shared" si="376"/>
        <v>GALLERIA CASOLA</v>
      </c>
      <c r="Z2668" t="str">
        <f t="shared" si="377"/>
        <v>10.220.80.16</v>
      </c>
    </row>
    <row r="2669" spans="1:26" x14ac:dyDescent="0.25">
      <c r="A2669" t="s">
        <v>10</v>
      </c>
      <c r="B2669" t="s">
        <v>1206</v>
      </c>
      <c r="C2669" t="s">
        <v>2173</v>
      </c>
      <c r="D2669" t="s">
        <v>2356</v>
      </c>
      <c r="E2669" t="s">
        <v>2356</v>
      </c>
      <c r="F2669" t="s">
        <v>14</v>
      </c>
      <c r="G2669" t="s">
        <v>21</v>
      </c>
      <c r="H2669" t="s">
        <v>22</v>
      </c>
      <c r="I2669" t="s">
        <v>3508</v>
      </c>
      <c r="J2669" t="s">
        <v>2368</v>
      </c>
      <c r="K2669" t="str">
        <f t="shared" si="369"/>
        <v>5091.12</v>
      </c>
      <c r="N2669" t="str">
        <f t="shared" si="370"/>
        <v>HOLDING REGISTER</v>
      </c>
      <c r="O2669" t="str">
        <f t="shared" si="371"/>
        <v>BOOL</v>
      </c>
      <c r="P2669" t="str">
        <f t="shared" si="372"/>
        <v>STATO VENTILAZIONE STATO VENTILAZIONE</v>
      </c>
      <c r="R2669" t="str">
        <f t="shared" si="373"/>
        <v>Stato Ventilazione : attesa arresto ventilazione dopo presa comandi VVF</v>
      </c>
      <c r="U2669" t="str">
        <f t="shared" si="374"/>
        <v>Stato</v>
      </c>
      <c r="V2669" t="str">
        <f t="shared" si="375"/>
        <v>GALLERIA</v>
      </c>
      <c r="W2669" t="str">
        <f t="shared" si="376"/>
        <v>GALLERIA CASOLA</v>
      </c>
      <c r="Z2669" t="str">
        <f t="shared" si="377"/>
        <v>10.220.80.16</v>
      </c>
    </row>
    <row r="2670" spans="1:26" x14ac:dyDescent="0.25">
      <c r="A2670" t="s">
        <v>10</v>
      </c>
      <c r="B2670" t="s">
        <v>1206</v>
      </c>
      <c r="C2670" t="s">
        <v>2173</v>
      </c>
      <c r="D2670" t="s">
        <v>2356</v>
      </c>
      <c r="E2670" t="s">
        <v>2356</v>
      </c>
      <c r="F2670" t="s">
        <v>14</v>
      </c>
      <c r="G2670" t="s">
        <v>21</v>
      </c>
      <c r="H2670" t="s">
        <v>22</v>
      </c>
      <c r="I2670" t="s">
        <v>3509</v>
      </c>
      <c r="J2670" t="s">
        <v>2370</v>
      </c>
      <c r="K2670" t="str">
        <f t="shared" si="369"/>
        <v>5091.13</v>
      </c>
      <c r="N2670" t="str">
        <f t="shared" si="370"/>
        <v>HOLDING REGISTER</v>
      </c>
      <c r="O2670" t="str">
        <f t="shared" si="371"/>
        <v>BOOL</v>
      </c>
      <c r="P2670" t="str">
        <f t="shared" si="372"/>
        <v>STATO VENTILAZIONE STATO VENTILAZIONE</v>
      </c>
      <c r="R2670" t="str">
        <f t="shared" si="373"/>
        <v>Stato Ventilazione : comandi VVF attivi</v>
      </c>
      <c r="U2670" t="str">
        <f t="shared" si="374"/>
        <v>Stato</v>
      </c>
      <c r="V2670" t="str">
        <f t="shared" si="375"/>
        <v>GALLERIA</v>
      </c>
      <c r="W2670" t="str">
        <f t="shared" si="376"/>
        <v>GALLERIA CASOLA</v>
      </c>
      <c r="Z2670" t="str">
        <f t="shared" si="377"/>
        <v>10.220.80.16</v>
      </c>
    </row>
    <row r="2671" spans="1:26" x14ac:dyDescent="0.25">
      <c r="A2671" t="s">
        <v>10</v>
      </c>
      <c r="B2671" t="s">
        <v>1206</v>
      </c>
      <c r="C2671" t="s">
        <v>2173</v>
      </c>
      <c r="D2671" t="s">
        <v>2371</v>
      </c>
      <c r="E2671" t="s">
        <v>2372</v>
      </c>
      <c r="F2671" t="s">
        <v>14</v>
      </c>
      <c r="G2671" t="s">
        <v>21</v>
      </c>
      <c r="H2671" t="s">
        <v>22</v>
      </c>
      <c r="I2671" t="s">
        <v>3510</v>
      </c>
      <c r="J2671" t="s">
        <v>2374</v>
      </c>
      <c r="K2671" t="str">
        <f t="shared" si="369"/>
        <v>5091.14</v>
      </c>
      <c r="N2671" t="str">
        <f t="shared" si="370"/>
        <v>HOLDING REGISTER</v>
      </c>
      <c r="O2671" t="str">
        <f t="shared" si="371"/>
        <v>BOOL</v>
      </c>
      <c r="P2671" t="str">
        <f t="shared" si="372"/>
        <v>SENSORE CO CO1</v>
      </c>
      <c r="R2671" t="str">
        <f t="shared" si="373"/>
        <v>Sensore ESCLUSO</v>
      </c>
      <c r="U2671" t="str">
        <f t="shared" si="374"/>
        <v>Stato</v>
      </c>
      <c r="V2671" t="str">
        <f t="shared" si="375"/>
        <v>GALLERIA</v>
      </c>
      <c r="W2671" t="str">
        <f t="shared" si="376"/>
        <v>GALLERIA CASOLA</v>
      </c>
      <c r="Z2671" t="str">
        <f t="shared" si="377"/>
        <v>10.220.80.16</v>
      </c>
    </row>
    <row r="2672" spans="1:26" x14ac:dyDescent="0.25">
      <c r="A2672" t="s">
        <v>10</v>
      </c>
      <c r="B2672" t="s">
        <v>1206</v>
      </c>
      <c r="C2672" t="s">
        <v>2173</v>
      </c>
      <c r="D2672" t="s">
        <v>2375</v>
      </c>
      <c r="E2672" t="s">
        <v>2376</v>
      </c>
      <c r="F2672" t="s">
        <v>14</v>
      </c>
      <c r="G2672" t="s">
        <v>21</v>
      </c>
      <c r="H2672" t="s">
        <v>22</v>
      </c>
      <c r="I2672" t="s">
        <v>3511</v>
      </c>
      <c r="J2672" t="s">
        <v>2374</v>
      </c>
      <c r="K2672" t="str">
        <f t="shared" si="369"/>
        <v>5091.15</v>
      </c>
      <c r="N2672" t="str">
        <f t="shared" si="370"/>
        <v>HOLDING REGISTER</v>
      </c>
      <c r="O2672" t="str">
        <f t="shared" si="371"/>
        <v>BOOL</v>
      </c>
      <c r="P2672" t="str">
        <f t="shared" si="372"/>
        <v>SENSORE OP OP1</v>
      </c>
      <c r="R2672" t="str">
        <f t="shared" si="373"/>
        <v>Sensore ESCLUSO</v>
      </c>
      <c r="U2672" t="str">
        <f t="shared" si="374"/>
        <v>Stato</v>
      </c>
      <c r="V2672" t="str">
        <f t="shared" si="375"/>
        <v>GALLERIA</v>
      </c>
      <c r="W2672" t="str">
        <f t="shared" si="376"/>
        <v>GALLERIA CASOLA</v>
      </c>
      <c r="Z2672" t="str">
        <f t="shared" si="377"/>
        <v>10.220.80.16</v>
      </c>
    </row>
    <row r="2673" spans="1:26" x14ac:dyDescent="0.25">
      <c r="A2673" t="s">
        <v>10</v>
      </c>
      <c r="B2673" t="s">
        <v>1206</v>
      </c>
      <c r="C2673" t="s">
        <v>2173</v>
      </c>
      <c r="D2673" t="s">
        <v>2371</v>
      </c>
      <c r="E2673" t="s">
        <v>2372</v>
      </c>
      <c r="F2673" t="s">
        <v>14</v>
      </c>
      <c r="G2673" t="s">
        <v>28</v>
      </c>
      <c r="H2673" t="s">
        <v>22</v>
      </c>
      <c r="I2673" t="s">
        <v>3512</v>
      </c>
      <c r="J2673" t="s">
        <v>2379</v>
      </c>
      <c r="K2673" t="str">
        <f t="shared" si="369"/>
        <v>5092.0</v>
      </c>
      <c r="N2673" t="str">
        <f t="shared" si="370"/>
        <v>HOLDING REGISTER</v>
      </c>
      <c r="O2673" t="str">
        <f t="shared" si="371"/>
        <v>BOOL</v>
      </c>
      <c r="P2673" t="str">
        <f t="shared" si="372"/>
        <v>SENSORE CO CO1</v>
      </c>
      <c r="R2673" t="str">
        <f t="shared" si="373"/>
        <v>Sensore OK (Nessun Guasto)</v>
      </c>
      <c r="U2673" t="str">
        <f t="shared" si="374"/>
        <v>Allarme</v>
      </c>
      <c r="V2673" t="str">
        <f t="shared" si="375"/>
        <v>GALLERIA</v>
      </c>
      <c r="W2673" t="str">
        <f t="shared" si="376"/>
        <v>GALLERIA CASOLA</v>
      </c>
      <c r="Z2673" t="str">
        <f t="shared" si="377"/>
        <v>10.220.80.16</v>
      </c>
    </row>
    <row r="2674" spans="1:26" x14ac:dyDescent="0.25">
      <c r="A2674" t="s">
        <v>10</v>
      </c>
      <c r="B2674" t="s">
        <v>1206</v>
      </c>
      <c r="C2674" t="s">
        <v>2173</v>
      </c>
      <c r="D2674" t="s">
        <v>2375</v>
      </c>
      <c r="E2674" t="s">
        <v>2376</v>
      </c>
      <c r="F2674" t="s">
        <v>14</v>
      </c>
      <c r="G2674" t="s">
        <v>28</v>
      </c>
      <c r="H2674" t="s">
        <v>22</v>
      </c>
      <c r="I2674" t="s">
        <v>3513</v>
      </c>
      <c r="J2674" t="s">
        <v>2379</v>
      </c>
      <c r="K2674" t="str">
        <f t="shared" si="369"/>
        <v>5092.1</v>
      </c>
      <c r="N2674" t="str">
        <f t="shared" si="370"/>
        <v>HOLDING REGISTER</v>
      </c>
      <c r="O2674" t="str">
        <f t="shared" si="371"/>
        <v>BOOL</v>
      </c>
      <c r="P2674" t="str">
        <f t="shared" si="372"/>
        <v>SENSORE OP OP1</v>
      </c>
      <c r="R2674" t="str">
        <f t="shared" si="373"/>
        <v>Sensore OK (Nessun Guasto)</v>
      </c>
      <c r="U2674" t="str">
        <f t="shared" si="374"/>
        <v>Allarme</v>
      </c>
      <c r="V2674" t="str">
        <f t="shared" si="375"/>
        <v>GALLERIA</v>
      </c>
      <c r="W2674" t="str">
        <f t="shared" si="376"/>
        <v>GALLERIA CASOLA</v>
      </c>
      <c r="Z2674" t="str">
        <f t="shared" si="377"/>
        <v>10.220.80.16</v>
      </c>
    </row>
    <row r="2675" spans="1:26" x14ac:dyDescent="0.25">
      <c r="A2675" t="s">
        <v>10</v>
      </c>
      <c r="B2675" t="s">
        <v>1206</v>
      </c>
      <c r="C2675" t="s">
        <v>2173</v>
      </c>
      <c r="D2675" t="s">
        <v>2381</v>
      </c>
      <c r="E2675" t="s">
        <v>2382</v>
      </c>
      <c r="F2675" t="s">
        <v>14</v>
      </c>
      <c r="G2675" t="s">
        <v>28</v>
      </c>
      <c r="H2675" t="s">
        <v>22</v>
      </c>
      <c r="I2675" t="s">
        <v>3514</v>
      </c>
      <c r="J2675" t="s">
        <v>2379</v>
      </c>
      <c r="K2675" t="str">
        <f t="shared" si="369"/>
        <v>5092.2</v>
      </c>
      <c r="N2675" t="str">
        <f t="shared" si="370"/>
        <v>HOLDING REGISTER</v>
      </c>
      <c r="O2675" t="str">
        <f t="shared" si="371"/>
        <v>BOOL</v>
      </c>
      <c r="P2675" t="str">
        <f t="shared" si="372"/>
        <v>SENSORE AN AN1</v>
      </c>
      <c r="R2675" t="str">
        <f t="shared" si="373"/>
        <v>Sensore OK (Nessun Guasto)</v>
      </c>
      <c r="U2675" t="str">
        <f t="shared" si="374"/>
        <v>Allarme</v>
      </c>
      <c r="V2675" t="str">
        <f t="shared" si="375"/>
        <v>GALLERIA</v>
      </c>
      <c r="W2675" t="str">
        <f t="shared" si="376"/>
        <v>GALLERIA CASOLA</v>
      </c>
      <c r="Z2675" t="str">
        <f t="shared" si="377"/>
        <v>10.220.80.16</v>
      </c>
    </row>
    <row r="2676" spans="1:26" x14ac:dyDescent="0.25">
      <c r="A2676" t="s">
        <v>10</v>
      </c>
      <c r="B2676" t="s">
        <v>1206</v>
      </c>
      <c r="C2676" t="s">
        <v>2173</v>
      </c>
      <c r="D2676" t="s">
        <v>2371</v>
      </c>
      <c r="E2676" t="s">
        <v>2372</v>
      </c>
      <c r="F2676" t="s">
        <v>14</v>
      </c>
      <c r="G2676" t="s">
        <v>28</v>
      </c>
      <c r="H2676" t="s">
        <v>22</v>
      </c>
      <c r="I2676" t="s">
        <v>3515</v>
      </c>
      <c r="J2676" t="s">
        <v>2385</v>
      </c>
      <c r="K2676" t="str">
        <f t="shared" si="369"/>
        <v>5092.3</v>
      </c>
      <c r="N2676" t="str">
        <f t="shared" si="370"/>
        <v>HOLDING REGISTER</v>
      </c>
      <c r="O2676" t="str">
        <f t="shared" si="371"/>
        <v>BOOL</v>
      </c>
      <c r="P2676" t="str">
        <f t="shared" si="372"/>
        <v>SENSORE CO CO1</v>
      </c>
      <c r="R2676" t="str">
        <f t="shared" si="373"/>
        <v>Sensore Scollegato</v>
      </c>
      <c r="U2676" t="str">
        <f t="shared" si="374"/>
        <v>Allarme</v>
      </c>
      <c r="V2676" t="str">
        <f t="shared" si="375"/>
        <v>GALLERIA</v>
      </c>
      <c r="W2676" t="str">
        <f t="shared" si="376"/>
        <v>GALLERIA CASOLA</v>
      </c>
      <c r="Z2676" t="str">
        <f t="shared" si="377"/>
        <v>10.220.80.16</v>
      </c>
    </row>
    <row r="2677" spans="1:26" x14ac:dyDescent="0.25">
      <c r="A2677" t="s">
        <v>10</v>
      </c>
      <c r="B2677" t="s">
        <v>1206</v>
      </c>
      <c r="C2677" t="s">
        <v>2173</v>
      </c>
      <c r="D2677" t="s">
        <v>2375</v>
      </c>
      <c r="E2677" t="s">
        <v>2376</v>
      </c>
      <c r="F2677" t="s">
        <v>14</v>
      </c>
      <c r="G2677" t="s">
        <v>28</v>
      </c>
      <c r="H2677" t="s">
        <v>22</v>
      </c>
      <c r="I2677" t="s">
        <v>3516</v>
      </c>
      <c r="J2677" t="s">
        <v>2385</v>
      </c>
      <c r="K2677" t="str">
        <f t="shared" si="369"/>
        <v>5092.4</v>
      </c>
      <c r="N2677" t="str">
        <f t="shared" si="370"/>
        <v>HOLDING REGISTER</v>
      </c>
      <c r="O2677" t="str">
        <f t="shared" si="371"/>
        <v>BOOL</v>
      </c>
      <c r="P2677" t="str">
        <f t="shared" si="372"/>
        <v>SENSORE OP OP1</v>
      </c>
      <c r="R2677" t="str">
        <f t="shared" si="373"/>
        <v>Sensore Scollegato</v>
      </c>
      <c r="U2677" t="str">
        <f t="shared" si="374"/>
        <v>Allarme</v>
      </c>
      <c r="V2677" t="str">
        <f t="shared" si="375"/>
        <v>GALLERIA</v>
      </c>
      <c r="W2677" t="str">
        <f t="shared" si="376"/>
        <v>GALLERIA CASOLA</v>
      </c>
      <c r="Z2677" t="str">
        <f t="shared" si="377"/>
        <v>10.220.80.16</v>
      </c>
    </row>
    <row r="2678" spans="1:26" x14ac:dyDescent="0.25">
      <c r="A2678" t="s">
        <v>10</v>
      </c>
      <c r="B2678" t="s">
        <v>1206</v>
      </c>
      <c r="C2678" t="s">
        <v>2173</v>
      </c>
      <c r="D2678" t="s">
        <v>2381</v>
      </c>
      <c r="E2678" t="s">
        <v>2382</v>
      </c>
      <c r="F2678" t="s">
        <v>14</v>
      </c>
      <c r="G2678" t="s">
        <v>28</v>
      </c>
      <c r="H2678" t="s">
        <v>22</v>
      </c>
      <c r="I2678" t="s">
        <v>3517</v>
      </c>
      <c r="J2678" t="s">
        <v>2385</v>
      </c>
      <c r="K2678" t="str">
        <f t="shared" si="369"/>
        <v>5092.5</v>
      </c>
      <c r="N2678" t="str">
        <f t="shared" si="370"/>
        <v>HOLDING REGISTER</v>
      </c>
      <c r="O2678" t="str">
        <f t="shared" si="371"/>
        <v>BOOL</v>
      </c>
      <c r="P2678" t="str">
        <f t="shared" si="372"/>
        <v>SENSORE AN AN1</v>
      </c>
      <c r="R2678" t="str">
        <f t="shared" si="373"/>
        <v>Sensore Scollegato</v>
      </c>
      <c r="U2678" t="str">
        <f t="shared" si="374"/>
        <v>Allarme</v>
      </c>
      <c r="V2678" t="str">
        <f t="shared" si="375"/>
        <v>GALLERIA</v>
      </c>
      <c r="W2678" t="str">
        <f t="shared" si="376"/>
        <v>GALLERIA CASOLA</v>
      </c>
      <c r="Z2678" t="str">
        <f t="shared" si="377"/>
        <v>10.220.80.16</v>
      </c>
    </row>
    <row r="2679" spans="1:26" x14ac:dyDescent="0.25">
      <c r="A2679" t="s">
        <v>10</v>
      </c>
      <c r="B2679" t="s">
        <v>1206</v>
      </c>
      <c r="C2679" t="s">
        <v>2388</v>
      </c>
      <c r="D2679" t="s">
        <v>2371</v>
      </c>
      <c r="E2679" t="s">
        <v>2372</v>
      </c>
      <c r="F2679" t="s">
        <v>14</v>
      </c>
      <c r="G2679" t="s">
        <v>21</v>
      </c>
      <c r="H2679" t="s">
        <v>22</v>
      </c>
      <c r="I2679" t="s">
        <v>3518</v>
      </c>
      <c r="J2679" t="s">
        <v>2374</v>
      </c>
      <c r="K2679" t="str">
        <f t="shared" si="369"/>
        <v>5092.6</v>
      </c>
      <c r="N2679" t="str">
        <f t="shared" si="370"/>
        <v>HOLDING REGISTER</v>
      </c>
      <c r="O2679" t="str">
        <f t="shared" si="371"/>
        <v>BOOL</v>
      </c>
      <c r="P2679" t="str">
        <f t="shared" si="372"/>
        <v>SENSORE CO CO1</v>
      </c>
      <c r="R2679" t="str">
        <f t="shared" si="373"/>
        <v>Sensore ESCLUSO</v>
      </c>
      <c r="U2679" t="str">
        <f t="shared" si="374"/>
        <v>Stato</v>
      </c>
      <c r="V2679" t="str">
        <f t="shared" si="375"/>
        <v>VIA ESODO</v>
      </c>
      <c r="W2679" t="str">
        <f t="shared" si="376"/>
        <v>GALLERIA CASOLA</v>
      </c>
      <c r="Z2679" t="str">
        <f t="shared" si="377"/>
        <v>10.220.80.16</v>
      </c>
    </row>
    <row r="2680" spans="1:26" x14ac:dyDescent="0.25">
      <c r="A2680" t="s">
        <v>10</v>
      </c>
      <c r="B2680" t="s">
        <v>1206</v>
      </c>
      <c r="C2680" t="s">
        <v>2388</v>
      </c>
      <c r="D2680" t="s">
        <v>2375</v>
      </c>
      <c r="E2680" t="s">
        <v>2376</v>
      </c>
      <c r="F2680" t="s">
        <v>14</v>
      </c>
      <c r="G2680" t="s">
        <v>21</v>
      </c>
      <c r="H2680" t="s">
        <v>22</v>
      </c>
      <c r="I2680" t="s">
        <v>3519</v>
      </c>
      <c r="J2680" t="s">
        <v>2374</v>
      </c>
      <c r="K2680" t="str">
        <f t="shared" si="369"/>
        <v>5092.7</v>
      </c>
      <c r="N2680" t="str">
        <f t="shared" si="370"/>
        <v>HOLDING REGISTER</v>
      </c>
      <c r="O2680" t="str">
        <f t="shared" si="371"/>
        <v>BOOL</v>
      </c>
      <c r="P2680" t="str">
        <f t="shared" si="372"/>
        <v>SENSORE OP OP1</v>
      </c>
      <c r="R2680" t="str">
        <f t="shared" si="373"/>
        <v>Sensore ESCLUSO</v>
      </c>
      <c r="U2680" t="str">
        <f t="shared" si="374"/>
        <v>Stato</v>
      </c>
      <c r="V2680" t="str">
        <f t="shared" si="375"/>
        <v>VIA ESODO</v>
      </c>
      <c r="W2680" t="str">
        <f t="shared" si="376"/>
        <v>GALLERIA CASOLA</v>
      </c>
      <c r="Z2680" t="str">
        <f t="shared" si="377"/>
        <v>10.220.80.16</v>
      </c>
    </row>
    <row r="2681" spans="1:26" x14ac:dyDescent="0.25">
      <c r="A2681" t="s">
        <v>10</v>
      </c>
      <c r="B2681" t="s">
        <v>1206</v>
      </c>
      <c r="C2681" t="s">
        <v>2388</v>
      </c>
      <c r="D2681" t="s">
        <v>2371</v>
      </c>
      <c r="E2681" t="s">
        <v>2372</v>
      </c>
      <c r="F2681" t="s">
        <v>14</v>
      </c>
      <c r="G2681" t="s">
        <v>28</v>
      </c>
      <c r="H2681" t="s">
        <v>22</v>
      </c>
      <c r="I2681" t="s">
        <v>3520</v>
      </c>
      <c r="J2681" t="s">
        <v>2379</v>
      </c>
      <c r="K2681" t="str">
        <f t="shared" si="369"/>
        <v>5092.8</v>
      </c>
      <c r="N2681" t="str">
        <f t="shared" si="370"/>
        <v>HOLDING REGISTER</v>
      </c>
      <c r="O2681" t="str">
        <f t="shared" si="371"/>
        <v>BOOL</v>
      </c>
      <c r="P2681" t="str">
        <f t="shared" si="372"/>
        <v>SENSORE CO CO1</v>
      </c>
      <c r="R2681" t="str">
        <f t="shared" si="373"/>
        <v>Sensore OK (Nessun Guasto)</v>
      </c>
      <c r="U2681" t="str">
        <f t="shared" si="374"/>
        <v>Allarme</v>
      </c>
      <c r="V2681" t="str">
        <f t="shared" si="375"/>
        <v>VIA ESODO</v>
      </c>
      <c r="W2681" t="str">
        <f t="shared" si="376"/>
        <v>GALLERIA CASOLA</v>
      </c>
      <c r="Z2681" t="str">
        <f t="shared" si="377"/>
        <v>10.220.80.16</v>
      </c>
    </row>
    <row r="2682" spans="1:26" x14ac:dyDescent="0.25">
      <c r="A2682" t="s">
        <v>10</v>
      </c>
      <c r="B2682" t="s">
        <v>1206</v>
      </c>
      <c r="C2682" t="s">
        <v>2388</v>
      </c>
      <c r="D2682" t="s">
        <v>2375</v>
      </c>
      <c r="E2682" t="s">
        <v>2376</v>
      </c>
      <c r="F2682" t="s">
        <v>14</v>
      </c>
      <c r="G2682" t="s">
        <v>28</v>
      </c>
      <c r="H2682" t="s">
        <v>22</v>
      </c>
      <c r="I2682" t="s">
        <v>3521</v>
      </c>
      <c r="J2682" t="s">
        <v>2379</v>
      </c>
      <c r="K2682" t="str">
        <f t="shared" si="369"/>
        <v>5092.9</v>
      </c>
      <c r="N2682" t="str">
        <f t="shared" si="370"/>
        <v>HOLDING REGISTER</v>
      </c>
      <c r="O2682" t="str">
        <f t="shared" si="371"/>
        <v>BOOL</v>
      </c>
      <c r="P2682" t="str">
        <f t="shared" si="372"/>
        <v>SENSORE OP OP1</v>
      </c>
      <c r="R2682" t="str">
        <f t="shared" si="373"/>
        <v>Sensore OK (Nessun Guasto)</v>
      </c>
      <c r="U2682" t="str">
        <f t="shared" si="374"/>
        <v>Allarme</v>
      </c>
      <c r="V2682" t="str">
        <f t="shared" si="375"/>
        <v>VIA ESODO</v>
      </c>
      <c r="W2682" t="str">
        <f t="shared" si="376"/>
        <v>GALLERIA CASOLA</v>
      </c>
      <c r="Z2682" t="str">
        <f t="shared" si="377"/>
        <v>10.220.80.16</v>
      </c>
    </row>
    <row r="2683" spans="1:26" x14ac:dyDescent="0.25">
      <c r="A2683" t="s">
        <v>10</v>
      </c>
      <c r="B2683" t="s">
        <v>1206</v>
      </c>
      <c r="C2683" t="s">
        <v>2388</v>
      </c>
      <c r="D2683" t="s">
        <v>2381</v>
      </c>
      <c r="E2683" t="s">
        <v>2382</v>
      </c>
      <c r="F2683" t="s">
        <v>14</v>
      </c>
      <c r="G2683" t="s">
        <v>28</v>
      </c>
      <c r="H2683" t="s">
        <v>22</v>
      </c>
      <c r="I2683" t="s">
        <v>3522</v>
      </c>
      <c r="J2683" t="s">
        <v>2379</v>
      </c>
      <c r="K2683" t="str">
        <f t="shared" si="369"/>
        <v>5092.10</v>
      </c>
      <c r="N2683" t="str">
        <f t="shared" si="370"/>
        <v>HOLDING REGISTER</v>
      </c>
      <c r="O2683" t="str">
        <f t="shared" si="371"/>
        <v>BOOL</v>
      </c>
      <c r="P2683" t="str">
        <f t="shared" si="372"/>
        <v>SENSORE AN AN1</v>
      </c>
      <c r="R2683" t="str">
        <f t="shared" si="373"/>
        <v>Sensore OK (Nessun Guasto)</v>
      </c>
      <c r="U2683" t="str">
        <f t="shared" si="374"/>
        <v>Allarme</v>
      </c>
      <c r="V2683" t="str">
        <f t="shared" si="375"/>
        <v>VIA ESODO</v>
      </c>
      <c r="W2683" t="str">
        <f t="shared" si="376"/>
        <v>GALLERIA CASOLA</v>
      </c>
      <c r="Z2683" t="str">
        <f t="shared" si="377"/>
        <v>10.220.80.16</v>
      </c>
    </row>
    <row r="2684" spans="1:26" x14ac:dyDescent="0.25">
      <c r="A2684" t="s">
        <v>10</v>
      </c>
      <c r="B2684" t="s">
        <v>1206</v>
      </c>
      <c r="C2684" t="s">
        <v>2388</v>
      </c>
      <c r="D2684" t="s">
        <v>2371</v>
      </c>
      <c r="E2684" t="s">
        <v>2372</v>
      </c>
      <c r="F2684" t="s">
        <v>14</v>
      </c>
      <c r="G2684" t="s">
        <v>28</v>
      </c>
      <c r="H2684" t="s">
        <v>22</v>
      </c>
      <c r="I2684" t="s">
        <v>3523</v>
      </c>
      <c r="J2684" t="s">
        <v>2385</v>
      </c>
      <c r="K2684" t="str">
        <f t="shared" si="369"/>
        <v>5092.11</v>
      </c>
      <c r="N2684" t="str">
        <f t="shared" si="370"/>
        <v>HOLDING REGISTER</v>
      </c>
      <c r="O2684" t="str">
        <f t="shared" si="371"/>
        <v>BOOL</v>
      </c>
      <c r="P2684" t="str">
        <f t="shared" si="372"/>
        <v>SENSORE CO CO1</v>
      </c>
      <c r="R2684" t="str">
        <f t="shared" si="373"/>
        <v>Sensore Scollegato</v>
      </c>
      <c r="U2684" t="str">
        <f t="shared" si="374"/>
        <v>Allarme</v>
      </c>
      <c r="V2684" t="str">
        <f t="shared" si="375"/>
        <v>VIA ESODO</v>
      </c>
      <c r="W2684" t="str">
        <f t="shared" si="376"/>
        <v>GALLERIA CASOLA</v>
      </c>
      <c r="Z2684" t="str">
        <f t="shared" si="377"/>
        <v>10.220.80.16</v>
      </c>
    </row>
    <row r="2685" spans="1:26" x14ac:dyDescent="0.25">
      <c r="A2685" t="s">
        <v>10</v>
      </c>
      <c r="B2685" t="s">
        <v>1206</v>
      </c>
      <c r="C2685" t="s">
        <v>2388</v>
      </c>
      <c r="D2685" t="s">
        <v>2375</v>
      </c>
      <c r="E2685" t="s">
        <v>2376</v>
      </c>
      <c r="F2685" t="s">
        <v>14</v>
      </c>
      <c r="G2685" t="s">
        <v>28</v>
      </c>
      <c r="H2685" t="s">
        <v>22</v>
      </c>
      <c r="I2685" t="s">
        <v>3524</v>
      </c>
      <c r="J2685" t="s">
        <v>2385</v>
      </c>
      <c r="K2685" t="str">
        <f t="shared" si="369"/>
        <v>5092.12</v>
      </c>
      <c r="N2685" t="str">
        <f t="shared" si="370"/>
        <v>HOLDING REGISTER</v>
      </c>
      <c r="O2685" t="str">
        <f t="shared" si="371"/>
        <v>BOOL</v>
      </c>
      <c r="P2685" t="str">
        <f t="shared" si="372"/>
        <v>SENSORE OP OP1</v>
      </c>
      <c r="R2685" t="str">
        <f t="shared" si="373"/>
        <v>Sensore Scollegato</v>
      </c>
      <c r="U2685" t="str">
        <f t="shared" si="374"/>
        <v>Allarme</v>
      </c>
      <c r="V2685" t="str">
        <f t="shared" si="375"/>
        <v>VIA ESODO</v>
      </c>
      <c r="W2685" t="str">
        <f t="shared" si="376"/>
        <v>GALLERIA CASOLA</v>
      </c>
      <c r="Z2685" t="str">
        <f t="shared" si="377"/>
        <v>10.220.80.16</v>
      </c>
    </row>
    <row r="2686" spans="1:26" x14ac:dyDescent="0.25">
      <c r="A2686" t="s">
        <v>10</v>
      </c>
      <c r="B2686" t="s">
        <v>1206</v>
      </c>
      <c r="C2686" t="s">
        <v>2388</v>
      </c>
      <c r="D2686" t="s">
        <v>2381</v>
      </c>
      <c r="E2686" t="s">
        <v>2382</v>
      </c>
      <c r="F2686" t="s">
        <v>14</v>
      </c>
      <c r="G2686" t="s">
        <v>28</v>
      </c>
      <c r="H2686" t="s">
        <v>22</v>
      </c>
      <c r="I2686" t="s">
        <v>3525</v>
      </c>
      <c r="J2686" t="s">
        <v>2385</v>
      </c>
      <c r="K2686" t="str">
        <f t="shared" si="369"/>
        <v>5092.13</v>
      </c>
      <c r="N2686" t="str">
        <f t="shared" si="370"/>
        <v>HOLDING REGISTER</v>
      </c>
      <c r="O2686" t="str">
        <f t="shared" si="371"/>
        <v>BOOL</v>
      </c>
      <c r="P2686" t="str">
        <f t="shared" si="372"/>
        <v>SENSORE AN AN1</v>
      </c>
      <c r="R2686" t="str">
        <f t="shared" si="373"/>
        <v>Sensore Scollegato</v>
      </c>
      <c r="U2686" t="str">
        <f t="shared" si="374"/>
        <v>Allarme</v>
      </c>
      <c r="V2686" t="str">
        <f t="shared" si="375"/>
        <v>VIA ESODO</v>
      </c>
      <c r="W2686" t="str">
        <f t="shared" si="376"/>
        <v>GALLERIA CASOLA</v>
      </c>
      <c r="Z2686" t="str">
        <f t="shared" si="377"/>
        <v>10.220.80.16</v>
      </c>
    </row>
    <row r="2687" spans="1:26" x14ac:dyDescent="0.25">
      <c r="A2687" t="s">
        <v>10</v>
      </c>
      <c r="B2687" t="s">
        <v>1206</v>
      </c>
      <c r="C2687" t="s">
        <v>2173</v>
      </c>
      <c r="D2687" t="s">
        <v>2371</v>
      </c>
      <c r="E2687" t="s">
        <v>2372</v>
      </c>
      <c r="F2687" t="s">
        <v>14</v>
      </c>
      <c r="G2687" t="s">
        <v>15</v>
      </c>
      <c r="H2687" t="s">
        <v>1295</v>
      </c>
      <c r="I2687">
        <v>5094</v>
      </c>
      <c r="J2687" t="s">
        <v>2397</v>
      </c>
      <c r="K2687">
        <f t="shared" si="369"/>
        <v>5094</v>
      </c>
      <c r="N2687" t="str">
        <f t="shared" si="370"/>
        <v>HOLDING REGISTER</v>
      </c>
      <c r="O2687" t="str">
        <f t="shared" si="371"/>
        <v>REAL</v>
      </c>
      <c r="P2687" t="str">
        <f t="shared" si="372"/>
        <v>SENSORE CO CO1</v>
      </c>
      <c r="R2687" t="str">
        <f t="shared" si="373"/>
        <v>MISURA SENSORE</v>
      </c>
      <c r="U2687" t="str">
        <f t="shared" si="374"/>
        <v>Misura</v>
      </c>
      <c r="V2687" t="str">
        <f t="shared" si="375"/>
        <v>GALLERIA</v>
      </c>
      <c r="W2687" t="str">
        <f t="shared" si="376"/>
        <v>GALLERIA CASOLA</v>
      </c>
      <c r="Z2687" t="str">
        <f t="shared" si="377"/>
        <v>10.220.80.16</v>
      </c>
    </row>
    <row r="2688" spans="1:26" x14ac:dyDescent="0.25">
      <c r="A2688" t="s">
        <v>10</v>
      </c>
      <c r="B2688" t="s">
        <v>1206</v>
      </c>
      <c r="C2688" t="s">
        <v>2173</v>
      </c>
      <c r="D2688" t="s">
        <v>2375</v>
      </c>
      <c r="E2688" t="s">
        <v>2376</v>
      </c>
      <c r="F2688" t="s">
        <v>14</v>
      </c>
      <c r="G2688" t="s">
        <v>15</v>
      </c>
      <c r="H2688" t="s">
        <v>1295</v>
      </c>
      <c r="I2688">
        <v>5096</v>
      </c>
      <c r="J2688" t="s">
        <v>2397</v>
      </c>
      <c r="K2688">
        <f t="shared" si="369"/>
        <v>5096</v>
      </c>
      <c r="N2688" t="str">
        <f t="shared" si="370"/>
        <v>HOLDING REGISTER</v>
      </c>
      <c r="O2688" t="str">
        <f t="shared" si="371"/>
        <v>REAL</v>
      </c>
      <c r="P2688" t="str">
        <f t="shared" si="372"/>
        <v>SENSORE OP OP1</v>
      </c>
      <c r="R2688" t="str">
        <f t="shared" si="373"/>
        <v>MISURA SENSORE</v>
      </c>
      <c r="U2688" t="str">
        <f t="shared" si="374"/>
        <v>Misura</v>
      </c>
      <c r="V2688" t="str">
        <f t="shared" si="375"/>
        <v>GALLERIA</v>
      </c>
      <c r="W2688" t="str">
        <f t="shared" si="376"/>
        <v>GALLERIA CASOLA</v>
      </c>
      <c r="Z2688" t="str">
        <f t="shared" si="377"/>
        <v>10.220.80.16</v>
      </c>
    </row>
    <row r="2689" spans="1:26" x14ac:dyDescent="0.25">
      <c r="A2689" t="s">
        <v>10</v>
      </c>
      <c r="B2689" t="s">
        <v>1206</v>
      </c>
      <c r="C2689" t="s">
        <v>2173</v>
      </c>
      <c r="D2689" t="s">
        <v>2381</v>
      </c>
      <c r="E2689" t="s">
        <v>2382</v>
      </c>
      <c r="F2689" t="s">
        <v>14</v>
      </c>
      <c r="G2689" t="s">
        <v>15</v>
      </c>
      <c r="H2689" t="s">
        <v>1295</v>
      </c>
      <c r="I2689">
        <v>5098</v>
      </c>
      <c r="J2689" t="s">
        <v>2397</v>
      </c>
      <c r="K2689">
        <f t="shared" si="369"/>
        <v>5098</v>
      </c>
      <c r="N2689" t="str">
        <f t="shared" si="370"/>
        <v>HOLDING REGISTER</v>
      </c>
      <c r="O2689" t="str">
        <f t="shared" si="371"/>
        <v>REAL</v>
      </c>
      <c r="P2689" t="str">
        <f t="shared" si="372"/>
        <v>SENSORE AN AN1</v>
      </c>
      <c r="R2689" t="str">
        <f t="shared" si="373"/>
        <v>MISURA SENSORE</v>
      </c>
      <c r="U2689" t="str">
        <f t="shared" si="374"/>
        <v>Misura</v>
      </c>
      <c r="V2689" t="str">
        <f t="shared" si="375"/>
        <v>GALLERIA</v>
      </c>
      <c r="W2689" t="str">
        <f t="shared" si="376"/>
        <v>GALLERIA CASOLA</v>
      </c>
      <c r="Z2689" t="str">
        <f t="shared" si="377"/>
        <v>10.220.80.16</v>
      </c>
    </row>
    <row r="2690" spans="1:26" x14ac:dyDescent="0.25">
      <c r="A2690" t="s">
        <v>10</v>
      </c>
      <c r="B2690" t="s">
        <v>1206</v>
      </c>
      <c r="C2690" t="s">
        <v>2388</v>
      </c>
      <c r="D2690" t="s">
        <v>2371</v>
      </c>
      <c r="E2690" t="s">
        <v>2372</v>
      </c>
      <c r="F2690" t="s">
        <v>14</v>
      </c>
      <c r="G2690" t="s">
        <v>15</v>
      </c>
      <c r="H2690" t="s">
        <v>1295</v>
      </c>
      <c r="I2690">
        <v>5100</v>
      </c>
      <c r="J2690" t="s">
        <v>2397</v>
      </c>
      <c r="K2690">
        <f t="shared" si="369"/>
        <v>5100</v>
      </c>
      <c r="N2690" t="str">
        <f t="shared" si="370"/>
        <v>HOLDING REGISTER</v>
      </c>
      <c r="O2690" t="str">
        <f t="shared" si="371"/>
        <v>REAL</v>
      </c>
      <c r="P2690" t="str">
        <f t="shared" si="372"/>
        <v>SENSORE CO CO1</v>
      </c>
      <c r="R2690" t="str">
        <f t="shared" si="373"/>
        <v>MISURA SENSORE</v>
      </c>
      <c r="U2690" t="str">
        <f t="shared" si="374"/>
        <v>Misura</v>
      </c>
      <c r="V2690" t="str">
        <f t="shared" si="375"/>
        <v>VIA ESODO</v>
      </c>
      <c r="W2690" t="str">
        <f t="shared" si="376"/>
        <v>GALLERIA CASOLA</v>
      </c>
      <c r="Z2690" t="str">
        <f t="shared" si="377"/>
        <v>10.220.80.16</v>
      </c>
    </row>
    <row r="2691" spans="1:26" x14ac:dyDescent="0.25">
      <c r="A2691" t="s">
        <v>10</v>
      </c>
      <c r="B2691" t="s">
        <v>1206</v>
      </c>
      <c r="C2691" t="s">
        <v>2388</v>
      </c>
      <c r="D2691" t="s">
        <v>2375</v>
      </c>
      <c r="E2691" t="s">
        <v>2376</v>
      </c>
      <c r="F2691" t="s">
        <v>14</v>
      </c>
      <c r="G2691" t="s">
        <v>15</v>
      </c>
      <c r="H2691" t="s">
        <v>1295</v>
      </c>
      <c r="I2691">
        <v>5102</v>
      </c>
      <c r="J2691" t="s">
        <v>2397</v>
      </c>
      <c r="K2691">
        <f t="shared" ref="K2691:K2754" si="378">IF(I2691="","",I2691)</f>
        <v>5102</v>
      </c>
      <c r="N2691" t="str">
        <f t="shared" ref="N2691:N2754" si="379">IF(F2691="","",F2691)</f>
        <v>HOLDING REGISTER</v>
      </c>
      <c r="O2691" t="str">
        <f t="shared" ref="O2691:O2754" si="380">IF(H2691="","",H2691)</f>
        <v>REAL</v>
      </c>
      <c r="P2691" t="str">
        <f t="shared" ref="P2691:P2754" si="381">_xlfn.CONCAT(D2691," ",E2691)</f>
        <v>SENSORE OP OP1</v>
      </c>
      <c r="R2691" t="str">
        <f t="shared" ref="R2691:R2754" si="382">IF(J2691="","",J2691)</f>
        <v>MISURA SENSORE</v>
      </c>
      <c r="U2691" t="str">
        <f t="shared" ref="U2691:U2754" si="383">IF(G2691="","",G2691)</f>
        <v>Misura</v>
      </c>
      <c r="V2691" t="str">
        <f t="shared" ref="V2691:V2754" si="384">IF(C2691="","",C2691)</f>
        <v>VIA ESODO</v>
      </c>
      <c r="W2691" t="str">
        <f t="shared" ref="W2691:W2754" si="385">IF(B2691="","",B2691)</f>
        <v>GALLERIA CASOLA</v>
      </c>
      <c r="Z2691" t="str">
        <f t="shared" ref="Z2691:Z2754" si="386">IF(A2691="","",A2691)</f>
        <v>10.220.80.16</v>
      </c>
    </row>
    <row r="2692" spans="1:26" x14ac:dyDescent="0.25">
      <c r="A2692" t="s">
        <v>10</v>
      </c>
      <c r="B2692" t="s">
        <v>1206</v>
      </c>
      <c r="C2692" t="s">
        <v>2388</v>
      </c>
      <c r="D2692" t="s">
        <v>2381</v>
      </c>
      <c r="E2692" t="s">
        <v>2382</v>
      </c>
      <c r="F2692" t="s">
        <v>14</v>
      </c>
      <c r="G2692" t="s">
        <v>15</v>
      </c>
      <c r="H2692" t="s">
        <v>1295</v>
      </c>
      <c r="I2692">
        <v>5104</v>
      </c>
      <c r="J2692" t="s">
        <v>2397</v>
      </c>
      <c r="K2692">
        <f t="shared" si="378"/>
        <v>5104</v>
      </c>
      <c r="N2692" t="str">
        <f t="shared" si="379"/>
        <v>HOLDING REGISTER</v>
      </c>
      <c r="O2692" t="str">
        <f t="shared" si="380"/>
        <v>REAL</v>
      </c>
      <c r="P2692" t="str">
        <f t="shared" si="381"/>
        <v>SENSORE AN AN1</v>
      </c>
      <c r="R2692" t="str">
        <f t="shared" si="382"/>
        <v>MISURA SENSORE</v>
      </c>
      <c r="U2692" t="str">
        <f t="shared" si="383"/>
        <v>Misura</v>
      </c>
      <c r="V2692" t="str">
        <f t="shared" si="384"/>
        <v>VIA ESODO</v>
      </c>
      <c r="W2692" t="str">
        <f t="shared" si="385"/>
        <v>GALLERIA CASOLA</v>
      </c>
      <c r="Z2692" t="str">
        <f t="shared" si="386"/>
        <v>10.220.80.16</v>
      </c>
    </row>
    <row r="2693" spans="1:26" x14ac:dyDescent="0.25">
      <c r="A2693" t="s">
        <v>10</v>
      </c>
      <c r="B2693" t="s">
        <v>1206</v>
      </c>
      <c r="C2693" t="s">
        <v>2173</v>
      </c>
      <c r="D2693" t="s">
        <v>2313</v>
      </c>
      <c r="E2693" t="s">
        <v>2313</v>
      </c>
      <c r="F2693" t="s">
        <v>14</v>
      </c>
      <c r="G2693" t="s">
        <v>15</v>
      </c>
      <c r="H2693" t="s">
        <v>1295</v>
      </c>
      <c r="I2693">
        <v>5106</v>
      </c>
      <c r="J2693" t="s">
        <v>2398</v>
      </c>
      <c r="K2693">
        <f t="shared" si="378"/>
        <v>5106</v>
      </c>
      <c r="N2693" t="str">
        <f t="shared" si="379"/>
        <v>HOLDING REGISTER</v>
      </c>
      <c r="O2693" t="str">
        <f t="shared" si="380"/>
        <v>REAL</v>
      </c>
      <c r="P2693" t="str">
        <f t="shared" si="381"/>
        <v>SOGLIE INQUINANTI SOGLIE INQUINANTI</v>
      </c>
      <c r="R2693" t="str">
        <f t="shared" si="382"/>
        <v>Soglia 1 CO Impostata</v>
      </c>
      <c r="U2693" t="str">
        <f t="shared" si="383"/>
        <v>Misura</v>
      </c>
      <c r="V2693" t="str">
        <f t="shared" si="384"/>
        <v>GALLERIA</v>
      </c>
      <c r="W2693" t="str">
        <f t="shared" si="385"/>
        <v>GALLERIA CASOLA</v>
      </c>
      <c r="Z2693" t="str">
        <f t="shared" si="386"/>
        <v>10.220.80.16</v>
      </c>
    </row>
    <row r="2694" spans="1:26" x14ac:dyDescent="0.25">
      <c r="A2694" t="s">
        <v>10</v>
      </c>
      <c r="B2694" t="s">
        <v>1206</v>
      </c>
      <c r="C2694" t="s">
        <v>2173</v>
      </c>
      <c r="D2694" t="s">
        <v>2313</v>
      </c>
      <c r="E2694" t="s">
        <v>2313</v>
      </c>
      <c r="F2694" t="s">
        <v>14</v>
      </c>
      <c r="G2694" t="s">
        <v>15</v>
      </c>
      <c r="H2694" t="s">
        <v>1295</v>
      </c>
      <c r="I2694">
        <v>5108</v>
      </c>
      <c r="J2694" t="s">
        <v>2399</v>
      </c>
      <c r="K2694">
        <f t="shared" si="378"/>
        <v>5108</v>
      </c>
      <c r="N2694" t="str">
        <f t="shared" si="379"/>
        <v>HOLDING REGISTER</v>
      </c>
      <c r="O2694" t="str">
        <f t="shared" si="380"/>
        <v>REAL</v>
      </c>
      <c r="P2694" t="str">
        <f t="shared" si="381"/>
        <v>SOGLIE INQUINANTI SOGLIE INQUINANTI</v>
      </c>
      <c r="R2694" t="str">
        <f t="shared" si="382"/>
        <v>Soglia 2 CO Impostata</v>
      </c>
      <c r="U2694" t="str">
        <f t="shared" si="383"/>
        <v>Misura</v>
      </c>
      <c r="V2694" t="str">
        <f t="shared" si="384"/>
        <v>GALLERIA</v>
      </c>
      <c r="W2694" t="str">
        <f t="shared" si="385"/>
        <v>GALLERIA CASOLA</v>
      </c>
      <c r="Z2694" t="str">
        <f t="shared" si="386"/>
        <v>10.220.80.16</v>
      </c>
    </row>
    <row r="2695" spans="1:26" x14ac:dyDescent="0.25">
      <c r="A2695" t="s">
        <v>10</v>
      </c>
      <c r="B2695" t="s">
        <v>1206</v>
      </c>
      <c r="C2695" t="s">
        <v>2173</v>
      </c>
      <c r="D2695" t="s">
        <v>2313</v>
      </c>
      <c r="E2695" t="s">
        <v>2313</v>
      </c>
      <c r="F2695" t="s">
        <v>14</v>
      </c>
      <c r="G2695" t="s">
        <v>15</v>
      </c>
      <c r="H2695" t="s">
        <v>1295</v>
      </c>
      <c r="I2695">
        <v>5110</v>
      </c>
      <c r="J2695" t="s">
        <v>2400</v>
      </c>
      <c r="K2695">
        <f t="shared" si="378"/>
        <v>5110</v>
      </c>
      <c r="N2695" t="str">
        <f t="shared" si="379"/>
        <v>HOLDING REGISTER</v>
      </c>
      <c r="O2695" t="str">
        <f t="shared" si="380"/>
        <v>REAL</v>
      </c>
      <c r="P2695" t="str">
        <f t="shared" si="381"/>
        <v>SOGLIE INQUINANTI SOGLIE INQUINANTI</v>
      </c>
      <c r="R2695" t="str">
        <f t="shared" si="382"/>
        <v>Soglia 3 CO Impostata</v>
      </c>
      <c r="U2695" t="str">
        <f t="shared" si="383"/>
        <v>Misura</v>
      </c>
      <c r="V2695" t="str">
        <f t="shared" si="384"/>
        <v>GALLERIA</v>
      </c>
      <c r="W2695" t="str">
        <f t="shared" si="385"/>
        <v>GALLERIA CASOLA</v>
      </c>
      <c r="Z2695" t="str">
        <f t="shared" si="386"/>
        <v>10.220.80.16</v>
      </c>
    </row>
    <row r="2696" spans="1:26" x14ac:dyDescent="0.25">
      <c r="A2696" t="s">
        <v>10</v>
      </c>
      <c r="B2696" t="s">
        <v>1206</v>
      </c>
      <c r="C2696" t="s">
        <v>2173</v>
      </c>
      <c r="D2696" t="s">
        <v>2313</v>
      </c>
      <c r="E2696" t="s">
        <v>2313</v>
      </c>
      <c r="F2696" t="s">
        <v>14</v>
      </c>
      <c r="G2696" t="s">
        <v>15</v>
      </c>
      <c r="H2696" t="s">
        <v>1295</v>
      </c>
      <c r="I2696">
        <v>5112</v>
      </c>
      <c r="J2696" t="s">
        <v>2401</v>
      </c>
      <c r="K2696">
        <f t="shared" si="378"/>
        <v>5112</v>
      </c>
      <c r="N2696" t="str">
        <f t="shared" si="379"/>
        <v>HOLDING REGISTER</v>
      </c>
      <c r="O2696" t="str">
        <f t="shared" si="380"/>
        <v>REAL</v>
      </c>
      <c r="P2696" t="str">
        <f t="shared" si="381"/>
        <v>SOGLIE INQUINANTI SOGLIE INQUINANTI</v>
      </c>
      <c r="R2696" t="str">
        <f t="shared" si="382"/>
        <v>Soglia 1 OP Impostata</v>
      </c>
      <c r="U2696" t="str">
        <f t="shared" si="383"/>
        <v>Misura</v>
      </c>
      <c r="V2696" t="str">
        <f t="shared" si="384"/>
        <v>GALLERIA</v>
      </c>
      <c r="W2696" t="str">
        <f t="shared" si="385"/>
        <v>GALLERIA CASOLA</v>
      </c>
      <c r="Z2696" t="str">
        <f t="shared" si="386"/>
        <v>10.220.80.16</v>
      </c>
    </row>
    <row r="2697" spans="1:26" x14ac:dyDescent="0.25">
      <c r="A2697" t="s">
        <v>10</v>
      </c>
      <c r="B2697" t="s">
        <v>1206</v>
      </c>
      <c r="C2697" t="s">
        <v>2173</v>
      </c>
      <c r="D2697" t="s">
        <v>2313</v>
      </c>
      <c r="E2697" t="s">
        <v>2313</v>
      </c>
      <c r="F2697" t="s">
        <v>14</v>
      </c>
      <c r="G2697" t="s">
        <v>15</v>
      </c>
      <c r="H2697" t="s">
        <v>1295</v>
      </c>
      <c r="I2697">
        <v>5114</v>
      </c>
      <c r="J2697" t="s">
        <v>2402</v>
      </c>
      <c r="K2697">
        <f t="shared" si="378"/>
        <v>5114</v>
      </c>
      <c r="N2697" t="str">
        <f t="shared" si="379"/>
        <v>HOLDING REGISTER</v>
      </c>
      <c r="O2697" t="str">
        <f t="shared" si="380"/>
        <v>REAL</v>
      </c>
      <c r="P2697" t="str">
        <f t="shared" si="381"/>
        <v>SOGLIE INQUINANTI SOGLIE INQUINANTI</v>
      </c>
      <c r="R2697" t="str">
        <f t="shared" si="382"/>
        <v>Soglia 2 OP Impostata</v>
      </c>
      <c r="U2697" t="str">
        <f t="shared" si="383"/>
        <v>Misura</v>
      </c>
      <c r="V2697" t="str">
        <f t="shared" si="384"/>
        <v>GALLERIA</v>
      </c>
      <c r="W2697" t="str">
        <f t="shared" si="385"/>
        <v>GALLERIA CASOLA</v>
      </c>
      <c r="Z2697" t="str">
        <f t="shared" si="386"/>
        <v>10.220.80.16</v>
      </c>
    </row>
    <row r="2698" spans="1:26" x14ac:dyDescent="0.25">
      <c r="A2698" t="s">
        <v>10</v>
      </c>
      <c r="B2698" t="s">
        <v>1206</v>
      </c>
      <c r="C2698" t="s">
        <v>2173</v>
      </c>
      <c r="D2698" t="s">
        <v>2313</v>
      </c>
      <c r="E2698" t="s">
        <v>2313</v>
      </c>
      <c r="F2698" t="s">
        <v>14</v>
      </c>
      <c r="G2698" t="s">
        <v>15</v>
      </c>
      <c r="H2698" t="s">
        <v>1295</v>
      </c>
      <c r="I2698">
        <v>5116</v>
      </c>
      <c r="J2698" t="s">
        <v>2403</v>
      </c>
      <c r="K2698">
        <f t="shared" si="378"/>
        <v>5116</v>
      </c>
      <c r="N2698" t="str">
        <f t="shared" si="379"/>
        <v>HOLDING REGISTER</v>
      </c>
      <c r="O2698" t="str">
        <f t="shared" si="380"/>
        <v>REAL</v>
      </c>
      <c r="P2698" t="str">
        <f t="shared" si="381"/>
        <v>SOGLIE INQUINANTI SOGLIE INQUINANTI</v>
      </c>
      <c r="R2698" t="str">
        <f t="shared" si="382"/>
        <v>Soglia 3 OP Impostata</v>
      </c>
      <c r="U2698" t="str">
        <f t="shared" si="383"/>
        <v>Misura</v>
      </c>
      <c r="V2698" t="str">
        <f t="shared" si="384"/>
        <v>GALLERIA</v>
      </c>
      <c r="W2698" t="str">
        <f t="shared" si="385"/>
        <v>GALLERIA CASOLA</v>
      </c>
      <c r="Z2698" t="str">
        <f t="shared" si="386"/>
        <v>10.220.80.16</v>
      </c>
    </row>
    <row r="2699" spans="1:26" x14ac:dyDescent="0.25">
      <c r="A2699" t="s">
        <v>10</v>
      </c>
      <c r="B2699" t="s">
        <v>1206</v>
      </c>
      <c r="C2699" t="s">
        <v>2173</v>
      </c>
      <c r="D2699" t="s">
        <v>2313</v>
      </c>
      <c r="E2699" t="s">
        <v>2313</v>
      </c>
      <c r="F2699" t="s">
        <v>14</v>
      </c>
      <c r="G2699" t="s">
        <v>15</v>
      </c>
      <c r="H2699" t="s">
        <v>16</v>
      </c>
      <c r="I2699">
        <v>5118</v>
      </c>
      <c r="J2699" t="s">
        <v>2404</v>
      </c>
      <c r="K2699">
        <f t="shared" si="378"/>
        <v>5118</v>
      </c>
      <c r="N2699" t="str">
        <f t="shared" si="379"/>
        <v>HOLDING REGISTER</v>
      </c>
      <c r="O2699" t="str">
        <f t="shared" si="380"/>
        <v>INT</v>
      </c>
      <c r="P2699" t="str">
        <f t="shared" si="381"/>
        <v>SOGLIE INQUINANTI SOGLIE INQUINANTI</v>
      </c>
      <c r="R2699" t="str">
        <f t="shared" si="382"/>
        <v>Soglia 1 Numero Ventilatori</v>
      </c>
      <c r="U2699" t="str">
        <f t="shared" si="383"/>
        <v>Misura</v>
      </c>
      <c r="V2699" t="str">
        <f t="shared" si="384"/>
        <v>GALLERIA</v>
      </c>
      <c r="W2699" t="str">
        <f t="shared" si="385"/>
        <v>GALLERIA CASOLA</v>
      </c>
      <c r="Z2699" t="str">
        <f t="shared" si="386"/>
        <v>10.220.80.16</v>
      </c>
    </row>
    <row r="2700" spans="1:26" x14ac:dyDescent="0.25">
      <c r="A2700" t="s">
        <v>10</v>
      </c>
      <c r="B2700" t="s">
        <v>1206</v>
      </c>
      <c r="C2700" t="s">
        <v>2173</v>
      </c>
      <c r="D2700" t="s">
        <v>2313</v>
      </c>
      <c r="E2700" t="s">
        <v>2313</v>
      </c>
      <c r="F2700" t="s">
        <v>14</v>
      </c>
      <c r="G2700" t="s">
        <v>15</v>
      </c>
      <c r="H2700" t="s">
        <v>16</v>
      </c>
      <c r="I2700">
        <v>5119</v>
      </c>
      <c r="J2700" t="s">
        <v>2405</v>
      </c>
      <c r="K2700">
        <f t="shared" si="378"/>
        <v>5119</v>
      </c>
      <c r="N2700" t="str">
        <f t="shared" si="379"/>
        <v>HOLDING REGISTER</v>
      </c>
      <c r="O2700" t="str">
        <f t="shared" si="380"/>
        <v>INT</v>
      </c>
      <c r="P2700" t="str">
        <f t="shared" si="381"/>
        <v>SOGLIE INQUINANTI SOGLIE INQUINANTI</v>
      </c>
      <c r="R2700" t="str">
        <f t="shared" si="382"/>
        <v>Soglia 2 Numero Ventilatori</v>
      </c>
      <c r="U2700" t="str">
        <f t="shared" si="383"/>
        <v>Misura</v>
      </c>
      <c r="V2700" t="str">
        <f t="shared" si="384"/>
        <v>GALLERIA</v>
      </c>
      <c r="W2700" t="str">
        <f t="shared" si="385"/>
        <v>GALLERIA CASOLA</v>
      </c>
      <c r="Z2700" t="str">
        <f t="shared" si="386"/>
        <v>10.220.80.16</v>
      </c>
    </row>
    <row r="2701" spans="1:26" x14ac:dyDescent="0.25">
      <c r="A2701" t="s">
        <v>10</v>
      </c>
      <c r="B2701" t="s">
        <v>1206</v>
      </c>
      <c r="C2701" t="s">
        <v>2173</v>
      </c>
      <c r="D2701" t="s">
        <v>2313</v>
      </c>
      <c r="E2701" t="s">
        <v>2313</v>
      </c>
      <c r="F2701" t="s">
        <v>14</v>
      </c>
      <c r="G2701" t="s">
        <v>15</v>
      </c>
      <c r="H2701" t="s">
        <v>16</v>
      </c>
      <c r="I2701">
        <v>5120</v>
      </c>
      <c r="J2701" t="s">
        <v>2406</v>
      </c>
      <c r="K2701">
        <f t="shared" si="378"/>
        <v>5120</v>
      </c>
      <c r="N2701" t="str">
        <f t="shared" si="379"/>
        <v>HOLDING REGISTER</v>
      </c>
      <c r="O2701" t="str">
        <f t="shared" si="380"/>
        <v>INT</v>
      </c>
      <c r="P2701" t="str">
        <f t="shared" si="381"/>
        <v>SOGLIE INQUINANTI SOGLIE INQUINANTI</v>
      </c>
      <c r="R2701" t="str">
        <f t="shared" si="382"/>
        <v>Soglia 3 Numero Ventilatori</v>
      </c>
      <c r="U2701" t="str">
        <f t="shared" si="383"/>
        <v>Misura</v>
      </c>
      <c r="V2701" t="str">
        <f t="shared" si="384"/>
        <v>GALLERIA</v>
      </c>
      <c r="W2701" t="str">
        <f t="shared" si="385"/>
        <v>GALLERIA CASOLA</v>
      </c>
      <c r="Z2701" t="str">
        <f t="shared" si="386"/>
        <v>10.220.80.16</v>
      </c>
    </row>
    <row r="2702" spans="1:26" x14ac:dyDescent="0.25">
      <c r="A2702" t="s">
        <v>10</v>
      </c>
      <c r="B2702" t="s">
        <v>1206</v>
      </c>
      <c r="C2702" t="s">
        <v>2173</v>
      </c>
      <c r="D2702" t="s">
        <v>2313</v>
      </c>
      <c r="E2702" t="s">
        <v>2313</v>
      </c>
      <c r="F2702" t="s">
        <v>14</v>
      </c>
      <c r="G2702" t="s">
        <v>15</v>
      </c>
      <c r="H2702" t="s">
        <v>16</v>
      </c>
      <c r="I2702">
        <v>5121</v>
      </c>
      <c r="J2702" t="s">
        <v>2407</v>
      </c>
      <c r="K2702">
        <f t="shared" si="378"/>
        <v>5121</v>
      </c>
      <c r="N2702" t="str">
        <f t="shared" si="379"/>
        <v>HOLDING REGISTER</v>
      </c>
      <c r="O2702" t="str">
        <f t="shared" si="380"/>
        <v>INT</v>
      </c>
      <c r="P2702" t="str">
        <f t="shared" si="381"/>
        <v>SOGLIE INQUINANTI SOGLIE INQUINANTI</v>
      </c>
      <c r="R2702" t="str">
        <f t="shared" si="382"/>
        <v>Tempo Ritardo Attivazione Soglia (min.)</v>
      </c>
      <c r="U2702" t="str">
        <f t="shared" si="383"/>
        <v>Misura</v>
      </c>
      <c r="V2702" t="str">
        <f t="shared" si="384"/>
        <v>GALLERIA</v>
      </c>
      <c r="W2702" t="str">
        <f t="shared" si="385"/>
        <v>GALLERIA CASOLA</v>
      </c>
      <c r="Z2702" t="str">
        <f t="shared" si="386"/>
        <v>10.220.80.16</v>
      </c>
    </row>
    <row r="2703" spans="1:26" x14ac:dyDescent="0.25">
      <c r="A2703" t="s">
        <v>10</v>
      </c>
      <c r="B2703" t="s">
        <v>1206</v>
      </c>
      <c r="C2703" t="s">
        <v>2173</v>
      </c>
      <c r="D2703" t="s">
        <v>2313</v>
      </c>
      <c r="E2703" t="s">
        <v>2313</v>
      </c>
      <c r="F2703" t="s">
        <v>14</v>
      </c>
      <c r="G2703" t="s">
        <v>15</v>
      </c>
      <c r="H2703" t="s">
        <v>16</v>
      </c>
      <c r="I2703">
        <v>5122</v>
      </c>
      <c r="J2703" t="s">
        <v>2408</v>
      </c>
      <c r="K2703">
        <f t="shared" si="378"/>
        <v>5122</v>
      </c>
      <c r="N2703" t="str">
        <f t="shared" si="379"/>
        <v>HOLDING REGISTER</v>
      </c>
      <c r="O2703" t="str">
        <f t="shared" si="380"/>
        <v>INT</v>
      </c>
      <c r="P2703" t="str">
        <f t="shared" si="381"/>
        <v>SOGLIE INQUINANTI SOGLIE INQUINANTI</v>
      </c>
      <c r="R2703" t="str">
        <f t="shared" si="382"/>
        <v>Tempo Ritardo Rientro Soglia (min.)</v>
      </c>
      <c r="U2703" t="str">
        <f t="shared" si="383"/>
        <v>Misura</v>
      </c>
      <c r="V2703" t="str">
        <f t="shared" si="384"/>
        <v>GALLERIA</v>
      </c>
      <c r="W2703" t="str">
        <f t="shared" si="385"/>
        <v>GALLERIA CASOLA</v>
      </c>
      <c r="Z2703" t="str">
        <f t="shared" si="386"/>
        <v>10.220.80.16</v>
      </c>
    </row>
    <row r="2704" spans="1:26" x14ac:dyDescent="0.25">
      <c r="A2704" t="s">
        <v>10</v>
      </c>
      <c r="B2704" t="s">
        <v>1206</v>
      </c>
      <c r="C2704" t="s">
        <v>2173</v>
      </c>
      <c r="D2704" t="s">
        <v>2313</v>
      </c>
      <c r="E2704" t="s">
        <v>2313</v>
      </c>
      <c r="F2704" t="s">
        <v>14</v>
      </c>
      <c r="G2704" t="s">
        <v>15</v>
      </c>
      <c r="H2704" t="s">
        <v>16</v>
      </c>
      <c r="I2704">
        <v>5123</v>
      </c>
      <c r="J2704" t="s">
        <v>2409</v>
      </c>
      <c r="K2704">
        <f t="shared" si="378"/>
        <v>5123</v>
      </c>
      <c r="N2704" t="str">
        <f t="shared" si="379"/>
        <v>HOLDING REGISTER</v>
      </c>
      <c r="O2704" t="str">
        <f t="shared" si="380"/>
        <v>INT</v>
      </c>
      <c r="P2704" t="str">
        <f t="shared" si="381"/>
        <v>SOGLIE INQUINANTI SOGLIE INQUINANTI</v>
      </c>
      <c r="R2704" t="str">
        <f t="shared" si="382"/>
        <v>Numero Ventilatori Richiesti</v>
      </c>
      <c r="U2704" t="str">
        <f t="shared" si="383"/>
        <v>Misura</v>
      </c>
      <c r="V2704" t="str">
        <f t="shared" si="384"/>
        <v>GALLERIA</v>
      </c>
      <c r="W2704" t="str">
        <f t="shared" si="385"/>
        <v>GALLERIA CASOLA</v>
      </c>
      <c r="Z2704" t="str">
        <f t="shared" si="386"/>
        <v>10.220.80.16</v>
      </c>
    </row>
    <row r="2705" spans="1:26" x14ac:dyDescent="0.25">
      <c r="A2705" t="s">
        <v>10</v>
      </c>
      <c r="B2705" t="s">
        <v>1206</v>
      </c>
      <c r="C2705" t="s">
        <v>2173</v>
      </c>
      <c r="D2705" t="s">
        <v>2482</v>
      </c>
      <c r="E2705" t="s">
        <v>2483</v>
      </c>
      <c r="F2705" t="s">
        <v>14</v>
      </c>
      <c r="G2705" t="s">
        <v>21</v>
      </c>
      <c r="H2705" t="s">
        <v>22</v>
      </c>
      <c r="I2705" t="s">
        <v>3526</v>
      </c>
      <c r="J2705" t="s">
        <v>2485</v>
      </c>
      <c r="K2705" t="str">
        <f t="shared" si="378"/>
        <v>5124.0</v>
      </c>
      <c r="N2705" t="str">
        <f t="shared" si="379"/>
        <v>HOLDING REGISTER</v>
      </c>
      <c r="O2705" t="str">
        <f t="shared" si="380"/>
        <v>BOOL</v>
      </c>
      <c r="P2705" t="str">
        <f t="shared" si="381"/>
        <v>SCENARI Scenario E2</v>
      </c>
      <c r="R2705" t="str">
        <f t="shared" si="382"/>
        <v>Scenari -Comando Manuale Scenario E2: ALLARME SOS</v>
      </c>
      <c r="U2705" t="str">
        <f t="shared" si="383"/>
        <v>Stato</v>
      </c>
      <c r="V2705" t="str">
        <f t="shared" si="384"/>
        <v>GALLERIA</v>
      </c>
      <c r="W2705" t="str">
        <f t="shared" si="385"/>
        <v>GALLERIA CASOLA</v>
      </c>
      <c r="Z2705" t="str">
        <f t="shared" si="386"/>
        <v>10.220.80.16</v>
      </c>
    </row>
    <row r="2706" spans="1:26" x14ac:dyDescent="0.25">
      <c r="A2706" t="s">
        <v>10</v>
      </c>
      <c r="B2706" t="s">
        <v>1206</v>
      </c>
      <c r="C2706" t="s">
        <v>2173</v>
      </c>
      <c r="D2706" t="s">
        <v>2482</v>
      </c>
      <c r="E2706" t="s">
        <v>2486</v>
      </c>
      <c r="F2706" t="s">
        <v>14</v>
      </c>
      <c r="G2706" t="s">
        <v>21</v>
      </c>
      <c r="H2706" t="s">
        <v>22</v>
      </c>
      <c r="I2706" t="s">
        <v>3527</v>
      </c>
      <c r="J2706" t="s">
        <v>2488</v>
      </c>
      <c r="K2706" t="str">
        <f t="shared" si="378"/>
        <v>5124.1</v>
      </c>
      <c r="N2706" t="str">
        <f t="shared" si="379"/>
        <v>HOLDING REGISTER</v>
      </c>
      <c r="O2706" t="str">
        <f t="shared" si="380"/>
        <v>BOOL</v>
      </c>
      <c r="P2706" t="str">
        <f t="shared" si="381"/>
        <v>SCENARI Scenario E3</v>
      </c>
      <c r="R2706" t="str">
        <f t="shared" si="382"/>
        <v>Scenari -Comando Manuale Scenario E3: PEDONE IN GALLERIA</v>
      </c>
      <c r="U2706" t="str">
        <f t="shared" si="383"/>
        <v>Stato</v>
      </c>
      <c r="V2706" t="str">
        <f t="shared" si="384"/>
        <v>GALLERIA</v>
      </c>
      <c r="W2706" t="str">
        <f t="shared" si="385"/>
        <v>GALLERIA CASOLA</v>
      </c>
      <c r="Z2706" t="str">
        <f t="shared" si="386"/>
        <v>10.220.80.16</v>
      </c>
    </row>
    <row r="2707" spans="1:26" x14ac:dyDescent="0.25">
      <c r="A2707" t="s">
        <v>10</v>
      </c>
      <c r="B2707" t="s">
        <v>1206</v>
      </c>
      <c r="C2707" t="s">
        <v>2173</v>
      </c>
      <c r="D2707" t="s">
        <v>2482</v>
      </c>
      <c r="E2707" t="s">
        <v>2489</v>
      </c>
      <c r="F2707" t="s">
        <v>14</v>
      </c>
      <c r="G2707" t="s">
        <v>21</v>
      </c>
      <c r="H2707" t="s">
        <v>22</v>
      </c>
      <c r="I2707" t="s">
        <v>3528</v>
      </c>
      <c r="J2707" t="s">
        <v>2491</v>
      </c>
      <c r="K2707" t="str">
        <f t="shared" si="378"/>
        <v>5124.2</v>
      </c>
      <c r="N2707" t="str">
        <f t="shared" si="379"/>
        <v>HOLDING REGISTER</v>
      </c>
      <c r="O2707" t="str">
        <f t="shared" si="380"/>
        <v>BOOL</v>
      </c>
      <c r="P2707" t="str">
        <f t="shared" si="381"/>
        <v>SCENARI Scenario E4</v>
      </c>
      <c r="R2707" t="str">
        <f t="shared" si="382"/>
        <v>Scenari -Comando Manuale Scenario E4: VE ICOLO FERMO/OSTACOLO</v>
      </c>
      <c r="U2707" t="str">
        <f t="shared" si="383"/>
        <v>Stato</v>
      </c>
      <c r="V2707" t="str">
        <f t="shared" si="384"/>
        <v>GALLERIA</v>
      </c>
      <c r="W2707" t="str">
        <f t="shared" si="385"/>
        <v>GALLERIA CASOLA</v>
      </c>
      <c r="Z2707" t="str">
        <f t="shared" si="386"/>
        <v>10.220.80.16</v>
      </c>
    </row>
    <row r="2708" spans="1:26" x14ac:dyDescent="0.25">
      <c r="A2708" t="s">
        <v>10</v>
      </c>
      <c r="B2708" t="s">
        <v>1206</v>
      </c>
      <c r="C2708" t="s">
        <v>2173</v>
      </c>
      <c r="D2708" t="s">
        <v>2482</v>
      </c>
      <c r="E2708" t="s">
        <v>2492</v>
      </c>
      <c r="F2708" t="s">
        <v>14</v>
      </c>
      <c r="G2708" t="s">
        <v>21</v>
      </c>
      <c r="H2708" t="s">
        <v>22</v>
      </c>
      <c r="I2708" t="s">
        <v>3529</v>
      </c>
      <c r="J2708" t="s">
        <v>2494</v>
      </c>
      <c r="K2708" t="str">
        <f t="shared" si="378"/>
        <v>5124.3</v>
      </c>
      <c r="N2708" t="str">
        <f t="shared" si="379"/>
        <v>HOLDING REGISTER</v>
      </c>
      <c r="O2708" t="str">
        <f t="shared" si="380"/>
        <v>BOOL</v>
      </c>
      <c r="P2708" t="str">
        <f t="shared" si="381"/>
        <v>SCENARI Scenario E5</v>
      </c>
      <c r="R2708" t="str">
        <f t="shared" si="382"/>
        <v>Scenari -Comando Manuale Scenario E5: INCIDENTE</v>
      </c>
      <c r="U2708" t="str">
        <f t="shared" si="383"/>
        <v>Stato</v>
      </c>
      <c r="V2708" t="str">
        <f t="shared" si="384"/>
        <v>GALLERIA</v>
      </c>
      <c r="W2708" t="str">
        <f t="shared" si="385"/>
        <v>GALLERIA CASOLA</v>
      </c>
      <c r="Z2708" t="str">
        <f t="shared" si="386"/>
        <v>10.220.80.16</v>
      </c>
    </row>
    <row r="2709" spans="1:26" x14ac:dyDescent="0.25">
      <c r="A2709" t="s">
        <v>10</v>
      </c>
      <c r="B2709" t="s">
        <v>1206</v>
      </c>
      <c r="C2709" t="s">
        <v>2173</v>
      </c>
      <c r="D2709" t="s">
        <v>2482</v>
      </c>
      <c r="E2709" t="s">
        <v>2495</v>
      </c>
      <c r="F2709" t="s">
        <v>14</v>
      </c>
      <c r="G2709" t="s">
        <v>21</v>
      </c>
      <c r="H2709" t="s">
        <v>22</v>
      </c>
      <c r="I2709" t="s">
        <v>3530</v>
      </c>
      <c r="J2709" t="s">
        <v>2497</v>
      </c>
      <c r="K2709" t="str">
        <f t="shared" si="378"/>
        <v>5124.4</v>
      </c>
      <c r="N2709" t="str">
        <f t="shared" si="379"/>
        <v>HOLDING REGISTER</v>
      </c>
      <c r="O2709" t="str">
        <f t="shared" si="380"/>
        <v>BOOL</v>
      </c>
      <c r="P2709" t="str">
        <f t="shared" si="381"/>
        <v>SCENARI Scenario E6</v>
      </c>
      <c r="R2709" t="str">
        <f t="shared" si="382"/>
        <v>Scenari -Comando Manuale Scenario E6: DISTACCO JETFAN</v>
      </c>
      <c r="U2709" t="str">
        <f t="shared" si="383"/>
        <v>Stato</v>
      </c>
      <c r="V2709" t="str">
        <f t="shared" si="384"/>
        <v>GALLERIA</v>
      </c>
      <c r="W2709" t="str">
        <f t="shared" si="385"/>
        <v>GALLERIA CASOLA</v>
      </c>
      <c r="Z2709" t="str">
        <f t="shared" si="386"/>
        <v>10.220.80.16</v>
      </c>
    </row>
    <row r="2710" spans="1:26" x14ac:dyDescent="0.25">
      <c r="A2710" t="s">
        <v>10</v>
      </c>
      <c r="B2710" t="s">
        <v>1206</v>
      </c>
      <c r="C2710" t="s">
        <v>2173</v>
      </c>
      <c r="D2710" t="s">
        <v>2482</v>
      </c>
      <c r="E2710" t="s">
        <v>2498</v>
      </c>
      <c r="F2710" t="s">
        <v>14</v>
      </c>
      <c r="G2710" t="s">
        <v>21</v>
      </c>
      <c r="H2710" t="s">
        <v>22</v>
      </c>
      <c r="I2710" t="s">
        <v>3531</v>
      </c>
      <c r="J2710" t="s">
        <v>2500</v>
      </c>
      <c r="K2710" t="str">
        <f t="shared" si="378"/>
        <v>5124.5</v>
      </c>
      <c r="N2710" t="str">
        <f t="shared" si="379"/>
        <v>HOLDING REGISTER</v>
      </c>
      <c r="O2710" t="str">
        <f t="shared" si="380"/>
        <v>BOOL</v>
      </c>
      <c r="P2710" t="str">
        <f t="shared" si="381"/>
        <v>SCENARI Scenario E7</v>
      </c>
      <c r="R2710" t="str">
        <f t="shared" si="382"/>
        <v>Scenari -Comando Manuale Scenario E7: GALLERIA INQUINATA</v>
      </c>
      <c r="U2710" t="str">
        <f t="shared" si="383"/>
        <v>Stato</v>
      </c>
      <c r="V2710" t="str">
        <f t="shared" si="384"/>
        <v>GALLERIA</v>
      </c>
      <c r="W2710" t="str">
        <f t="shared" si="385"/>
        <v>GALLERIA CASOLA</v>
      </c>
      <c r="Z2710" t="str">
        <f t="shared" si="386"/>
        <v>10.220.80.16</v>
      </c>
    </row>
    <row r="2711" spans="1:26" x14ac:dyDescent="0.25">
      <c r="A2711" t="s">
        <v>10</v>
      </c>
      <c r="B2711" t="s">
        <v>1206</v>
      </c>
      <c r="C2711" t="s">
        <v>2173</v>
      </c>
      <c r="D2711" t="s">
        <v>2482</v>
      </c>
      <c r="E2711" t="s">
        <v>2501</v>
      </c>
      <c r="F2711" t="s">
        <v>14</v>
      </c>
      <c r="G2711" t="s">
        <v>21</v>
      </c>
      <c r="H2711" t="s">
        <v>22</v>
      </c>
      <c r="I2711" t="s">
        <v>3532</v>
      </c>
      <c r="J2711" t="s">
        <v>2503</v>
      </c>
      <c r="K2711" t="str">
        <f t="shared" si="378"/>
        <v>5124.6</v>
      </c>
      <c r="N2711" t="str">
        <f t="shared" si="379"/>
        <v>HOLDING REGISTER</v>
      </c>
      <c r="O2711" t="str">
        <f t="shared" si="380"/>
        <v>BOOL</v>
      </c>
      <c r="P2711" t="str">
        <f t="shared" si="381"/>
        <v>SCENARI Scenario E8</v>
      </c>
      <c r="R2711" t="str">
        <f t="shared" si="382"/>
        <v>Scenari -Comando Manuale Scenario E8: VEICOLO CONTROMANO</v>
      </c>
      <c r="U2711" t="str">
        <f t="shared" si="383"/>
        <v>Stato</v>
      </c>
      <c r="V2711" t="str">
        <f t="shared" si="384"/>
        <v>GALLERIA</v>
      </c>
      <c r="W2711" t="str">
        <f t="shared" si="385"/>
        <v>GALLERIA CASOLA</v>
      </c>
      <c r="Z2711" t="str">
        <f t="shared" si="386"/>
        <v>10.220.80.16</v>
      </c>
    </row>
    <row r="2712" spans="1:26" x14ac:dyDescent="0.25">
      <c r="A2712" t="s">
        <v>10</v>
      </c>
      <c r="B2712" t="s">
        <v>1206</v>
      </c>
      <c r="C2712" t="s">
        <v>2173</v>
      </c>
      <c r="D2712" t="s">
        <v>2482</v>
      </c>
      <c r="E2712" t="s">
        <v>2504</v>
      </c>
      <c r="F2712" t="s">
        <v>14</v>
      </c>
      <c r="G2712" t="s">
        <v>21</v>
      </c>
      <c r="H2712" t="s">
        <v>22</v>
      </c>
      <c r="I2712" t="s">
        <v>3533</v>
      </c>
      <c r="J2712" t="s">
        <v>2506</v>
      </c>
      <c r="K2712" t="str">
        <f t="shared" si="378"/>
        <v>5124.7</v>
      </c>
      <c r="N2712" t="str">
        <f t="shared" si="379"/>
        <v>HOLDING REGISTER</v>
      </c>
      <c r="O2712" t="str">
        <f t="shared" si="380"/>
        <v>BOOL</v>
      </c>
      <c r="P2712" t="str">
        <f t="shared" si="381"/>
        <v>SCENARI Scenario E10</v>
      </c>
      <c r="R2712" t="str">
        <f t="shared" si="382"/>
        <v>Scenari -Comando Manuale Scenario E10: PREALLARME INCENDIO</v>
      </c>
      <c r="U2712" t="str">
        <f t="shared" si="383"/>
        <v>Stato</v>
      </c>
      <c r="V2712" t="str">
        <f t="shared" si="384"/>
        <v>GALLERIA</v>
      </c>
      <c r="W2712" t="str">
        <f t="shared" si="385"/>
        <v>GALLERIA CASOLA</v>
      </c>
      <c r="Z2712" t="str">
        <f t="shared" si="386"/>
        <v>10.220.80.16</v>
      </c>
    </row>
    <row r="2713" spans="1:26" x14ac:dyDescent="0.25">
      <c r="A2713" t="s">
        <v>10</v>
      </c>
      <c r="B2713" t="s">
        <v>1206</v>
      </c>
      <c r="C2713" t="s">
        <v>2173</v>
      </c>
      <c r="D2713" t="s">
        <v>2482</v>
      </c>
      <c r="E2713" t="s">
        <v>2507</v>
      </c>
      <c r="F2713" t="s">
        <v>14</v>
      </c>
      <c r="G2713" t="s">
        <v>21</v>
      </c>
      <c r="H2713" t="s">
        <v>22</v>
      </c>
      <c r="I2713" t="s">
        <v>3534</v>
      </c>
      <c r="J2713" t="s">
        <v>2509</v>
      </c>
      <c r="K2713" t="str">
        <f t="shared" si="378"/>
        <v>5124.8</v>
      </c>
      <c r="N2713" t="str">
        <f t="shared" si="379"/>
        <v>HOLDING REGISTER</v>
      </c>
      <c r="O2713" t="str">
        <f t="shared" si="380"/>
        <v>BOOL</v>
      </c>
      <c r="P2713" t="str">
        <f t="shared" si="381"/>
        <v>SCENARI Scenario E11</v>
      </c>
      <c r="R2713" t="str">
        <f t="shared" si="382"/>
        <v>Scenari -Comando Manuale Scenario E11: ALLARME INCENDIO</v>
      </c>
      <c r="U2713" t="str">
        <f t="shared" si="383"/>
        <v>Stato</v>
      </c>
      <c r="V2713" t="str">
        <f t="shared" si="384"/>
        <v>GALLERIA</v>
      </c>
      <c r="W2713" t="str">
        <f t="shared" si="385"/>
        <v>GALLERIA CASOLA</v>
      </c>
      <c r="Z2713" t="str">
        <f t="shared" si="386"/>
        <v>10.220.80.16</v>
      </c>
    </row>
    <row r="2714" spans="1:26" x14ac:dyDescent="0.25">
      <c r="A2714" t="s">
        <v>10</v>
      </c>
      <c r="B2714" t="s">
        <v>1206</v>
      </c>
      <c r="C2714" t="s">
        <v>2173</v>
      </c>
      <c r="D2714" t="s">
        <v>2482</v>
      </c>
      <c r="E2714" t="s">
        <v>2510</v>
      </c>
      <c r="F2714" t="s">
        <v>14</v>
      </c>
      <c r="G2714" t="s">
        <v>21</v>
      </c>
      <c r="H2714" t="s">
        <v>22</v>
      </c>
      <c r="I2714" t="s">
        <v>3535</v>
      </c>
      <c r="J2714" t="s">
        <v>2512</v>
      </c>
      <c r="K2714" t="str">
        <f t="shared" si="378"/>
        <v>5124.9</v>
      </c>
      <c r="N2714" t="str">
        <f t="shared" si="379"/>
        <v>HOLDING REGISTER</v>
      </c>
      <c r="O2714" t="str">
        <f t="shared" si="380"/>
        <v>BOOL</v>
      </c>
      <c r="P2714" t="str">
        <f t="shared" si="381"/>
        <v>SCENARI Scenario V1</v>
      </c>
      <c r="R2714" t="str">
        <f t="shared" si="382"/>
        <v>Scenari -Comando Manuale Scenario V1: CODA</v>
      </c>
      <c r="U2714" t="str">
        <f t="shared" si="383"/>
        <v>Stato</v>
      </c>
      <c r="V2714" t="str">
        <f t="shared" si="384"/>
        <v>GALLERIA</v>
      </c>
      <c r="W2714" t="str">
        <f t="shared" si="385"/>
        <v>GALLERIA CASOLA</v>
      </c>
      <c r="Z2714" t="str">
        <f t="shared" si="386"/>
        <v>10.220.80.16</v>
      </c>
    </row>
    <row r="2715" spans="1:26" x14ac:dyDescent="0.25">
      <c r="A2715" t="s">
        <v>10</v>
      </c>
      <c r="B2715" t="s">
        <v>1206</v>
      </c>
      <c r="C2715" t="s">
        <v>2173</v>
      </c>
      <c r="D2715" t="s">
        <v>2482</v>
      </c>
      <c r="E2715" t="s">
        <v>2513</v>
      </c>
      <c r="F2715" t="s">
        <v>14</v>
      </c>
      <c r="G2715" t="s">
        <v>21</v>
      </c>
      <c r="H2715" t="s">
        <v>22</v>
      </c>
      <c r="I2715" t="s">
        <v>3536</v>
      </c>
      <c r="J2715" t="s">
        <v>3537</v>
      </c>
      <c r="K2715" t="str">
        <f t="shared" si="378"/>
        <v>5124.10</v>
      </c>
      <c r="N2715" t="str">
        <f t="shared" si="379"/>
        <v>HOLDING REGISTER</v>
      </c>
      <c r="O2715" t="str">
        <f t="shared" si="380"/>
        <v>BOOL</v>
      </c>
      <c r="P2715" t="str">
        <f t="shared" si="381"/>
        <v>SCENARI Scenario V6</v>
      </c>
      <c r="R2715" t="str">
        <f t="shared" si="382"/>
        <v>Scenari -Comando Manuale Scenario V4 -Galleria chiusa</v>
      </c>
      <c r="U2715" t="str">
        <f t="shared" si="383"/>
        <v>Stato</v>
      </c>
      <c r="V2715" t="str">
        <f t="shared" si="384"/>
        <v>GALLERIA</v>
      </c>
      <c r="W2715" t="str">
        <f t="shared" si="385"/>
        <v>GALLERIA CASOLA</v>
      </c>
      <c r="Z2715" t="str">
        <f t="shared" si="386"/>
        <v>10.220.80.16</v>
      </c>
    </row>
    <row r="2716" spans="1:26" x14ac:dyDescent="0.25">
      <c r="A2716" t="s">
        <v>10</v>
      </c>
      <c r="B2716" t="s">
        <v>1206</v>
      </c>
      <c r="C2716" t="s">
        <v>2173</v>
      </c>
      <c r="D2716" t="s">
        <v>2482</v>
      </c>
      <c r="E2716" t="s">
        <v>2516</v>
      </c>
      <c r="F2716" t="s">
        <v>14</v>
      </c>
      <c r="G2716" t="s">
        <v>21</v>
      </c>
      <c r="H2716" t="s">
        <v>22</v>
      </c>
      <c r="I2716" t="s">
        <v>3538</v>
      </c>
      <c r="J2716" t="s">
        <v>3539</v>
      </c>
      <c r="K2716" t="str">
        <f t="shared" si="378"/>
        <v>5124.11</v>
      </c>
      <c r="N2716" t="str">
        <f t="shared" si="379"/>
        <v>HOLDING REGISTER</v>
      </c>
      <c r="O2716" t="str">
        <f t="shared" si="380"/>
        <v>BOOL</v>
      </c>
      <c r="P2716" t="str">
        <f t="shared" si="381"/>
        <v>SCENARI Scenario V4</v>
      </c>
      <c r="R2716" t="str">
        <f t="shared" si="382"/>
        <v>Scenari -Comando Manuale Scenario V5 -Corsia Marcia Chiusa</v>
      </c>
      <c r="U2716" t="str">
        <f t="shared" si="383"/>
        <v>Stato</v>
      </c>
      <c r="V2716" t="str">
        <f t="shared" si="384"/>
        <v>GALLERIA</v>
      </c>
      <c r="W2716" t="str">
        <f t="shared" si="385"/>
        <v>GALLERIA CASOLA</v>
      </c>
      <c r="Z2716" t="str">
        <f t="shared" si="386"/>
        <v>10.220.80.16</v>
      </c>
    </row>
    <row r="2717" spans="1:26" x14ac:dyDescent="0.25">
      <c r="A2717" t="s">
        <v>10</v>
      </c>
      <c r="B2717" t="s">
        <v>1206</v>
      </c>
      <c r="C2717" t="s">
        <v>2173</v>
      </c>
      <c r="D2717" t="s">
        <v>2482</v>
      </c>
      <c r="E2717" t="s">
        <v>2519</v>
      </c>
      <c r="F2717" t="s">
        <v>14</v>
      </c>
      <c r="G2717" t="s">
        <v>21</v>
      </c>
      <c r="H2717" t="s">
        <v>22</v>
      </c>
      <c r="I2717" t="s">
        <v>3540</v>
      </c>
      <c r="J2717" t="s">
        <v>3541</v>
      </c>
      <c r="K2717" t="str">
        <f t="shared" si="378"/>
        <v>5124.12</v>
      </c>
      <c r="N2717" t="str">
        <f t="shared" si="379"/>
        <v>HOLDING REGISTER</v>
      </c>
      <c r="O2717" t="str">
        <f t="shared" si="380"/>
        <v>BOOL</v>
      </c>
      <c r="P2717" t="str">
        <f t="shared" si="381"/>
        <v>SCENARI Scenario V5</v>
      </c>
      <c r="R2717" t="str">
        <f t="shared" si="382"/>
        <v>Scenari -Comando Manuale Scenario V6 -Corsia Sorpasso Chiusa</v>
      </c>
      <c r="U2717" t="str">
        <f t="shared" si="383"/>
        <v>Stato</v>
      </c>
      <c r="V2717" t="str">
        <f t="shared" si="384"/>
        <v>GALLERIA</v>
      </c>
      <c r="W2717" t="str">
        <f t="shared" si="385"/>
        <v>GALLERIA CASOLA</v>
      </c>
      <c r="Z2717" t="str">
        <f t="shared" si="386"/>
        <v>10.220.80.16</v>
      </c>
    </row>
    <row r="2718" spans="1:26" x14ac:dyDescent="0.25">
      <c r="A2718" t="s">
        <v>10</v>
      </c>
      <c r="B2718" t="s">
        <v>1206</v>
      </c>
      <c r="C2718" t="s">
        <v>2173</v>
      </c>
      <c r="D2718" t="s">
        <v>2482</v>
      </c>
      <c r="E2718" t="s">
        <v>2522</v>
      </c>
      <c r="F2718" t="s">
        <v>14</v>
      </c>
      <c r="G2718" t="s">
        <v>21</v>
      </c>
      <c r="H2718" t="s">
        <v>22</v>
      </c>
      <c r="I2718" t="s">
        <v>3542</v>
      </c>
      <c r="J2718" t="s">
        <v>2524</v>
      </c>
      <c r="K2718" t="str">
        <f t="shared" si="378"/>
        <v>5124.13</v>
      </c>
      <c r="N2718" t="str">
        <f t="shared" si="379"/>
        <v>HOLDING REGISTER</v>
      </c>
      <c r="O2718" t="str">
        <f t="shared" si="380"/>
        <v>BOOL</v>
      </c>
      <c r="P2718" t="str">
        <f t="shared" si="381"/>
        <v>SCENARI Scenari Tutti</v>
      </c>
      <c r="R2718" t="str">
        <f t="shared" si="382"/>
        <v>Scenari -Comando Scenari Abilitato Da RMT</v>
      </c>
      <c r="U2718" t="str">
        <f t="shared" si="383"/>
        <v>Stato</v>
      </c>
      <c r="V2718" t="str">
        <f t="shared" si="384"/>
        <v>GALLERIA</v>
      </c>
      <c r="W2718" t="str">
        <f t="shared" si="385"/>
        <v>GALLERIA CASOLA</v>
      </c>
      <c r="Z2718" t="str">
        <f t="shared" si="386"/>
        <v>10.220.80.16</v>
      </c>
    </row>
    <row r="2719" spans="1:26" x14ac:dyDescent="0.25">
      <c r="A2719" t="s">
        <v>10</v>
      </c>
      <c r="B2719" t="s">
        <v>1206</v>
      </c>
      <c r="C2719" t="s">
        <v>2173</v>
      </c>
      <c r="D2719" t="s">
        <v>2482</v>
      </c>
      <c r="E2719" t="s">
        <v>2522</v>
      </c>
      <c r="F2719" t="s">
        <v>14</v>
      </c>
      <c r="G2719" t="s">
        <v>15</v>
      </c>
      <c r="H2719" t="s">
        <v>16</v>
      </c>
      <c r="I2719">
        <v>5125</v>
      </c>
      <c r="J2719" t="s">
        <v>2525</v>
      </c>
      <c r="K2719">
        <f t="shared" si="378"/>
        <v>5125</v>
      </c>
      <c r="N2719" t="str">
        <f t="shared" si="379"/>
        <v>HOLDING REGISTER</v>
      </c>
      <c r="O2719" t="str">
        <f t="shared" si="380"/>
        <v>INT</v>
      </c>
      <c r="P2719" t="str">
        <f t="shared" si="381"/>
        <v>SCENARI Scenari Tutti</v>
      </c>
      <c r="R2719" t="str">
        <f t="shared" si="382"/>
        <v>Scenari -Scenario Attivo</v>
      </c>
      <c r="U2719" t="str">
        <f t="shared" si="383"/>
        <v>Misura</v>
      </c>
      <c r="V2719" t="str">
        <f t="shared" si="384"/>
        <v>GALLERIA</v>
      </c>
      <c r="W2719" t="str">
        <f t="shared" si="385"/>
        <v>GALLERIA CASOLA</v>
      </c>
      <c r="Z2719" t="str">
        <f t="shared" si="386"/>
        <v>10.220.80.16</v>
      </c>
    </row>
    <row r="2720" spans="1:26" x14ac:dyDescent="0.25">
      <c r="A2720" t="s">
        <v>10</v>
      </c>
      <c r="B2720" t="s">
        <v>1206</v>
      </c>
      <c r="C2720" t="s">
        <v>2173</v>
      </c>
      <c r="D2720" t="s">
        <v>2526</v>
      </c>
      <c r="E2720" t="s">
        <v>2527</v>
      </c>
      <c r="F2720" t="s">
        <v>14</v>
      </c>
      <c r="G2720" t="s">
        <v>21</v>
      </c>
      <c r="H2720" t="s">
        <v>22</v>
      </c>
      <c r="I2720" t="s">
        <v>3543</v>
      </c>
      <c r="J2720">
        <v>0.5</v>
      </c>
      <c r="K2720" t="str">
        <f t="shared" si="378"/>
        <v>5124.14</v>
      </c>
      <c r="N2720" t="str">
        <f t="shared" si="379"/>
        <v>HOLDING REGISTER</v>
      </c>
      <c r="O2720" t="str">
        <f t="shared" si="380"/>
        <v>BOOL</v>
      </c>
      <c r="P2720" t="str">
        <f t="shared" si="381"/>
        <v>PICCHETTI PICCHETTI NORD/SUD</v>
      </c>
      <c r="R2720">
        <f t="shared" si="382"/>
        <v>0.5</v>
      </c>
      <c r="U2720" t="str">
        <f t="shared" si="383"/>
        <v>Stato</v>
      </c>
      <c r="V2720" t="str">
        <f t="shared" si="384"/>
        <v>GALLERIA</v>
      </c>
      <c r="W2720" t="str">
        <f t="shared" si="385"/>
        <v>GALLERIA CASOLA</v>
      </c>
      <c r="Z2720" t="str">
        <f t="shared" si="386"/>
        <v>10.220.80.16</v>
      </c>
    </row>
    <row r="2721" spans="1:26" x14ac:dyDescent="0.25">
      <c r="A2721" t="s">
        <v>10</v>
      </c>
      <c r="B2721" t="s">
        <v>1206</v>
      </c>
      <c r="C2721" t="s">
        <v>2173</v>
      </c>
      <c r="D2721" t="s">
        <v>2526</v>
      </c>
      <c r="E2721" t="s">
        <v>2527</v>
      </c>
      <c r="F2721" t="s">
        <v>14</v>
      </c>
      <c r="G2721" t="s">
        <v>21</v>
      </c>
      <c r="H2721" t="s">
        <v>22</v>
      </c>
      <c r="I2721" t="s">
        <v>3544</v>
      </c>
      <c r="J2721">
        <v>1</v>
      </c>
      <c r="K2721" t="str">
        <f t="shared" si="378"/>
        <v>5124.15</v>
      </c>
      <c r="N2721" t="str">
        <f t="shared" si="379"/>
        <v>HOLDING REGISTER</v>
      </c>
      <c r="O2721" t="str">
        <f t="shared" si="380"/>
        <v>BOOL</v>
      </c>
      <c r="P2721" t="str">
        <f t="shared" si="381"/>
        <v>PICCHETTI PICCHETTI NORD/SUD</v>
      </c>
      <c r="R2721">
        <f t="shared" si="382"/>
        <v>1</v>
      </c>
      <c r="U2721" t="str">
        <f t="shared" si="383"/>
        <v>Stato</v>
      </c>
      <c r="V2721" t="str">
        <f t="shared" si="384"/>
        <v>GALLERIA</v>
      </c>
      <c r="W2721" t="str">
        <f t="shared" si="385"/>
        <v>GALLERIA CASOLA</v>
      </c>
      <c r="Z2721" t="str">
        <f t="shared" si="386"/>
        <v>10.220.80.16</v>
      </c>
    </row>
    <row r="2722" spans="1:26" x14ac:dyDescent="0.25">
      <c r="A2722" t="s">
        <v>10</v>
      </c>
      <c r="B2722" t="s">
        <v>1206</v>
      </c>
      <c r="C2722" t="s">
        <v>1064</v>
      </c>
      <c r="D2722" t="s">
        <v>2410</v>
      </c>
      <c r="E2722" t="s">
        <v>2410</v>
      </c>
      <c r="F2722" t="s">
        <v>14</v>
      </c>
      <c r="G2722" t="s">
        <v>21</v>
      </c>
      <c r="H2722" t="s">
        <v>22</v>
      </c>
      <c r="I2722" t="s">
        <v>3545</v>
      </c>
      <c r="J2722" t="s">
        <v>2412</v>
      </c>
      <c r="K2722" t="str">
        <f t="shared" si="378"/>
        <v>5126.0</v>
      </c>
      <c r="N2722" t="str">
        <f t="shared" si="379"/>
        <v>HOLDING REGISTER</v>
      </c>
      <c r="O2722" t="str">
        <f t="shared" si="380"/>
        <v>BOOL</v>
      </c>
      <c r="P2722" t="str">
        <f t="shared" si="381"/>
        <v>VENTILATORE E SERRANDA TAGLIAFUOCO VENTILATORE E SERRANDA TAGLIAFUOCO</v>
      </c>
      <c r="R2722" t="str">
        <f t="shared" si="382"/>
        <v>Ventilatore+Serranda In Automatico</v>
      </c>
      <c r="U2722" t="str">
        <f t="shared" si="383"/>
        <v>Stato</v>
      </c>
      <c r="V2722" t="str">
        <f t="shared" si="384"/>
        <v>QACC1_SG</v>
      </c>
      <c r="W2722" t="str">
        <f t="shared" si="385"/>
        <v>GALLERIA CASOLA</v>
      </c>
      <c r="Z2722" t="str">
        <f t="shared" si="386"/>
        <v>10.220.80.16</v>
      </c>
    </row>
    <row r="2723" spans="1:26" x14ac:dyDescent="0.25">
      <c r="A2723" t="s">
        <v>10</v>
      </c>
      <c r="B2723" t="s">
        <v>1206</v>
      </c>
      <c r="C2723" t="s">
        <v>1064</v>
      </c>
      <c r="D2723" t="s">
        <v>2410</v>
      </c>
      <c r="E2723" t="s">
        <v>2410</v>
      </c>
      <c r="F2723" t="s">
        <v>14</v>
      </c>
      <c r="G2723" t="s">
        <v>21</v>
      </c>
      <c r="H2723" t="s">
        <v>22</v>
      </c>
      <c r="I2723" t="s">
        <v>3546</v>
      </c>
      <c r="J2723" t="s">
        <v>2414</v>
      </c>
      <c r="K2723" t="str">
        <f t="shared" si="378"/>
        <v>5126.1</v>
      </c>
      <c r="N2723" t="str">
        <f t="shared" si="379"/>
        <v>HOLDING REGISTER</v>
      </c>
      <c r="O2723" t="str">
        <f t="shared" si="380"/>
        <v>BOOL</v>
      </c>
      <c r="P2723" t="str">
        <f t="shared" si="381"/>
        <v>VENTILATORE E SERRANDA TAGLIAFUOCO VENTILATORE E SERRANDA TAGLIAFUOCO</v>
      </c>
      <c r="R2723" t="str">
        <f t="shared" si="382"/>
        <v>Ventilatore+Serranda In Manuale</v>
      </c>
      <c r="U2723" t="str">
        <f t="shared" si="383"/>
        <v>Stato</v>
      </c>
      <c r="V2723" t="str">
        <f t="shared" si="384"/>
        <v>QACC1_SG</v>
      </c>
      <c r="W2723" t="str">
        <f t="shared" si="385"/>
        <v>GALLERIA CASOLA</v>
      </c>
      <c r="Z2723" t="str">
        <f t="shared" si="386"/>
        <v>10.220.80.16</v>
      </c>
    </row>
    <row r="2724" spans="1:26" x14ac:dyDescent="0.25">
      <c r="A2724" t="s">
        <v>10</v>
      </c>
      <c r="B2724" t="s">
        <v>1206</v>
      </c>
      <c r="C2724" t="s">
        <v>1064</v>
      </c>
      <c r="D2724" t="s">
        <v>2415</v>
      </c>
      <c r="E2724" t="s">
        <v>2415</v>
      </c>
      <c r="F2724" t="s">
        <v>14</v>
      </c>
      <c r="G2724" t="s">
        <v>21</v>
      </c>
      <c r="H2724" t="s">
        <v>22</v>
      </c>
      <c r="I2724" t="s">
        <v>3547</v>
      </c>
      <c r="J2724" t="s">
        <v>2417</v>
      </c>
      <c r="K2724" t="str">
        <f t="shared" si="378"/>
        <v>5126.2</v>
      </c>
      <c r="N2724" t="str">
        <f t="shared" si="379"/>
        <v>HOLDING REGISTER</v>
      </c>
      <c r="O2724" t="str">
        <f t="shared" si="380"/>
        <v>BOOL</v>
      </c>
      <c r="P2724" t="str">
        <f t="shared" si="381"/>
        <v>VENTILATORE VENTILATORE</v>
      </c>
      <c r="R2724" t="str">
        <f t="shared" si="382"/>
        <v>Ventilatore In Marcia</v>
      </c>
      <c r="U2724" t="str">
        <f t="shared" si="383"/>
        <v>Stato</v>
      </c>
      <c r="V2724" t="str">
        <f t="shared" si="384"/>
        <v>QACC1_SG</v>
      </c>
      <c r="W2724" t="str">
        <f t="shared" si="385"/>
        <v>GALLERIA CASOLA</v>
      </c>
      <c r="Z2724" t="str">
        <f t="shared" si="386"/>
        <v>10.220.80.16</v>
      </c>
    </row>
    <row r="2725" spans="1:26" x14ac:dyDescent="0.25">
      <c r="A2725" t="s">
        <v>10</v>
      </c>
      <c r="B2725" t="s">
        <v>1206</v>
      </c>
      <c r="C2725" t="s">
        <v>1064</v>
      </c>
      <c r="D2725" t="s">
        <v>2415</v>
      </c>
      <c r="E2725" t="s">
        <v>2415</v>
      </c>
      <c r="F2725" t="s">
        <v>14</v>
      </c>
      <c r="G2725" t="s">
        <v>21</v>
      </c>
      <c r="H2725" t="s">
        <v>22</v>
      </c>
      <c r="I2725" t="s">
        <v>3548</v>
      </c>
      <c r="J2725" t="s">
        <v>2419</v>
      </c>
      <c r="K2725" t="str">
        <f t="shared" si="378"/>
        <v>5126.3</v>
      </c>
      <c r="N2725" t="str">
        <f t="shared" si="379"/>
        <v>HOLDING REGISTER</v>
      </c>
      <c r="O2725" t="str">
        <f t="shared" si="380"/>
        <v>BOOL</v>
      </c>
      <c r="P2725" t="str">
        <f t="shared" si="381"/>
        <v>VENTILATORE VENTILATORE</v>
      </c>
      <c r="R2725" t="str">
        <f t="shared" si="382"/>
        <v>Ventilatore Fermo</v>
      </c>
      <c r="U2725" t="str">
        <f t="shared" si="383"/>
        <v>Stato</v>
      </c>
      <c r="V2725" t="str">
        <f t="shared" si="384"/>
        <v>QACC1_SG</v>
      </c>
      <c r="W2725" t="str">
        <f t="shared" si="385"/>
        <v>GALLERIA CASOLA</v>
      </c>
      <c r="Z2725" t="str">
        <f t="shared" si="386"/>
        <v>10.220.80.16</v>
      </c>
    </row>
    <row r="2726" spans="1:26" x14ac:dyDescent="0.25">
      <c r="A2726" t="s">
        <v>10</v>
      </c>
      <c r="B2726" t="s">
        <v>1206</v>
      </c>
      <c r="C2726" t="s">
        <v>1064</v>
      </c>
      <c r="D2726" t="s">
        <v>2420</v>
      </c>
      <c r="E2726" t="s">
        <v>2420</v>
      </c>
      <c r="F2726" t="s">
        <v>14</v>
      </c>
      <c r="G2726" t="s">
        <v>21</v>
      </c>
      <c r="H2726" t="s">
        <v>22</v>
      </c>
      <c r="I2726" t="s">
        <v>3549</v>
      </c>
      <c r="J2726" t="s">
        <v>2422</v>
      </c>
      <c r="K2726" t="str">
        <f t="shared" si="378"/>
        <v>5126.4</v>
      </c>
      <c r="N2726" t="str">
        <f t="shared" si="379"/>
        <v>HOLDING REGISTER</v>
      </c>
      <c r="O2726" t="str">
        <f t="shared" si="380"/>
        <v>BOOL</v>
      </c>
      <c r="P2726" t="str">
        <f t="shared" si="381"/>
        <v>SERRANDA SERRANDA</v>
      </c>
      <c r="R2726" t="str">
        <f t="shared" si="382"/>
        <v>Serranda Chiusa</v>
      </c>
      <c r="U2726" t="str">
        <f t="shared" si="383"/>
        <v>Stato</v>
      </c>
      <c r="V2726" t="str">
        <f t="shared" si="384"/>
        <v>QACC1_SG</v>
      </c>
      <c r="W2726" t="str">
        <f t="shared" si="385"/>
        <v>GALLERIA CASOLA</v>
      </c>
      <c r="Z2726" t="str">
        <f t="shared" si="386"/>
        <v>10.220.80.16</v>
      </c>
    </row>
    <row r="2727" spans="1:26" x14ac:dyDescent="0.25">
      <c r="A2727" t="s">
        <v>10</v>
      </c>
      <c r="B2727" t="s">
        <v>1206</v>
      </c>
      <c r="C2727" t="s">
        <v>1064</v>
      </c>
      <c r="D2727" t="s">
        <v>2420</v>
      </c>
      <c r="E2727" t="s">
        <v>2420</v>
      </c>
      <c r="F2727" t="s">
        <v>14</v>
      </c>
      <c r="G2727" t="s">
        <v>21</v>
      </c>
      <c r="H2727" t="s">
        <v>22</v>
      </c>
      <c r="I2727" t="s">
        <v>3550</v>
      </c>
      <c r="J2727" t="s">
        <v>2424</v>
      </c>
      <c r="K2727" t="str">
        <f t="shared" si="378"/>
        <v>5126.5</v>
      </c>
      <c r="N2727" t="str">
        <f t="shared" si="379"/>
        <v>HOLDING REGISTER</v>
      </c>
      <c r="O2727" t="str">
        <f t="shared" si="380"/>
        <v>BOOL</v>
      </c>
      <c r="P2727" t="str">
        <f t="shared" si="381"/>
        <v>SERRANDA SERRANDA</v>
      </c>
      <c r="R2727" t="str">
        <f t="shared" si="382"/>
        <v>Serranda Aperta</v>
      </c>
      <c r="U2727" t="str">
        <f t="shared" si="383"/>
        <v>Stato</v>
      </c>
      <c r="V2727" t="str">
        <f t="shared" si="384"/>
        <v>QACC1_SG</v>
      </c>
      <c r="W2727" t="str">
        <f t="shared" si="385"/>
        <v>GALLERIA CASOLA</v>
      </c>
      <c r="Z2727" t="str">
        <f t="shared" si="386"/>
        <v>10.220.80.16</v>
      </c>
    </row>
    <row r="2728" spans="1:26" x14ac:dyDescent="0.25">
      <c r="A2728" t="s">
        <v>10</v>
      </c>
      <c r="B2728" t="s">
        <v>1206</v>
      </c>
      <c r="C2728" t="s">
        <v>1064</v>
      </c>
      <c r="D2728" t="s">
        <v>2420</v>
      </c>
      <c r="E2728" t="s">
        <v>2420</v>
      </c>
      <c r="F2728" t="s">
        <v>14</v>
      </c>
      <c r="G2728" t="s">
        <v>21</v>
      </c>
      <c r="H2728" t="s">
        <v>22</v>
      </c>
      <c r="I2728" t="s">
        <v>3551</v>
      </c>
      <c r="J2728" t="s">
        <v>2426</v>
      </c>
      <c r="K2728" t="str">
        <f t="shared" si="378"/>
        <v>5126.6</v>
      </c>
      <c r="N2728" t="str">
        <f t="shared" si="379"/>
        <v>HOLDING REGISTER</v>
      </c>
      <c r="O2728" t="str">
        <f t="shared" si="380"/>
        <v>BOOL</v>
      </c>
      <c r="P2728" t="str">
        <f t="shared" si="381"/>
        <v>SERRANDA SERRANDA</v>
      </c>
      <c r="R2728" t="str">
        <f t="shared" si="382"/>
        <v>Serranda In Apertura</v>
      </c>
      <c r="U2728" t="str">
        <f t="shared" si="383"/>
        <v>Stato</v>
      </c>
      <c r="V2728" t="str">
        <f t="shared" si="384"/>
        <v>QACC1_SG</v>
      </c>
      <c r="W2728" t="str">
        <f t="shared" si="385"/>
        <v>GALLERIA CASOLA</v>
      </c>
      <c r="Z2728" t="str">
        <f t="shared" si="386"/>
        <v>10.220.80.16</v>
      </c>
    </row>
    <row r="2729" spans="1:26" x14ac:dyDescent="0.25">
      <c r="A2729" t="s">
        <v>10</v>
      </c>
      <c r="B2729" t="s">
        <v>1206</v>
      </c>
      <c r="C2729" t="s">
        <v>1064</v>
      </c>
      <c r="D2729" t="s">
        <v>2415</v>
      </c>
      <c r="E2729" t="s">
        <v>2415</v>
      </c>
      <c r="F2729" t="s">
        <v>14</v>
      </c>
      <c r="G2729" t="s">
        <v>21</v>
      </c>
      <c r="H2729" t="s">
        <v>22</v>
      </c>
      <c r="I2729" t="s">
        <v>3552</v>
      </c>
      <c r="J2729" t="s">
        <v>2428</v>
      </c>
      <c r="K2729" t="str">
        <f t="shared" si="378"/>
        <v>5126.7</v>
      </c>
      <c r="N2729" t="str">
        <f t="shared" si="379"/>
        <v>HOLDING REGISTER</v>
      </c>
      <c r="O2729" t="str">
        <f t="shared" si="380"/>
        <v>BOOL</v>
      </c>
      <c r="P2729" t="str">
        <f t="shared" si="381"/>
        <v>VENTILATORE VENTILATORE</v>
      </c>
      <c r="R2729" t="str">
        <f t="shared" si="382"/>
        <v>Ventilatore In Arresto</v>
      </c>
      <c r="U2729" t="str">
        <f t="shared" si="383"/>
        <v>Stato</v>
      </c>
      <c r="V2729" t="str">
        <f t="shared" si="384"/>
        <v>QACC1_SG</v>
      </c>
      <c r="W2729" t="str">
        <f t="shared" si="385"/>
        <v>GALLERIA CASOLA</v>
      </c>
      <c r="Z2729" t="str">
        <f t="shared" si="386"/>
        <v>10.220.80.16</v>
      </c>
    </row>
    <row r="2730" spans="1:26" x14ac:dyDescent="0.25">
      <c r="A2730" t="s">
        <v>10</v>
      </c>
      <c r="B2730" t="s">
        <v>1206</v>
      </c>
      <c r="C2730" t="s">
        <v>1064</v>
      </c>
      <c r="D2730" t="s">
        <v>2420</v>
      </c>
      <c r="E2730" t="s">
        <v>2420</v>
      </c>
      <c r="F2730" t="s">
        <v>14</v>
      </c>
      <c r="G2730" t="s">
        <v>21</v>
      </c>
      <c r="H2730" t="s">
        <v>22</v>
      </c>
      <c r="I2730" t="s">
        <v>3553</v>
      </c>
      <c r="J2730" t="s">
        <v>2430</v>
      </c>
      <c r="K2730" t="str">
        <f t="shared" si="378"/>
        <v>5126.8</v>
      </c>
      <c r="N2730" t="str">
        <f t="shared" si="379"/>
        <v>HOLDING REGISTER</v>
      </c>
      <c r="O2730" t="str">
        <f t="shared" si="380"/>
        <v>BOOL</v>
      </c>
      <c r="P2730" t="str">
        <f t="shared" si="381"/>
        <v>SERRANDA SERRANDA</v>
      </c>
      <c r="R2730" t="str">
        <f t="shared" si="382"/>
        <v>Serranda In Chiusura</v>
      </c>
      <c r="U2730" t="str">
        <f t="shared" si="383"/>
        <v>Stato</v>
      </c>
      <c r="V2730" t="str">
        <f t="shared" si="384"/>
        <v>QACC1_SG</v>
      </c>
      <c r="W2730" t="str">
        <f t="shared" si="385"/>
        <v>GALLERIA CASOLA</v>
      </c>
      <c r="Z2730" t="str">
        <f t="shared" si="386"/>
        <v>10.220.80.16</v>
      </c>
    </row>
    <row r="2731" spans="1:26" x14ac:dyDescent="0.25">
      <c r="A2731" t="s">
        <v>10</v>
      </c>
      <c r="B2731" t="s">
        <v>1206</v>
      </c>
      <c r="C2731" t="s">
        <v>1064</v>
      </c>
      <c r="D2731" t="s">
        <v>555</v>
      </c>
      <c r="E2731" t="s">
        <v>555</v>
      </c>
      <c r="F2731" t="s">
        <v>14</v>
      </c>
      <c r="G2731" t="s">
        <v>21</v>
      </c>
      <c r="H2731" t="s">
        <v>22</v>
      </c>
      <c r="I2731" t="s">
        <v>3554</v>
      </c>
      <c r="J2731" t="s">
        <v>2432</v>
      </c>
      <c r="K2731" t="str">
        <f t="shared" si="378"/>
        <v>5126.9</v>
      </c>
      <c r="N2731" t="str">
        <f t="shared" si="379"/>
        <v>HOLDING REGISTER</v>
      </c>
      <c r="O2731" t="str">
        <f t="shared" si="380"/>
        <v>BOOL</v>
      </c>
      <c r="P2731" t="str">
        <f t="shared" si="381"/>
        <v>SELETTORE SELETTORE</v>
      </c>
      <c r="R2731" t="str">
        <f t="shared" si="382"/>
        <v>Ventilatore In Manuale Da Quadro</v>
      </c>
      <c r="U2731" t="str">
        <f t="shared" si="383"/>
        <v>Stato</v>
      </c>
      <c r="V2731" t="str">
        <f t="shared" si="384"/>
        <v>QACC1_SG</v>
      </c>
      <c r="W2731" t="str">
        <f t="shared" si="385"/>
        <v>GALLERIA CASOLA</v>
      </c>
      <c r="Z2731" t="str">
        <f t="shared" si="386"/>
        <v>10.220.80.16</v>
      </c>
    </row>
    <row r="2732" spans="1:26" x14ac:dyDescent="0.25">
      <c r="A2732" t="s">
        <v>10</v>
      </c>
      <c r="B2732" t="s">
        <v>1206</v>
      </c>
      <c r="C2732" t="s">
        <v>1064</v>
      </c>
      <c r="D2732" t="s">
        <v>555</v>
      </c>
      <c r="E2732" t="s">
        <v>555</v>
      </c>
      <c r="F2732" t="s">
        <v>14</v>
      </c>
      <c r="G2732" t="s">
        <v>21</v>
      </c>
      <c r="H2732" t="s">
        <v>22</v>
      </c>
      <c r="I2732" t="s">
        <v>3555</v>
      </c>
      <c r="J2732" t="s">
        <v>2434</v>
      </c>
      <c r="K2732" t="str">
        <f t="shared" si="378"/>
        <v>5126.10</v>
      </c>
      <c r="N2732" t="str">
        <f t="shared" si="379"/>
        <v>HOLDING REGISTER</v>
      </c>
      <c r="O2732" t="str">
        <f t="shared" si="380"/>
        <v>BOOL</v>
      </c>
      <c r="P2732" t="str">
        <f t="shared" si="381"/>
        <v>SELETTORE SELETTORE</v>
      </c>
      <c r="R2732" t="str">
        <f t="shared" si="382"/>
        <v>Serranda In Manuale Da Quadro</v>
      </c>
      <c r="U2732" t="str">
        <f t="shared" si="383"/>
        <v>Stato</v>
      </c>
      <c r="V2732" t="str">
        <f t="shared" si="384"/>
        <v>QACC1_SG</v>
      </c>
      <c r="W2732" t="str">
        <f t="shared" si="385"/>
        <v>GALLERIA CASOLA</v>
      </c>
      <c r="Z2732" t="str">
        <f t="shared" si="386"/>
        <v>10.220.80.16</v>
      </c>
    </row>
    <row r="2733" spans="1:26" x14ac:dyDescent="0.25">
      <c r="A2733" t="s">
        <v>10</v>
      </c>
      <c r="B2733" t="s">
        <v>1206</v>
      </c>
      <c r="C2733" t="s">
        <v>1064</v>
      </c>
      <c r="D2733" t="s">
        <v>2415</v>
      </c>
      <c r="E2733" t="s">
        <v>2415</v>
      </c>
      <c r="F2733" t="s">
        <v>14</v>
      </c>
      <c r="G2733" t="s">
        <v>28</v>
      </c>
      <c r="H2733" t="s">
        <v>22</v>
      </c>
      <c r="I2733" t="s">
        <v>3556</v>
      </c>
      <c r="J2733" t="s">
        <v>2436</v>
      </c>
      <c r="K2733" t="str">
        <f t="shared" si="378"/>
        <v>5126.11</v>
      </c>
      <c r="N2733" t="str">
        <f t="shared" si="379"/>
        <v>HOLDING REGISTER</v>
      </c>
      <c r="O2733" t="str">
        <f t="shared" si="380"/>
        <v>BOOL</v>
      </c>
      <c r="P2733" t="str">
        <f t="shared" si="381"/>
        <v>VENTILATORE VENTILATORE</v>
      </c>
      <c r="R2733" t="str">
        <f t="shared" si="382"/>
        <v>Mancato Avvio Ventilatore</v>
      </c>
      <c r="U2733" t="str">
        <f t="shared" si="383"/>
        <v>Allarme</v>
      </c>
      <c r="V2733" t="str">
        <f t="shared" si="384"/>
        <v>QACC1_SG</v>
      </c>
      <c r="W2733" t="str">
        <f t="shared" si="385"/>
        <v>GALLERIA CASOLA</v>
      </c>
      <c r="Z2733" t="str">
        <f t="shared" si="386"/>
        <v>10.220.80.16</v>
      </c>
    </row>
    <row r="2734" spans="1:26" x14ac:dyDescent="0.25">
      <c r="A2734" t="s">
        <v>10</v>
      </c>
      <c r="B2734" t="s">
        <v>1206</v>
      </c>
      <c r="C2734" t="s">
        <v>1064</v>
      </c>
      <c r="D2734" t="s">
        <v>2415</v>
      </c>
      <c r="E2734" t="s">
        <v>2415</v>
      </c>
      <c r="F2734" t="s">
        <v>14</v>
      </c>
      <c r="G2734" t="s">
        <v>28</v>
      </c>
      <c r="H2734" t="s">
        <v>22</v>
      </c>
      <c r="I2734" t="s">
        <v>3557</v>
      </c>
      <c r="J2734" t="s">
        <v>2438</v>
      </c>
      <c r="K2734" t="str">
        <f t="shared" si="378"/>
        <v>5126.12</v>
      </c>
      <c r="N2734" t="str">
        <f t="shared" si="379"/>
        <v>HOLDING REGISTER</v>
      </c>
      <c r="O2734" t="str">
        <f t="shared" si="380"/>
        <v>BOOL</v>
      </c>
      <c r="P2734" t="str">
        <f t="shared" si="381"/>
        <v>VENTILATORE VENTILATORE</v>
      </c>
      <c r="R2734" t="str">
        <f t="shared" si="382"/>
        <v>Mancato Arresto Ventilatore</v>
      </c>
      <c r="U2734" t="str">
        <f t="shared" si="383"/>
        <v>Allarme</v>
      </c>
      <c r="V2734" t="str">
        <f t="shared" si="384"/>
        <v>QACC1_SG</v>
      </c>
      <c r="W2734" t="str">
        <f t="shared" si="385"/>
        <v>GALLERIA CASOLA</v>
      </c>
      <c r="Z2734" t="str">
        <f t="shared" si="386"/>
        <v>10.220.80.16</v>
      </c>
    </row>
    <row r="2735" spans="1:26" x14ac:dyDescent="0.25">
      <c r="A2735" t="s">
        <v>10</v>
      </c>
      <c r="B2735" t="s">
        <v>1206</v>
      </c>
      <c r="C2735" t="s">
        <v>1064</v>
      </c>
      <c r="D2735" t="s">
        <v>2420</v>
      </c>
      <c r="E2735" t="s">
        <v>2420</v>
      </c>
      <c r="F2735" t="s">
        <v>14</v>
      </c>
      <c r="G2735" t="s">
        <v>28</v>
      </c>
      <c r="H2735" t="s">
        <v>22</v>
      </c>
      <c r="I2735" t="s">
        <v>3558</v>
      </c>
      <c r="J2735" t="s">
        <v>2440</v>
      </c>
      <c r="K2735" t="str">
        <f t="shared" si="378"/>
        <v>5126.13</v>
      </c>
      <c r="N2735" t="str">
        <f t="shared" si="379"/>
        <v>HOLDING REGISTER</v>
      </c>
      <c r="O2735" t="str">
        <f t="shared" si="380"/>
        <v>BOOL</v>
      </c>
      <c r="P2735" t="str">
        <f t="shared" si="381"/>
        <v>SERRANDA SERRANDA</v>
      </c>
      <c r="R2735" t="str">
        <f t="shared" si="382"/>
        <v>Mancata Apertura Serranda</v>
      </c>
      <c r="U2735" t="str">
        <f t="shared" si="383"/>
        <v>Allarme</v>
      </c>
      <c r="V2735" t="str">
        <f t="shared" si="384"/>
        <v>QACC1_SG</v>
      </c>
      <c r="W2735" t="str">
        <f t="shared" si="385"/>
        <v>GALLERIA CASOLA</v>
      </c>
      <c r="Z2735" t="str">
        <f t="shared" si="386"/>
        <v>10.220.80.16</v>
      </c>
    </row>
    <row r="2736" spans="1:26" x14ac:dyDescent="0.25">
      <c r="A2736" t="s">
        <v>10</v>
      </c>
      <c r="B2736" t="s">
        <v>1206</v>
      </c>
      <c r="C2736" t="s">
        <v>1064</v>
      </c>
      <c r="D2736" t="s">
        <v>2420</v>
      </c>
      <c r="E2736" t="s">
        <v>2420</v>
      </c>
      <c r="F2736" t="s">
        <v>14</v>
      </c>
      <c r="G2736" t="s">
        <v>28</v>
      </c>
      <c r="H2736" t="s">
        <v>22</v>
      </c>
      <c r="I2736" t="s">
        <v>3559</v>
      </c>
      <c r="J2736" t="s">
        <v>2442</v>
      </c>
      <c r="K2736" t="str">
        <f t="shared" si="378"/>
        <v>5126.14</v>
      </c>
      <c r="N2736" t="str">
        <f t="shared" si="379"/>
        <v>HOLDING REGISTER</v>
      </c>
      <c r="O2736" t="str">
        <f t="shared" si="380"/>
        <v>BOOL</v>
      </c>
      <c r="P2736" t="str">
        <f t="shared" si="381"/>
        <v>SERRANDA SERRANDA</v>
      </c>
      <c r="R2736" t="str">
        <f t="shared" si="382"/>
        <v>Mancata Chiusura Serranda</v>
      </c>
      <c r="U2736" t="str">
        <f t="shared" si="383"/>
        <v>Allarme</v>
      </c>
      <c r="V2736" t="str">
        <f t="shared" si="384"/>
        <v>QACC1_SG</v>
      </c>
      <c r="W2736" t="str">
        <f t="shared" si="385"/>
        <v>GALLERIA CASOLA</v>
      </c>
      <c r="Z2736" t="str">
        <f t="shared" si="386"/>
        <v>10.220.80.16</v>
      </c>
    </row>
    <row r="2737" spans="1:26" x14ac:dyDescent="0.25">
      <c r="A2737" t="s">
        <v>10</v>
      </c>
      <c r="B2737" t="s">
        <v>1206</v>
      </c>
      <c r="C2737" t="s">
        <v>1064</v>
      </c>
      <c r="D2737" t="s">
        <v>49</v>
      </c>
      <c r="E2737" t="s">
        <v>49</v>
      </c>
      <c r="F2737" t="s">
        <v>14</v>
      </c>
      <c r="G2737" t="s">
        <v>28</v>
      </c>
      <c r="H2737" t="s">
        <v>22</v>
      </c>
      <c r="I2737" t="s">
        <v>3560</v>
      </c>
      <c r="J2737" t="s">
        <v>2444</v>
      </c>
      <c r="K2737" t="str">
        <f t="shared" si="378"/>
        <v>5126.15</v>
      </c>
      <c r="N2737" t="str">
        <f t="shared" si="379"/>
        <v>HOLDING REGISTER</v>
      </c>
      <c r="O2737" t="str">
        <f t="shared" si="380"/>
        <v>BOOL</v>
      </c>
      <c r="P2737" t="str">
        <f t="shared" si="381"/>
        <v>INTERRUTTORE INTERRUTTORE</v>
      </c>
      <c r="R2737" t="str">
        <f t="shared" si="382"/>
        <v>Intervento Protezione Motore Serranda</v>
      </c>
      <c r="U2737" t="str">
        <f t="shared" si="383"/>
        <v>Allarme</v>
      </c>
      <c r="V2737" t="str">
        <f t="shared" si="384"/>
        <v>QACC1_SG</v>
      </c>
      <c r="W2737" t="str">
        <f t="shared" si="385"/>
        <v>GALLERIA CASOLA</v>
      </c>
      <c r="Z2737" t="str">
        <f t="shared" si="386"/>
        <v>10.220.80.16</v>
      </c>
    </row>
    <row r="2738" spans="1:26" x14ac:dyDescent="0.25">
      <c r="A2738" t="s">
        <v>10</v>
      </c>
      <c r="B2738" t="s">
        <v>1206</v>
      </c>
      <c r="C2738" t="s">
        <v>1064</v>
      </c>
      <c r="D2738" t="s">
        <v>49</v>
      </c>
      <c r="E2738" t="s">
        <v>49</v>
      </c>
      <c r="F2738" t="s">
        <v>14</v>
      </c>
      <c r="G2738" t="s">
        <v>28</v>
      </c>
      <c r="H2738" t="s">
        <v>22</v>
      </c>
      <c r="I2738" t="s">
        <v>3561</v>
      </c>
      <c r="J2738" t="s">
        <v>2446</v>
      </c>
      <c r="K2738" t="str">
        <f t="shared" si="378"/>
        <v>5127.0</v>
      </c>
      <c r="N2738" t="str">
        <f t="shared" si="379"/>
        <v>HOLDING REGISTER</v>
      </c>
      <c r="O2738" t="str">
        <f t="shared" si="380"/>
        <v>BOOL</v>
      </c>
      <c r="P2738" t="str">
        <f t="shared" si="381"/>
        <v>INTERRUTTORE INTERRUTTORE</v>
      </c>
      <c r="R2738" t="str">
        <f t="shared" si="382"/>
        <v>Intervento Protezione Motore Ventilatore</v>
      </c>
      <c r="U2738" t="str">
        <f t="shared" si="383"/>
        <v>Allarme</v>
      </c>
      <c r="V2738" t="str">
        <f t="shared" si="384"/>
        <v>QACC1_SG</v>
      </c>
      <c r="W2738" t="str">
        <f t="shared" si="385"/>
        <v>GALLERIA CASOLA</v>
      </c>
      <c r="Z2738" t="str">
        <f t="shared" si="386"/>
        <v>10.220.80.16</v>
      </c>
    </row>
    <row r="2739" spans="1:26" x14ac:dyDescent="0.25">
      <c r="A2739" t="s">
        <v>10</v>
      </c>
      <c r="B2739" t="s">
        <v>1206</v>
      </c>
      <c r="C2739" t="s">
        <v>2464</v>
      </c>
      <c r="D2739" t="s">
        <v>2410</v>
      </c>
      <c r="E2739" t="s">
        <v>2410</v>
      </c>
      <c r="F2739" t="s">
        <v>14</v>
      </c>
      <c r="G2739" t="s">
        <v>21</v>
      </c>
      <c r="H2739" t="s">
        <v>22</v>
      </c>
      <c r="I2739" t="s">
        <v>3562</v>
      </c>
      <c r="J2739" t="s">
        <v>2412</v>
      </c>
      <c r="K2739" t="str">
        <f t="shared" si="378"/>
        <v>5127.1</v>
      </c>
      <c r="N2739" t="str">
        <f t="shared" si="379"/>
        <v>HOLDING REGISTER</v>
      </c>
      <c r="O2739" t="str">
        <f t="shared" si="380"/>
        <v>BOOL</v>
      </c>
      <c r="P2739" t="str">
        <f t="shared" si="381"/>
        <v>VENTILATORE E SERRANDA TAGLIAFUOCO VENTILATORE E SERRANDA TAGLIAFUOCO</v>
      </c>
      <c r="R2739" t="str">
        <f t="shared" si="382"/>
        <v>Ventilatore+Serranda In Automatico</v>
      </c>
      <c r="U2739" t="str">
        <f t="shared" si="383"/>
        <v>Stato</v>
      </c>
      <c r="V2739" t="str">
        <f t="shared" si="384"/>
        <v>QACC_PIAZZ_SG</v>
      </c>
      <c r="W2739" t="str">
        <f t="shared" si="385"/>
        <v>GALLERIA CASOLA</v>
      </c>
      <c r="Z2739" t="str">
        <f t="shared" si="386"/>
        <v>10.220.80.16</v>
      </c>
    </row>
    <row r="2740" spans="1:26" x14ac:dyDescent="0.25">
      <c r="A2740" t="s">
        <v>10</v>
      </c>
      <c r="B2740" t="s">
        <v>1206</v>
      </c>
      <c r="C2740" t="s">
        <v>2464</v>
      </c>
      <c r="D2740" t="s">
        <v>2410</v>
      </c>
      <c r="E2740" t="s">
        <v>2410</v>
      </c>
      <c r="F2740" t="s">
        <v>14</v>
      </c>
      <c r="G2740" t="s">
        <v>21</v>
      </c>
      <c r="H2740" t="s">
        <v>22</v>
      </c>
      <c r="I2740" t="s">
        <v>3563</v>
      </c>
      <c r="J2740" t="s">
        <v>2414</v>
      </c>
      <c r="K2740" t="str">
        <f t="shared" si="378"/>
        <v>5127.2</v>
      </c>
      <c r="N2740" t="str">
        <f t="shared" si="379"/>
        <v>HOLDING REGISTER</v>
      </c>
      <c r="O2740" t="str">
        <f t="shared" si="380"/>
        <v>BOOL</v>
      </c>
      <c r="P2740" t="str">
        <f t="shared" si="381"/>
        <v>VENTILATORE E SERRANDA TAGLIAFUOCO VENTILATORE E SERRANDA TAGLIAFUOCO</v>
      </c>
      <c r="R2740" t="str">
        <f t="shared" si="382"/>
        <v>Ventilatore+Serranda In Manuale</v>
      </c>
      <c r="U2740" t="str">
        <f t="shared" si="383"/>
        <v>Stato</v>
      </c>
      <c r="V2740" t="str">
        <f t="shared" si="384"/>
        <v>QACC_PIAZZ_SG</v>
      </c>
      <c r="W2740" t="str">
        <f t="shared" si="385"/>
        <v>GALLERIA CASOLA</v>
      </c>
      <c r="Z2740" t="str">
        <f t="shared" si="386"/>
        <v>10.220.80.16</v>
      </c>
    </row>
    <row r="2741" spans="1:26" x14ac:dyDescent="0.25">
      <c r="A2741" t="s">
        <v>10</v>
      </c>
      <c r="B2741" t="s">
        <v>1206</v>
      </c>
      <c r="C2741" t="s">
        <v>2464</v>
      </c>
      <c r="D2741" t="s">
        <v>2415</v>
      </c>
      <c r="E2741" t="s">
        <v>2415</v>
      </c>
      <c r="F2741" t="s">
        <v>14</v>
      </c>
      <c r="G2741" t="s">
        <v>21</v>
      </c>
      <c r="H2741" t="s">
        <v>22</v>
      </c>
      <c r="I2741" t="s">
        <v>3564</v>
      </c>
      <c r="J2741" t="s">
        <v>2417</v>
      </c>
      <c r="K2741" t="str">
        <f t="shared" si="378"/>
        <v>5127.3</v>
      </c>
      <c r="N2741" t="str">
        <f t="shared" si="379"/>
        <v>HOLDING REGISTER</v>
      </c>
      <c r="O2741" t="str">
        <f t="shared" si="380"/>
        <v>BOOL</v>
      </c>
      <c r="P2741" t="str">
        <f t="shared" si="381"/>
        <v>VENTILATORE VENTILATORE</v>
      </c>
      <c r="R2741" t="str">
        <f t="shared" si="382"/>
        <v>Ventilatore In Marcia</v>
      </c>
      <c r="U2741" t="str">
        <f t="shared" si="383"/>
        <v>Stato</v>
      </c>
      <c r="V2741" t="str">
        <f t="shared" si="384"/>
        <v>QACC_PIAZZ_SG</v>
      </c>
      <c r="W2741" t="str">
        <f t="shared" si="385"/>
        <v>GALLERIA CASOLA</v>
      </c>
      <c r="Z2741" t="str">
        <f t="shared" si="386"/>
        <v>10.220.80.16</v>
      </c>
    </row>
    <row r="2742" spans="1:26" x14ac:dyDescent="0.25">
      <c r="A2742" t="s">
        <v>10</v>
      </c>
      <c r="B2742" t="s">
        <v>1206</v>
      </c>
      <c r="C2742" t="s">
        <v>2464</v>
      </c>
      <c r="D2742" t="s">
        <v>2415</v>
      </c>
      <c r="E2742" t="s">
        <v>2415</v>
      </c>
      <c r="F2742" t="s">
        <v>14</v>
      </c>
      <c r="G2742" t="s">
        <v>21</v>
      </c>
      <c r="H2742" t="s">
        <v>22</v>
      </c>
      <c r="I2742" t="s">
        <v>3565</v>
      </c>
      <c r="J2742" t="s">
        <v>2419</v>
      </c>
      <c r="K2742" t="str">
        <f t="shared" si="378"/>
        <v>5127.4</v>
      </c>
      <c r="N2742" t="str">
        <f t="shared" si="379"/>
        <v>HOLDING REGISTER</v>
      </c>
      <c r="O2742" t="str">
        <f t="shared" si="380"/>
        <v>BOOL</v>
      </c>
      <c r="P2742" t="str">
        <f t="shared" si="381"/>
        <v>VENTILATORE VENTILATORE</v>
      </c>
      <c r="R2742" t="str">
        <f t="shared" si="382"/>
        <v>Ventilatore Fermo</v>
      </c>
      <c r="U2742" t="str">
        <f t="shared" si="383"/>
        <v>Stato</v>
      </c>
      <c r="V2742" t="str">
        <f t="shared" si="384"/>
        <v>QACC_PIAZZ_SG</v>
      </c>
      <c r="W2742" t="str">
        <f t="shared" si="385"/>
        <v>GALLERIA CASOLA</v>
      </c>
      <c r="Z2742" t="str">
        <f t="shared" si="386"/>
        <v>10.220.80.16</v>
      </c>
    </row>
    <row r="2743" spans="1:26" x14ac:dyDescent="0.25">
      <c r="A2743" t="s">
        <v>10</v>
      </c>
      <c r="B2743" t="s">
        <v>1206</v>
      </c>
      <c r="C2743" t="s">
        <v>2464</v>
      </c>
      <c r="D2743" t="s">
        <v>2420</v>
      </c>
      <c r="E2743" t="s">
        <v>2420</v>
      </c>
      <c r="F2743" t="s">
        <v>14</v>
      </c>
      <c r="G2743" t="s">
        <v>21</v>
      </c>
      <c r="H2743" t="s">
        <v>22</v>
      </c>
      <c r="I2743" t="s">
        <v>3566</v>
      </c>
      <c r="J2743" t="s">
        <v>2422</v>
      </c>
      <c r="K2743" t="str">
        <f t="shared" si="378"/>
        <v>5127.5</v>
      </c>
      <c r="N2743" t="str">
        <f t="shared" si="379"/>
        <v>HOLDING REGISTER</v>
      </c>
      <c r="O2743" t="str">
        <f t="shared" si="380"/>
        <v>BOOL</v>
      </c>
      <c r="P2743" t="str">
        <f t="shared" si="381"/>
        <v>SERRANDA SERRANDA</v>
      </c>
      <c r="R2743" t="str">
        <f t="shared" si="382"/>
        <v>Serranda Chiusa</v>
      </c>
      <c r="U2743" t="str">
        <f t="shared" si="383"/>
        <v>Stato</v>
      </c>
      <c r="V2743" t="str">
        <f t="shared" si="384"/>
        <v>QACC_PIAZZ_SG</v>
      </c>
      <c r="W2743" t="str">
        <f t="shared" si="385"/>
        <v>GALLERIA CASOLA</v>
      </c>
      <c r="Z2743" t="str">
        <f t="shared" si="386"/>
        <v>10.220.80.16</v>
      </c>
    </row>
    <row r="2744" spans="1:26" x14ac:dyDescent="0.25">
      <c r="A2744" t="s">
        <v>10</v>
      </c>
      <c r="B2744" t="s">
        <v>1206</v>
      </c>
      <c r="C2744" t="s">
        <v>2464</v>
      </c>
      <c r="D2744" t="s">
        <v>2420</v>
      </c>
      <c r="E2744" t="s">
        <v>2420</v>
      </c>
      <c r="F2744" t="s">
        <v>14</v>
      </c>
      <c r="G2744" t="s">
        <v>21</v>
      </c>
      <c r="H2744" t="s">
        <v>22</v>
      </c>
      <c r="I2744" t="s">
        <v>3567</v>
      </c>
      <c r="J2744" t="s">
        <v>2424</v>
      </c>
      <c r="K2744" t="str">
        <f t="shared" si="378"/>
        <v>5127.6</v>
      </c>
      <c r="N2744" t="str">
        <f t="shared" si="379"/>
        <v>HOLDING REGISTER</v>
      </c>
      <c r="O2744" t="str">
        <f t="shared" si="380"/>
        <v>BOOL</v>
      </c>
      <c r="P2744" t="str">
        <f t="shared" si="381"/>
        <v>SERRANDA SERRANDA</v>
      </c>
      <c r="R2744" t="str">
        <f t="shared" si="382"/>
        <v>Serranda Aperta</v>
      </c>
      <c r="U2744" t="str">
        <f t="shared" si="383"/>
        <v>Stato</v>
      </c>
      <c r="V2744" t="str">
        <f t="shared" si="384"/>
        <v>QACC_PIAZZ_SG</v>
      </c>
      <c r="W2744" t="str">
        <f t="shared" si="385"/>
        <v>GALLERIA CASOLA</v>
      </c>
      <c r="Z2744" t="str">
        <f t="shared" si="386"/>
        <v>10.220.80.16</v>
      </c>
    </row>
    <row r="2745" spans="1:26" x14ac:dyDescent="0.25">
      <c r="A2745" t="s">
        <v>10</v>
      </c>
      <c r="B2745" t="s">
        <v>1206</v>
      </c>
      <c r="C2745" t="s">
        <v>2464</v>
      </c>
      <c r="D2745" t="s">
        <v>2420</v>
      </c>
      <c r="E2745" t="s">
        <v>2420</v>
      </c>
      <c r="F2745" t="s">
        <v>14</v>
      </c>
      <c r="G2745" t="s">
        <v>21</v>
      </c>
      <c r="H2745" t="s">
        <v>22</v>
      </c>
      <c r="I2745" t="s">
        <v>3568</v>
      </c>
      <c r="J2745" t="s">
        <v>2426</v>
      </c>
      <c r="K2745" t="str">
        <f t="shared" si="378"/>
        <v>5127.7</v>
      </c>
      <c r="N2745" t="str">
        <f t="shared" si="379"/>
        <v>HOLDING REGISTER</v>
      </c>
      <c r="O2745" t="str">
        <f t="shared" si="380"/>
        <v>BOOL</v>
      </c>
      <c r="P2745" t="str">
        <f t="shared" si="381"/>
        <v>SERRANDA SERRANDA</v>
      </c>
      <c r="R2745" t="str">
        <f t="shared" si="382"/>
        <v>Serranda In Apertura</v>
      </c>
      <c r="U2745" t="str">
        <f t="shared" si="383"/>
        <v>Stato</v>
      </c>
      <c r="V2745" t="str">
        <f t="shared" si="384"/>
        <v>QACC_PIAZZ_SG</v>
      </c>
      <c r="W2745" t="str">
        <f t="shared" si="385"/>
        <v>GALLERIA CASOLA</v>
      </c>
      <c r="Z2745" t="str">
        <f t="shared" si="386"/>
        <v>10.220.80.16</v>
      </c>
    </row>
    <row r="2746" spans="1:26" x14ac:dyDescent="0.25">
      <c r="A2746" t="s">
        <v>10</v>
      </c>
      <c r="B2746" t="s">
        <v>1206</v>
      </c>
      <c r="C2746" t="s">
        <v>2464</v>
      </c>
      <c r="D2746" t="s">
        <v>2415</v>
      </c>
      <c r="E2746" t="s">
        <v>2415</v>
      </c>
      <c r="F2746" t="s">
        <v>14</v>
      </c>
      <c r="G2746" t="s">
        <v>21</v>
      </c>
      <c r="H2746" t="s">
        <v>22</v>
      </c>
      <c r="I2746" t="s">
        <v>3569</v>
      </c>
      <c r="J2746" t="s">
        <v>2428</v>
      </c>
      <c r="K2746" t="str">
        <f t="shared" si="378"/>
        <v>5127.8</v>
      </c>
      <c r="N2746" t="str">
        <f t="shared" si="379"/>
        <v>HOLDING REGISTER</v>
      </c>
      <c r="O2746" t="str">
        <f t="shared" si="380"/>
        <v>BOOL</v>
      </c>
      <c r="P2746" t="str">
        <f t="shared" si="381"/>
        <v>VENTILATORE VENTILATORE</v>
      </c>
      <c r="R2746" t="str">
        <f t="shared" si="382"/>
        <v>Ventilatore In Arresto</v>
      </c>
      <c r="U2746" t="str">
        <f t="shared" si="383"/>
        <v>Stato</v>
      </c>
      <c r="V2746" t="str">
        <f t="shared" si="384"/>
        <v>QACC_PIAZZ_SG</v>
      </c>
      <c r="W2746" t="str">
        <f t="shared" si="385"/>
        <v>GALLERIA CASOLA</v>
      </c>
      <c r="Z2746" t="str">
        <f t="shared" si="386"/>
        <v>10.220.80.16</v>
      </c>
    </row>
    <row r="2747" spans="1:26" x14ac:dyDescent="0.25">
      <c r="A2747" t="s">
        <v>10</v>
      </c>
      <c r="B2747" t="s">
        <v>1206</v>
      </c>
      <c r="C2747" t="s">
        <v>2464</v>
      </c>
      <c r="D2747" t="s">
        <v>2420</v>
      </c>
      <c r="E2747" t="s">
        <v>2420</v>
      </c>
      <c r="F2747" t="s">
        <v>14</v>
      </c>
      <c r="G2747" t="s">
        <v>21</v>
      </c>
      <c r="H2747" t="s">
        <v>22</v>
      </c>
      <c r="I2747" t="s">
        <v>3570</v>
      </c>
      <c r="J2747" t="s">
        <v>2430</v>
      </c>
      <c r="K2747" t="str">
        <f t="shared" si="378"/>
        <v>5127.9</v>
      </c>
      <c r="N2747" t="str">
        <f t="shared" si="379"/>
        <v>HOLDING REGISTER</v>
      </c>
      <c r="O2747" t="str">
        <f t="shared" si="380"/>
        <v>BOOL</v>
      </c>
      <c r="P2747" t="str">
        <f t="shared" si="381"/>
        <v>SERRANDA SERRANDA</v>
      </c>
      <c r="R2747" t="str">
        <f t="shared" si="382"/>
        <v>Serranda In Chiusura</v>
      </c>
      <c r="U2747" t="str">
        <f t="shared" si="383"/>
        <v>Stato</v>
      </c>
      <c r="V2747" t="str">
        <f t="shared" si="384"/>
        <v>QACC_PIAZZ_SG</v>
      </c>
      <c r="W2747" t="str">
        <f t="shared" si="385"/>
        <v>GALLERIA CASOLA</v>
      </c>
      <c r="Z2747" t="str">
        <f t="shared" si="386"/>
        <v>10.220.80.16</v>
      </c>
    </row>
    <row r="2748" spans="1:26" x14ac:dyDescent="0.25">
      <c r="A2748" t="s">
        <v>10</v>
      </c>
      <c r="B2748" t="s">
        <v>1206</v>
      </c>
      <c r="C2748" t="s">
        <v>2464</v>
      </c>
      <c r="D2748" t="s">
        <v>555</v>
      </c>
      <c r="E2748" t="s">
        <v>555</v>
      </c>
      <c r="F2748" t="s">
        <v>14</v>
      </c>
      <c r="G2748" t="s">
        <v>21</v>
      </c>
      <c r="H2748" t="s">
        <v>22</v>
      </c>
      <c r="I2748" t="s">
        <v>3571</v>
      </c>
      <c r="J2748" t="s">
        <v>2432</v>
      </c>
      <c r="K2748" t="str">
        <f t="shared" si="378"/>
        <v>5127.10</v>
      </c>
      <c r="N2748" t="str">
        <f t="shared" si="379"/>
        <v>HOLDING REGISTER</v>
      </c>
      <c r="O2748" t="str">
        <f t="shared" si="380"/>
        <v>BOOL</v>
      </c>
      <c r="P2748" t="str">
        <f t="shared" si="381"/>
        <v>SELETTORE SELETTORE</v>
      </c>
      <c r="R2748" t="str">
        <f t="shared" si="382"/>
        <v>Ventilatore In Manuale Da Quadro</v>
      </c>
      <c r="U2748" t="str">
        <f t="shared" si="383"/>
        <v>Stato</v>
      </c>
      <c r="V2748" t="str">
        <f t="shared" si="384"/>
        <v>QACC_PIAZZ_SG</v>
      </c>
      <c r="W2748" t="str">
        <f t="shared" si="385"/>
        <v>GALLERIA CASOLA</v>
      </c>
      <c r="Z2748" t="str">
        <f t="shared" si="386"/>
        <v>10.220.80.16</v>
      </c>
    </row>
    <row r="2749" spans="1:26" x14ac:dyDescent="0.25">
      <c r="A2749" t="s">
        <v>10</v>
      </c>
      <c r="B2749" t="s">
        <v>1206</v>
      </c>
      <c r="C2749" t="s">
        <v>2464</v>
      </c>
      <c r="D2749" t="s">
        <v>555</v>
      </c>
      <c r="E2749" t="s">
        <v>555</v>
      </c>
      <c r="F2749" t="s">
        <v>14</v>
      </c>
      <c r="G2749" t="s">
        <v>21</v>
      </c>
      <c r="H2749" t="s">
        <v>22</v>
      </c>
      <c r="I2749" t="s">
        <v>3572</v>
      </c>
      <c r="J2749" t="s">
        <v>2434</v>
      </c>
      <c r="K2749" t="str">
        <f t="shared" si="378"/>
        <v>5127.11</v>
      </c>
      <c r="N2749" t="str">
        <f t="shared" si="379"/>
        <v>HOLDING REGISTER</v>
      </c>
      <c r="O2749" t="str">
        <f t="shared" si="380"/>
        <v>BOOL</v>
      </c>
      <c r="P2749" t="str">
        <f t="shared" si="381"/>
        <v>SELETTORE SELETTORE</v>
      </c>
      <c r="R2749" t="str">
        <f t="shared" si="382"/>
        <v>Serranda In Manuale Da Quadro</v>
      </c>
      <c r="U2749" t="str">
        <f t="shared" si="383"/>
        <v>Stato</v>
      </c>
      <c r="V2749" t="str">
        <f t="shared" si="384"/>
        <v>QACC_PIAZZ_SG</v>
      </c>
      <c r="W2749" t="str">
        <f t="shared" si="385"/>
        <v>GALLERIA CASOLA</v>
      </c>
      <c r="Z2749" t="str">
        <f t="shared" si="386"/>
        <v>10.220.80.16</v>
      </c>
    </row>
    <row r="2750" spans="1:26" x14ac:dyDescent="0.25">
      <c r="A2750" t="s">
        <v>10</v>
      </c>
      <c r="B2750" t="s">
        <v>1206</v>
      </c>
      <c r="C2750" t="s">
        <v>2464</v>
      </c>
      <c r="D2750" t="s">
        <v>2415</v>
      </c>
      <c r="E2750" t="s">
        <v>2415</v>
      </c>
      <c r="F2750" t="s">
        <v>14</v>
      </c>
      <c r="G2750" t="s">
        <v>28</v>
      </c>
      <c r="H2750" t="s">
        <v>22</v>
      </c>
      <c r="I2750" t="s">
        <v>3573</v>
      </c>
      <c r="J2750" t="s">
        <v>2436</v>
      </c>
      <c r="K2750" t="str">
        <f t="shared" si="378"/>
        <v>5127.12</v>
      </c>
      <c r="N2750" t="str">
        <f t="shared" si="379"/>
        <v>HOLDING REGISTER</v>
      </c>
      <c r="O2750" t="str">
        <f t="shared" si="380"/>
        <v>BOOL</v>
      </c>
      <c r="P2750" t="str">
        <f t="shared" si="381"/>
        <v>VENTILATORE VENTILATORE</v>
      </c>
      <c r="R2750" t="str">
        <f t="shared" si="382"/>
        <v>Mancato Avvio Ventilatore</v>
      </c>
      <c r="U2750" t="str">
        <f t="shared" si="383"/>
        <v>Allarme</v>
      </c>
      <c r="V2750" t="str">
        <f t="shared" si="384"/>
        <v>QACC_PIAZZ_SG</v>
      </c>
      <c r="W2750" t="str">
        <f t="shared" si="385"/>
        <v>GALLERIA CASOLA</v>
      </c>
      <c r="Z2750" t="str">
        <f t="shared" si="386"/>
        <v>10.220.80.16</v>
      </c>
    </row>
    <row r="2751" spans="1:26" x14ac:dyDescent="0.25">
      <c r="A2751" t="s">
        <v>10</v>
      </c>
      <c r="B2751" t="s">
        <v>1206</v>
      </c>
      <c r="C2751" t="s">
        <v>2464</v>
      </c>
      <c r="D2751" t="s">
        <v>2415</v>
      </c>
      <c r="E2751" t="s">
        <v>2415</v>
      </c>
      <c r="F2751" t="s">
        <v>14</v>
      </c>
      <c r="G2751" t="s">
        <v>28</v>
      </c>
      <c r="H2751" t="s">
        <v>22</v>
      </c>
      <c r="I2751" t="s">
        <v>3574</v>
      </c>
      <c r="J2751" t="s">
        <v>2438</v>
      </c>
      <c r="K2751" t="str">
        <f t="shared" si="378"/>
        <v>5127.13</v>
      </c>
      <c r="N2751" t="str">
        <f t="shared" si="379"/>
        <v>HOLDING REGISTER</v>
      </c>
      <c r="O2751" t="str">
        <f t="shared" si="380"/>
        <v>BOOL</v>
      </c>
      <c r="P2751" t="str">
        <f t="shared" si="381"/>
        <v>VENTILATORE VENTILATORE</v>
      </c>
      <c r="R2751" t="str">
        <f t="shared" si="382"/>
        <v>Mancato Arresto Ventilatore</v>
      </c>
      <c r="U2751" t="str">
        <f t="shared" si="383"/>
        <v>Allarme</v>
      </c>
      <c r="V2751" t="str">
        <f t="shared" si="384"/>
        <v>QACC_PIAZZ_SG</v>
      </c>
      <c r="W2751" t="str">
        <f t="shared" si="385"/>
        <v>GALLERIA CASOLA</v>
      </c>
      <c r="Z2751" t="str">
        <f t="shared" si="386"/>
        <v>10.220.80.16</v>
      </c>
    </row>
    <row r="2752" spans="1:26" x14ac:dyDescent="0.25">
      <c r="A2752" t="s">
        <v>10</v>
      </c>
      <c r="B2752" t="s">
        <v>1206</v>
      </c>
      <c r="C2752" t="s">
        <v>2464</v>
      </c>
      <c r="D2752" t="s">
        <v>2420</v>
      </c>
      <c r="E2752" t="s">
        <v>2420</v>
      </c>
      <c r="F2752" t="s">
        <v>14</v>
      </c>
      <c r="G2752" t="s">
        <v>28</v>
      </c>
      <c r="H2752" t="s">
        <v>22</v>
      </c>
      <c r="I2752" t="s">
        <v>3575</v>
      </c>
      <c r="J2752" t="s">
        <v>2440</v>
      </c>
      <c r="K2752" t="str">
        <f t="shared" si="378"/>
        <v>5127.14</v>
      </c>
      <c r="N2752" t="str">
        <f t="shared" si="379"/>
        <v>HOLDING REGISTER</v>
      </c>
      <c r="O2752" t="str">
        <f t="shared" si="380"/>
        <v>BOOL</v>
      </c>
      <c r="P2752" t="str">
        <f t="shared" si="381"/>
        <v>SERRANDA SERRANDA</v>
      </c>
      <c r="R2752" t="str">
        <f t="shared" si="382"/>
        <v>Mancata Apertura Serranda</v>
      </c>
      <c r="U2752" t="str">
        <f t="shared" si="383"/>
        <v>Allarme</v>
      </c>
      <c r="V2752" t="str">
        <f t="shared" si="384"/>
        <v>QACC_PIAZZ_SG</v>
      </c>
      <c r="W2752" t="str">
        <f t="shared" si="385"/>
        <v>GALLERIA CASOLA</v>
      </c>
      <c r="Z2752" t="str">
        <f t="shared" si="386"/>
        <v>10.220.80.16</v>
      </c>
    </row>
    <row r="2753" spans="1:26" x14ac:dyDescent="0.25">
      <c r="A2753" t="s">
        <v>10</v>
      </c>
      <c r="B2753" t="s">
        <v>1206</v>
      </c>
      <c r="C2753" t="s">
        <v>2464</v>
      </c>
      <c r="D2753" t="s">
        <v>2420</v>
      </c>
      <c r="E2753" t="s">
        <v>2420</v>
      </c>
      <c r="F2753" t="s">
        <v>14</v>
      </c>
      <c r="G2753" t="s">
        <v>28</v>
      </c>
      <c r="H2753" t="s">
        <v>22</v>
      </c>
      <c r="I2753" t="s">
        <v>3576</v>
      </c>
      <c r="J2753" t="s">
        <v>2442</v>
      </c>
      <c r="K2753" t="str">
        <f t="shared" si="378"/>
        <v>5127.15</v>
      </c>
      <c r="N2753" t="str">
        <f t="shared" si="379"/>
        <v>HOLDING REGISTER</v>
      </c>
      <c r="O2753" t="str">
        <f t="shared" si="380"/>
        <v>BOOL</v>
      </c>
      <c r="P2753" t="str">
        <f t="shared" si="381"/>
        <v>SERRANDA SERRANDA</v>
      </c>
      <c r="R2753" t="str">
        <f t="shared" si="382"/>
        <v>Mancata Chiusura Serranda</v>
      </c>
      <c r="U2753" t="str">
        <f t="shared" si="383"/>
        <v>Allarme</v>
      </c>
      <c r="V2753" t="str">
        <f t="shared" si="384"/>
        <v>QACC_PIAZZ_SG</v>
      </c>
      <c r="W2753" t="str">
        <f t="shared" si="385"/>
        <v>GALLERIA CASOLA</v>
      </c>
      <c r="Z2753" t="str">
        <f t="shared" si="386"/>
        <v>10.220.80.16</v>
      </c>
    </row>
    <row r="2754" spans="1:26" x14ac:dyDescent="0.25">
      <c r="A2754" t="s">
        <v>10</v>
      </c>
      <c r="B2754" t="s">
        <v>1206</v>
      </c>
      <c r="C2754" t="s">
        <v>2464</v>
      </c>
      <c r="D2754" t="s">
        <v>49</v>
      </c>
      <c r="E2754" t="s">
        <v>49</v>
      </c>
      <c r="F2754" t="s">
        <v>14</v>
      </c>
      <c r="G2754" t="s">
        <v>28</v>
      </c>
      <c r="H2754" t="s">
        <v>22</v>
      </c>
      <c r="I2754" t="s">
        <v>3577</v>
      </c>
      <c r="J2754" t="s">
        <v>2444</v>
      </c>
      <c r="K2754" t="str">
        <f t="shared" si="378"/>
        <v>5128.0</v>
      </c>
      <c r="N2754" t="str">
        <f t="shared" si="379"/>
        <v>HOLDING REGISTER</v>
      </c>
      <c r="O2754" t="str">
        <f t="shared" si="380"/>
        <v>BOOL</v>
      </c>
      <c r="P2754" t="str">
        <f t="shared" si="381"/>
        <v>INTERRUTTORE INTERRUTTORE</v>
      </c>
      <c r="R2754" t="str">
        <f t="shared" si="382"/>
        <v>Intervento Protezione Motore Serranda</v>
      </c>
      <c r="U2754" t="str">
        <f t="shared" si="383"/>
        <v>Allarme</v>
      </c>
      <c r="V2754" t="str">
        <f t="shared" si="384"/>
        <v>QACC_PIAZZ_SG</v>
      </c>
      <c r="W2754" t="str">
        <f t="shared" si="385"/>
        <v>GALLERIA CASOLA</v>
      </c>
      <c r="Z2754" t="str">
        <f t="shared" si="386"/>
        <v>10.220.80.16</v>
      </c>
    </row>
    <row r="2755" spans="1:26" x14ac:dyDescent="0.25">
      <c r="A2755" t="s">
        <v>10</v>
      </c>
      <c r="B2755" t="s">
        <v>1206</v>
      </c>
      <c r="C2755" t="s">
        <v>2464</v>
      </c>
      <c r="D2755" t="s">
        <v>49</v>
      </c>
      <c r="E2755" t="s">
        <v>49</v>
      </c>
      <c r="F2755" t="s">
        <v>14</v>
      </c>
      <c r="G2755" t="s">
        <v>28</v>
      </c>
      <c r="H2755" t="s">
        <v>22</v>
      </c>
      <c r="I2755" t="s">
        <v>3578</v>
      </c>
      <c r="J2755" t="s">
        <v>2446</v>
      </c>
      <c r="K2755" t="str">
        <f t="shared" ref="K2755:K2818" si="387">IF(I2755="","",I2755)</f>
        <v>5128.1</v>
      </c>
      <c r="N2755" t="str">
        <f t="shared" ref="N2755:N2818" si="388">IF(F2755="","",F2755)</f>
        <v>HOLDING REGISTER</v>
      </c>
      <c r="O2755" t="str">
        <f t="shared" ref="O2755:O2818" si="389">IF(H2755="","",H2755)</f>
        <v>BOOL</v>
      </c>
      <c r="P2755" t="str">
        <f t="shared" ref="P2755:P2818" si="390">_xlfn.CONCAT(D2755," ",E2755)</f>
        <v>INTERRUTTORE INTERRUTTORE</v>
      </c>
      <c r="R2755" t="str">
        <f t="shared" ref="R2755:R2818" si="391">IF(J2755="","",J2755)</f>
        <v>Intervento Protezione Motore Ventilatore</v>
      </c>
      <c r="U2755" t="str">
        <f t="shared" ref="U2755:U2818" si="392">IF(G2755="","",G2755)</f>
        <v>Allarme</v>
      </c>
      <c r="V2755" t="str">
        <f t="shared" ref="V2755:V2818" si="393">IF(C2755="","",C2755)</f>
        <v>QACC_PIAZZ_SG</v>
      </c>
      <c r="W2755" t="str">
        <f t="shared" ref="W2755:W2818" si="394">IF(B2755="","",B2755)</f>
        <v>GALLERIA CASOLA</v>
      </c>
      <c r="Z2755" t="str">
        <f t="shared" ref="Z2755:Z2818" si="395">IF(A2755="","",A2755)</f>
        <v>10.220.80.16</v>
      </c>
    </row>
    <row r="2756" spans="1:26" x14ac:dyDescent="0.25">
      <c r="A2756" t="s">
        <v>10</v>
      </c>
      <c r="B2756" t="s">
        <v>1206</v>
      </c>
      <c r="C2756" t="s">
        <v>2530</v>
      </c>
      <c r="E2756" t="s">
        <v>2530</v>
      </c>
      <c r="F2756" t="s">
        <v>14</v>
      </c>
      <c r="G2756" t="s">
        <v>2531</v>
      </c>
      <c r="H2756" t="s">
        <v>22</v>
      </c>
      <c r="I2756" t="s">
        <v>3579</v>
      </c>
      <c r="J2756" t="s">
        <v>2533</v>
      </c>
      <c r="K2756" t="str">
        <f t="shared" si="387"/>
        <v>12000.0</v>
      </c>
      <c r="N2756" t="str">
        <f t="shared" si="388"/>
        <v>HOLDING REGISTER</v>
      </c>
      <c r="O2756" t="str">
        <f t="shared" si="389"/>
        <v>BOOL</v>
      </c>
      <c r="P2756" t="str">
        <f t="shared" si="390"/>
        <v xml:space="preserve"> SOS 1</v>
      </c>
      <c r="R2756" t="str">
        <f t="shared" si="391"/>
        <v>SOS1 -Reset Allarmi</v>
      </c>
      <c r="U2756" t="str">
        <f t="shared" si="392"/>
        <v>Comando</v>
      </c>
      <c r="V2756" t="str">
        <f t="shared" si="393"/>
        <v>SOS 1</v>
      </c>
      <c r="W2756" t="str">
        <f t="shared" si="394"/>
        <v>GALLERIA CASOLA</v>
      </c>
      <c r="Z2756" t="str">
        <f t="shared" si="395"/>
        <v>10.220.80.16</v>
      </c>
    </row>
    <row r="2757" spans="1:26" x14ac:dyDescent="0.25">
      <c r="A2757" t="s">
        <v>10</v>
      </c>
      <c r="B2757" t="s">
        <v>1206</v>
      </c>
      <c r="C2757" t="s">
        <v>2534</v>
      </c>
      <c r="E2757" t="s">
        <v>2534</v>
      </c>
      <c r="F2757" t="s">
        <v>14</v>
      </c>
      <c r="G2757" t="s">
        <v>2531</v>
      </c>
      <c r="H2757" t="s">
        <v>22</v>
      </c>
      <c r="I2757" t="s">
        <v>3580</v>
      </c>
      <c r="J2757" t="s">
        <v>2536</v>
      </c>
      <c r="K2757" t="str">
        <f t="shared" si="387"/>
        <v>12000.1</v>
      </c>
      <c r="N2757" t="str">
        <f t="shared" si="388"/>
        <v>HOLDING REGISTER</v>
      </c>
      <c r="O2757" t="str">
        <f t="shared" si="389"/>
        <v>BOOL</v>
      </c>
      <c r="P2757" t="str">
        <f t="shared" si="390"/>
        <v xml:space="preserve"> SOS 2</v>
      </c>
      <c r="R2757" t="str">
        <f t="shared" si="391"/>
        <v>SOS2 -Reset Allarmi</v>
      </c>
      <c r="U2757" t="str">
        <f t="shared" si="392"/>
        <v>Comando</v>
      </c>
      <c r="V2757" t="str">
        <f t="shared" si="393"/>
        <v>SOS 2</v>
      </c>
      <c r="W2757" t="str">
        <f t="shared" si="394"/>
        <v>GALLERIA CASOLA</v>
      </c>
      <c r="Z2757" t="str">
        <f t="shared" si="395"/>
        <v>10.220.80.16</v>
      </c>
    </row>
    <row r="2758" spans="1:26" x14ac:dyDescent="0.25">
      <c r="A2758" t="s">
        <v>10</v>
      </c>
      <c r="B2758" t="s">
        <v>1206</v>
      </c>
      <c r="C2758" t="s">
        <v>2537</v>
      </c>
      <c r="E2758" t="s">
        <v>2537</v>
      </c>
      <c r="F2758" t="s">
        <v>14</v>
      </c>
      <c r="G2758" t="s">
        <v>2531</v>
      </c>
      <c r="H2758" t="s">
        <v>22</v>
      </c>
      <c r="I2758" t="s">
        <v>3581</v>
      </c>
      <c r="J2758" t="s">
        <v>2539</v>
      </c>
      <c r="K2758" t="str">
        <f t="shared" si="387"/>
        <v>12000.2</v>
      </c>
      <c r="N2758" t="str">
        <f t="shared" si="388"/>
        <v>HOLDING REGISTER</v>
      </c>
      <c r="O2758" t="str">
        <f t="shared" si="389"/>
        <v>BOOL</v>
      </c>
      <c r="P2758" t="str">
        <f t="shared" si="390"/>
        <v xml:space="preserve"> SOS 3</v>
      </c>
      <c r="R2758" t="str">
        <f t="shared" si="391"/>
        <v>SOS3 -Reset Allarmi</v>
      </c>
      <c r="U2758" t="str">
        <f t="shared" si="392"/>
        <v>Comando</v>
      </c>
      <c r="V2758" t="str">
        <f t="shared" si="393"/>
        <v>SOS 3</v>
      </c>
      <c r="W2758" t="str">
        <f t="shared" si="394"/>
        <v>GALLERIA CASOLA</v>
      </c>
      <c r="Z2758" t="str">
        <f t="shared" si="395"/>
        <v>10.220.80.16</v>
      </c>
    </row>
    <row r="2759" spans="1:26" x14ac:dyDescent="0.25">
      <c r="A2759" t="s">
        <v>10</v>
      </c>
      <c r="B2759" t="s">
        <v>1206</v>
      </c>
      <c r="C2759" t="s">
        <v>2540</v>
      </c>
      <c r="E2759" t="s">
        <v>2540</v>
      </c>
      <c r="F2759" t="s">
        <v>14</v>
      </c>
      <c r="G2759" t="s">
        <v>2531</v>
      </c>
      <c r="H2759" t="s">
        <v>22</v>
      </c>
      <c r="I2759" t="s">
        <v>3582</v>
      </c>
      <c r="J2759" t="s">
        <v>2542</v>
      </c>
      <c r="K2759" t="str">
        <f t="shared" si="387"/>
        <v>12000.3</v>
      </c>
      <c r="N2759" t="str">
        <f t="shared" si="388"/>
        <v>HOLDING REGISTER</v>
      </c>
      <c r="O2759" t="str">
        <f t="shared" si="389"/>
        <v>BOOL</v>
      </c>
      <c r="P2759" t="str">
        <f t="shared" si="390"/>
        <v xml:space="preserve"> SOS 4</v>
      </c>
      <c r="R2759" t="str">
        <f t="shared" si="391"/>
        <v>SOS4 -Reset Allarmi</v>
      </c>
      <c r="U2759" t="str">
        <f t="shared" si="392"/>
        <v>Comando</v>
      </c>
      <c r="V2759" t="str">
        <f t="shared" si="393"/>
        <v>SOS 4</v>
      </c>
      <c r="W2759" t="str">
        <f t="shared" si="394"/>
        <v>GALLERIA CASOLA</v>
      </c>
      <c r="Z2759" t="str">
        <f t="shared" si="395"/>
        <v>10.220.80.16</v>
      </c>
    </row>
    <row r="2760" spans="1:26" x14ac:dyDescent="0.25">
      <c r="A2760" t="s">
        <v>10</v>
      </c>
      <c r="B2760" t="s">
        <v>1206</v>
      </c>
      <c r="C2760" t="s">
        <v>2543</v>
      </c>
      <c r="E2760" t="s">
        <v>2543</v>
      </c>
      <c r="F2760" t="s">
        <v>14</v>
      </c>
      <c r="G2760" t="s">
        <v>2531</v>
      </c>
      <c r="H2760" t="s">
        <v>22</v>
      </c>
      <c r="I2760" t="s">
        <v>3583</v>
      </c>
      <c r="J2760" t="s">
        <v>2545</v>
      </c>
      <c r="K2760" t="str">
        <f t="shared" si="387"/>
        <v>12000.4</v>
      </c>
      <c r="N2760" t="str">
        <f t="shared" si="388"/>
        <v>HOLDING REGISTER</v>
      </c>
      <c r="O2760" t="str">
        <f t="shared" si="389"/>
        <v>BOOL</v>
      </c>
      <c r="P2760" t="str">
        <f t="shared" si="390"/>
        <v xml:space="preserve"> SOS 5</v>
      </c>
      <c r="R2760" t="str">
        <f t="shared" si="391"/>
        <v>SOS5 -Reset Allarmi</v>
      </c>
      <c r="U2760" t="str">
        <f t="shared" si="392"/>
        <v>Comando</v>
      </c>
      <c r="V2760" t="str">
        <f t="shared" si="393"/>
        <v>SOS 5</v>
      </c>
      <c r="W2760" t="str">
        <f t="shared" si="394"/>
        <v>GALLERIA CASOLA</v>
      </c>
      <c r="Z2760" t="str">
        <f t="shared" si="395"/>
        <v>10.220.80.16</v>
      </c>
    </row>
    <row r="2761" spans="1:26" x14ac:dyDescent="0.25">
      <c r="A2761" t="s">
        <v>10</v>
      </c>
      <c r="B2761" t="s">
        <v>1206</v>
      </c>
      <c r="C2761" t="s">
        <v>2546</v>
      </c>
      <c r="E2761" t="s">
        <v>2546</v>
      </c>
      <c r="F2761" t="s">
        <v>14</v>
      </c>
      <c r="G2761" t="s">
        <v>2531</v>
      </c>
      <c r="H2761" t="s">
        <v>22</v>
      </c>
      <c r="I2761" t="s">
        <v>3584</v>
      </c>
      <c r="J2761" t="s">
        <v>2548</v>
      </c>
      <c r="K2761" t="str">
        <f t="shared" si="387"/>
        <v>12000.5</v>
      </c>
      <c r="N2761" t="str">
        <f t="shared" si="388"/>
        <v>HOLDING REGISTER</v>
      </c>
      <c r="O2761" t="str">
        <f t="shared" si="389"/>
        <v>BOOL</v>
      </c>
      <c r="P2761" t="str">
        <f t="shared" si="390"/>
        <v xml:space="preserve"> SOS 6</v>
      </c>
      <c r="R2761" t="str">
        <f t="shared" si="391"/>
        <v>SOS6 -Reset Allarmi</v>
      </c>
      <c r="U2761" t="str">
        <f t="shared" si="392"/>
        <v>Comando</v>
      </c>
      <c r="V2761" t="str">
        <f t="shared" si="393"/>
        <v>SOS 6</v>
      </c>
      <c r="W2761" t="str">
        <f t="shared" si="394"/>
        <v>GALLERIA CASOLA</v>
      </c>
      <c r="Z2761" t="str">
        <f t="shared" si="395"/>
        <v>10.220.80.16</v>
      </c>
    </row>
    <row r="2762" spans="1:26" x14ac:dyDescent="0.25">
      <c r="A2762" t="s">
        <v>10</v>
      </c>
      <c r="B2762" t="s">
        <v>1206</v>
      </c>
      <c r="C2762" t="s">
        <v>2549</v>
      </c>
      <c r="E2762" t="s">
        <v>2549</v>
      </c>
      <c r="F2762" t="s">
        <v>14</v>
      </c>
      <c r="G2762" t="s">
        <v>2531</v>
      </c>
      <c r="H2762" t="s">
        <v>22</v>
      </c>
      <c r="I2762" t="s">
        <v>3585</v>
      </c>
      <c r="J2762" t="s">
        <v>2551</v>
      </c>
      <c r="K2762" t="str">
        <f t="shared" si="387"/>
        <v>12000.6</v>
      </c>
      <c r="N2762" t="str">
        <f t="shared" si="388"/>
        <v>HOLDING REGISTER</v>
      </c>
      <c r="O2762" t="str">
        <f t="shared" si="389"/>
        <v>BOOL</v>
      </c>
      <c r="P2762" t="str">
        <f t="shared" si="390"/>
        <v xml:space="preserve"> SOS 7</v>
      </c>
      <c r="R2762" t="str">
        <f t="shared" si="391"/>
        <v>SOS7 -Reset Allarmi</v>
      </c>
      <c r="U2762" t="str">
        <f t="shared" si="392"/>
        <v>Comando</v>
      </c>
      <c r="V2762" t="str">
        <f t="shared" si="393"/>
        <v>SOS 7</v>
      </c>
      <c r="W2762" t="str">
        <f t="shared" si="394"/>
        <v>GALLERIA CASOLA</v>
      </c>
      <c r="Z2762" t="str">
        <f t="shared" si="395"/>
        <v>10.220.80.16</v>
      </c>
    </row>
    <row r="2763" spans="1:26" x14ac:dyDescent="0.25">
      <c r="A2763" t="s">
        <v>10</v>
      </c>
      <c r="B2763" t="s">
        <v>1206</v>
      </c>
      <c r="C2763" t="s">
        <v>2552</v>
      </c>
      <c r="E2763" t="s">
        <v>2552</v>
      </c>
      <c r="F2763" t="s">
        <v>14</v>
      </c>
      <c r="G2763" t="s">
        <v>2531</v>
      </c>
      <c r="H2763" t="s">
        <v>22</v>
      </c>
      <c r="I2763" t="s">
        <v>3586</v>
      </c>
      <c r="J2763" t="s">
        <v>2554</v>
      </c>
      <c r="K2763" t="str">
        <f t="shared" si="387"/>
        <v>12000.7</v>
      </c>
      <c r="N2763" t="str">
        <f t="shared" si="388"/>
        <v>HOLDING REGISTER</v>
      </c>
      <c r="O2763" t="str">
        <f t="shared" si="389"/>
        <v>BOOL</v>
      </c>
      <c r="P2763" t="str">
        <f t="shared" si="390"/>
        <v xml:space="preserve"> SOS 8</v>
      </c>
      <c r="R2763" t="str">
        <f t="shared" si="391"/>
        <v>SOS8 -Reset Allarmi</v>
      </c>
      <c r="U2763" t="str">
        <f t="shared" si="392"/>
        <v>Comando</v>
      </c>
      <c r="V2763" t="str">
        <f t="shared" si="393"/>
        <v>SOS 8</v>
      </c>
      <c r="W2763" t="str">
        <f t="shared" si="394"/>
        <v>GALLERIA CASOLA</v>
      </c>
      <c r="Z2763" t="str">
        <f t="shared" si="395"/>
        <v>10.220.80.16</v>
      </c>
    </row>
    <row r="2764" spans="1:26" x14ac:dyDescent="0.25">
      <c r="A2764" t="s">
        <v>10</v>
      </c>
      <c r="B2764" t="s">
        <v>1206</v>
      </c>
      <c r="C2764" t="s">
        <v>2555</v>
      </c>
      <c r="E2764" t="s">
        <v>2555</v>
      </c>
      <c r="F2764" t="s">
        <v>14</v>
      </c>
      <c r="G2764" t="s">
        <v>2531</v>
      </c>
      <c r="H2764" t="s">
        <v>22</v>
      </c>
      <c r="I2764" t="s">
        <v>3587</v>
      </c>
      <c r="J2764" t="s">
        <v>2557</v>
      </c>
      <c r="K2764" t="str">
        <f t="shared" si="387"/>
        <v>12000.8</v>
      </c>
      <c r="N2764" t="str">
        <f t="shared" si="388"/>
        <v>HOLDING REGISTER</v>
      </c>
      <c r="O2764" t="str">
        <f t="shared" si="389"/>
        <v>BOOL</v>
      </c>
      <c r="P2764" t="str">
        <f t="shared" si="390"/>
        <v xml:space="preserve"> SOS 9</v>
      </c>
      <c r="R2764" t="str">
        <f t="shared" si="391"/>
        <v>SOS9 -Reset Allarmi</v>
      </c>
      <c r="U2764" t="str">
        <f t="shared" si="392"/>
        <v>Comando</v>
      </c>
      <c r="V2764" t="str">
        <f t="shared" si="393"/>
        <v>SOS 9</v>
      </c>
      <c r="W2764" t="str">
        <f t="shared" si="394"/>
        <v>GALLERIA CASOLA</v>
      </c>
      <c r="Z2764" t="str">
        <f t="shared" si="395"/>
        <v>10.220.80.16</v>
      </c>
    </row>
    <row r="2765" spans="1:26" x14ac:dyDescent="0.25">
      <c r="A2765" t="s">
        <v>10</v>
      </c>
      <c r="B2765" t="s">
        <v>1206</v>
      </c>
      <c r="C2765" t="s">
        <v>2558</v>
      </c>
      <c r="E2765" t="s">
        <v>2558</v>
      </c>
      <c r="F2765" t="s">
        <v>14</v>
      </c>
      <c r="G2765" t="s">
        <v>2531</v>
      </c>
      <c r="H2765" t="s">
        <v>22</v>
      </c>
      <c r="I2765" t="s">
        <v>3588</v>
      </c>
      <c r="J2765" t="s">
        <v>2560</v>
      </c>
      <c r="K2765" t="str">
        <f t="shared" si="387"/>
        <v>12000.9</v>
      </c>
      <c r="N2765" t="str">
        <f t="shared" si="388"/>
        <v>HOLDING REGISTER</v>
      </c>
      <c r="O2765" t="str">
        <f t="shared" si="389"/>
        <v>BOOL</v>
      </c>
      <c r="P2765" t="str">
        <f t="shared" si="390"/>
        <v xml:space="preserve"> SOS 10</v>
      </c>
      <c r="R2765" t="str">
        <f t="shared" si="391"/>
        <v>SOS10 -Reset Allarmi</v>
      </c>
      <c r="U2765" t="str">
        <f t="shared" si="392"/>
        <v>Comando</v>
      </c>
      <c r="V2765" t="str">
        <f t="shared" si="393"/>
        <v>SOS 10</v>
      </c>
      <c r="W2765" t="str">
        <f t="shared" si="394"/>
        <v>GALLERIA CASOLA</v>
      </c>
      <c r="Z2765" t="str">
        <f t="shared" si="395"/>
        <v>10.220.80.16</v>
      </c>
    </row>
    <row r="2766" spans="1:26" x14ac:dyDescent="0.25">
      <c r="A2766" t="s">
        <v>10</v>
      </c>
      <c r="B2766" t="s">
        <v>1206</v>
      </c>
      <c r="C2766" t="s">
        <v>3662</v>
      </c>
      <c r="E2766" t="s">
        <v>2567</v>
      </c>
      <c r="F2766" t="s">
        <v>14</v>
      </c>
      <c r="G2766" t="s">
        <v>2531</v>
      </c>
      <c r="H2766" t="s">
        <v>22</v>
      </c>
      <c r="I2766" t="s">
        <v>3589</v>
      </c>
      <c r="J2766" t="s">
        <v>2569</v>
      </c>
      <c r="K2766" t="str">
        <f t="shared" si="387"/>
        <v>12000.10</v>
      </c>
      <c r="N2766" t="str">
        <f t="shared" si="388"/>
        <v>HOLDING REGISTER</v>
      </c>
      <c r="O2766" t="str">
        <f t="shared" si="389"/>
        <v>BOOL</v>
      </c>
      <c r="P2766" t="str">
        <f t="shared" si="390"/>
        <v xml:space="preserve"> SOS  ACC1</v>
      </c>
      <c r="R2766" t="str">
        <f t="shared" si="391"/>
        <v>SOSACC1 -Reset Allarmi</v>
      </c>
      <c r="U2766" t="str">
        <f t="shared" si="392"/>
        <v>Comando</v>
      </c>
      <c r="V2766" t="str">
        <f t="shared" si="393"/>
        <v>SOS _ACC1</v>
      </c>
      <c r="W2766" t="str">
        <f t="shared" si="394"/>
        <v>GALLERIA CASOLA</v>
      </c>
      <c r="Z2766" t="str">
        <f t="shared" si="395"/>
        <v>10.220.80.16</v>
      </c>
    </row>
    <row r="2767" spans="1:26" x14ac:dyDescent="0.25">
      <c r="A2767" t="s">
        <v>10</v>
      </c>
      <c r="B2767" t="s">
        <v>1206</v>
      </c>
      <c r="C2767" t="s">
        <v>3664</v>
      </c>
      <c r="E2767" t="s">
        <v>2573</v>
      </c>
      <c r="F2767" t="s">
        <v>14</v>
      </c>
      <c r="G2767" t="s">
        <v>2531</v>
      </c>
      <c r="H2767" t="s">
        <v>22</v>
      </c>
      <c r="I2767" t="s">
        <v>3590</v>
      </c>
      <c r="J2767" t="s">
        <v>2575</v>
      </c>
      <c r="K2767" t="str">
        <f t="shared" si="387"/>
        <v>12000.11</v>
      </c>
      <c r="N2767" t="str">
        <f t="shared" si="388"/>
        <v>HOLDING REGISTER</v>
      </c>
      <c r="O2767" t="str">
        <f t="shared" si="389"/>
        <v>BOOL</v>
      </c>
      <c r="P2767" t="str">
        <f t="shared" si="390"/>
        <v xml:space="preserve"> SOS  PIAZZ</v>
      </c>
      <c r="R2767" t="str">
        <f t="shared" si="391"/>
        <v>SOSPIAZZ -Reset Allarmi</v>
      </c>
      <c r="U2767" t="str">
        <f t="shared" si="392"/>
        <v>Comando</v>
      </c>
      <c r="V2767" t="str">
        <f t="shared" si="393"/>
        <v>SOS _PIAZZ</v>
      </c>
      <c r="W2767" t="str">
        <f t="shared" si="394"/>
        <v>GALLERIA CASOLA</v>
      </c>
      <c r="Z2767" t="str">
        <f t="shared" si="395"/>
        <v>10.220.80.16</v>
      </c>
    </row>
    <row r="2768" spans="1:26" x14ac:dyDescent="0.25">
      <c r="A2768" t="s">
        <v>10</v>
      </c>
      <c r="B2768" t="s">
        <v>1206</v>
      </c>
      <c r="C2768" t="s">
        <v>2173</v>
      </c>
      <c r="D2768" t="s">
        <v>1619</v>
      </c>
      <c r="E2768" t="s">
        <v>2576</v>
      </c>
      <c r="F2768" t="s">
        <v>2577</v>
      </c>
      <c r="G2768" t="s">
        <v>2531</v>
      </c>
      <c r="H2768" t="s">
        <v>22</v>
      </c>
      <c r="I2768">
        <v>300</v>
      </c>
      <c r="J2768" t="s">
        <v>2578</v>
      </c>
      <c r="K2768">
        <f t="shared" si="387"/>
        <v>300</v>
      </c>
      <c r="N2768" t="str">
        <f t="shared" si="388"/>
        <v>Coil</v>
      </c>
      <c r="O2768" t="str">
        <f t="shared" si="389"/>
        <v>BOOL</v>
      </c>
      <c r="P2768" t="str">
        <f t="shared" si="390"/>
        <v xml:space="preserve">TELECAMERA T01S </v>
      </c>
      <c r="R2768" t="str">
        <f t="shared" si="391"/>
        <v>T01S -Escludi Allarmi Telecamera</v>
      </c>
      <c r="U2768" t="str">
        <f t="shared" si="392"/>
        <v>Comando</v>
      </c>
      <c r="V2768" t="str">
        <f t="shared" si="393"/>
        <v>GALLERIA</v>
      </c>
      <c r="W2768" t="str">
        <f t="shared" si="394"/>
        <v>GALLERIA CASOLA</v>
      </c>
      <c r="Z2768" t="str">
        <f t="shared" si="395"/>
        <v>10.220.80.16</v>
      </c>
    </row>
    <row r="2769" spans="1:26" x14ac:dyDescent="0.25">
      <c r="A2769" t="s">
        <v>10</v>
      </c>
      <c r="B2769" t="s">
        <v>1206</v>
      </c>
      <c r="C2769" t="s">
        <v>2173</v>
      </c>
      <c r="D2769" t="s">
        <v>1619</v>
      </c>
      <c r="E2769" t="s">
        <v>2576</v>
      </c>
      <c r="F2769" t="s">
        <v>2577</v>
      </c>
      <c r="G2769" t="s">
        <v>2531</v>
      </c>
      <c r="H2769" t="s">
        <v>22</v>
      </c>
      <c r="I2769">
        <v>301</v>
      </c>
      <c r="J2769" t="s">
        <v>2579</v>
      </c>
      <c r="K2769">
        <f t="shared" si="387"/>
        <v>301</v>
      </c>
      <c r="N2769" t="str">
        <f t="shared" si="388"/>
        <v>Coil</v>
      </c>
      <c r="O2769" t="str">
        <f t="shared" si="389"/>
        <v>BOOL</v>
      </c>
      <c r="P2769" t="str">
        <f t="shared" si="390"/>
        <v xml:space="preserve">TELECAMERA T01S </v>
      </c>
      <c r="R2769" t="str">
        <f t="shared" si="391"/>
        <v>T01S -Includi Allarmi Telecamera</v>
      </c>
      <c r="U2769" t="str">
        <f t="shared" si="392"/>
        <v>Comando</v>
      </c>
      <c r="V2769" t="str">
        <f t="shared" si="393"/>
        <v>GALLERIA</v>
      </c>
      <c r="W2769" t="str">
        <f t="shared" si="394"/>
        <v>GALLERIA CASOLA</v>
      </c>
      <c r="Z2769" t="str">
        <f t="shared" si="395"/>
        <v>10.220.80.16</v>
      </c>
    </row>
    <row r="2770" spans="1:26" x14ac:dyDescent="0.25">
      <c r="A2770" t="s">
        <v>10</v>
      </c>
      <c r="B2770" t="s">
        <v>1206</v>
      </c>
      <c r="C2770" t="s">
        <v>2173</v>
      </c>
      <c r="D2770" t="s">
        <v>1619</v>
      </c>
      <c r="E2770" t="s">
        <v>2576</v>
      </c>
      <c r="F2770" t="s">
        <v>2577</v>
      </c>
      <c r="G2770" t="s">
        <v>2531</v>
      </c>
      <c r="H2770" t="s">
        <v>22</v>
      </c>
      <c r="I2770">
        <v>302</v>
      </c>
      <c r="J2770" t="s">
        <v>2580</v>
      </c>
      <c r="K2770">
        <f t="shared" si="387"/>
        <v>302</v>
      </c>
      <c r="N2770" t="str">
        <f t="shared" si="388"/>
        <v>Coil</v>
      </c>
      <c r="O2770" t="str">
        <f t="shared" si="389"/>
        <v>BOOL</v>
      </c>
      <c r="P2770" t="str">
        <f t="shared" si="390"/>
        <v xml:space="preserve">TELECAMERA T01S </v>
      </c>
      <c r="R2770" t="str">
        <f t="shared" si="391"/>
        <v>T01S -Escludi Allarme Fumo</v>
      </c>
      <c r="U2770" t="str">
        <f t="shared" si="392"/>
        <v>Comando</v>
      </c>
      <c r="V2770" t="str">
        <f t="shared" si="393"/>
        <v>GALLERIA</v>
      </c>
      <c r="W2770" t="str">
        <f t="shared" si="394"/>
        <v>GALLERIA CASOLA</v>
      </c>
      <c r="Z2770" t="str">
        <f t="shared" si="395"/>
        <v>10.220.80.16</v>
      </c>
    </row>
    <row r="2771" spans="1:26" x14ac:dyDescent="0.25">
      <c r="A2771" t="s">
        <v>10</v>
      </c>
      <c r="B2771" t="s">
        <v>1206</v>
      </c>
      <c r="C2771" t="s">
        <v>2173</v>
      </c>
      <c r="D2771" t="s">
        <v>1619</v>
      </c>
      <c r="E2771" t="s">
        <v>2576</v>
      </c>
      <c r="F2771" t="s">
        <v>2577</v>
      </c>
      <c r="G2771" t="s">
        <v>2531</v>
      </c>
      <c r="H2771" t="s">
        <v>22</v>
      </c>
      <c r="I2771">
        <v>303</v>
      </c>
      <c r="J2771" t="s">
        <v>2581</v>
      </c>
      <c r="K2771">
        <f t="shared" si="387"/>
        <v>303</v>
      </c>
      <c r="N2771" t="str">
        <f t="shared" si="388"/>
        <v>Coil</v>
      </c>
      <c r="O2771" t="str">
        <f t="shared" si="389"/>
        <v>BOOL</v>
      </c>
      <c r="P2771" t="str">
        <f t="shared" si="390"/>
        <v xml:space="preserve">TELECAMERA T01S </v>
      </c>
      <c r="R2771" t="str">
        <f t="shared" si="391"/>
        <v>T01S -Includi Allarme Fumo</v>
      </c>
      <c r="U2771" t="str">
        <f t="shared" si="392"/>
        <v>Comando</v>
      </c>
      <c r="V2771" t="str">
        <f t="shared" si="393"/>
        <v>GALLERIA</v>
      </c>
      <c r="W2771" t="str">
        <f t="shared" si="394"/>
        <v>GALLERIA CASOLA</v>
      </c>
      <c r="Z2771" t="str">
        <f t="shared" si="395"/>
        <v>10.220.80.16</v>
      </c>
    </row>
    <row r="2772" spans="1:26" x14ac:dyDescent="0.25">
      <c r="A2772" t="s">
        <v>10</v>
      </c>
      <c r="B2772" t="s">
        <v>1206</v>
      </c>
      <c r="C2772" t="s">
        <v>2173</v>
      </c>
      <c r="D2772" t="s">
        <v>1619</v>
      </c>
      <c r="E2772" t="s">
        <v>2576</v>
      </c>
      <c r="F2772" t="s">
        <v>2577</v>
      </c>
      <c r="G2772" t="s">
        <v>2531</v>
      </c>
      <c r="H2772" t="s">
        <v>22</v>
      </c>
      <c r="I2772">
        <v>304</v>
      </c>
      <c r="J2772" t="s">
        <v>2582</v>
      </c>
      <c r="K2772">
        <f t="shared" si="387"/>
        <v>304</v>
      </c>
      <c r="N2772" t="str">
        <f t="shared" si="388"/>
        <v>Coil</v>
      </c>
      <c r="O2772" t="str">
        <f t="shared" si="389"/>
        <v>BOOL</v>
      </c>
      <c r="P2772" t="str">
        <f t="shared" si="390"/>
        <v xml:space="preserve">TELECAMERA T01S </v>
      </c>
      <c r="R2772" t="str">
        <f t="shared" si="391"/>
        <v>T01S -EScludi Allarmi Traffico</v>
      </c>
      <c r="U2772" t="str">
        <f t="shared" si="392"/>
        <v>Comando</v>
      </c>
      <c r="V2772" t="str">
        <f t="shared" si="393"/>
        <v>GALLERIA</v>
      </c>
      <c r="W2772" t="str">
        <f t="shared" si="394"/>
        <v>GALLERIA CASOLA</v>
      </c>
      <c r="Z2772" t="str">
        <f t="shared" si="395"/>
        <v>10.220.80.16</v>
      </c>
    </row>
    <row r="2773" spans="1:26" x14ac:dyDescent="0.25">
      <c r="A2773" t="s">
        <v>10</v>
      </c>
      <c r="B2773" t="s">
        <v>1206</v>
      </c>
      <c r="C2773" t="s">
        <v>2173</v>
      </c>
      <c r="D2773" t="s">
        <v>1619</v>
      </c>
      <c r="E2773" t="s">
        <v>2576</v>
      </c>
      <c r="F2773" t="s">
        <v>2577</v>
      </c>
      <c r="G2773" t="s">
        <v>2531</v>
      </c>
      <c r="H2773" t="s">
        <v>22</v>
      </c>
      <c r="I2773">
        <v>305</v>
      </c>
      <c r="J2773" t="s">
        <v>2583</v>
      </c>
      <c r="K2773">
        <f t="shared" si="387"/>
        <v>305</v>
      </c>
      <c r="N2773" t="str">
        <f t="shared" si="388"/>
        <v>Coil</v>
      </c>
      <c r="O2773" t="str">
        <f t="shared" si="389"/>
        <v>BOOL</v>
      </c>
      <c r="P2773" t="str">
        <f t="shared" si="390"/>
        <v xml:space="preserve">TELECAMERA T01S </v>
      </c>
      <c r="R2773" t="str">
        <f t="shared" si="391"/>
        <v>T01S -Includi Allarmi Traffico</v>
      </c>
      <c r="U2773" t="str">
        <f t="shared" si="392"/>
        <v>Comando</v>
      </c>
      <c r="V2773" t="str">
        <f t="shared" si="393"/>
        <v>GALLERIA</v>
      </c>
      <c r="W2773" t="str">
        <f t="shared" si="394"/>
        <v>GALLERIA CASOLA</v>
      </c>
      <c r="Z2773" t="str">
        <f t="shared" si="395"/>
        <v>10.220.80.16</v>
      </c>
    </row>
    <row r="2774" spans="1:26" x14ac:dyDescent="0.25">
      <c r="A2774" t="s">
        <v>10</v>
      </c>
      <c r="B2774" t="s">
        <v>1206</v>
      </c>
      <c r="C2774" t="s">
        <v>2173</v>
      </c>
      <c r="D2774" t="s">
        <v>1619</v>
      </c>
      <c r="E2774" t="s">
        <v>2576</v>
      </c>
      <c r="F2774" t="s">
        <v>2577</v>
      </c>
      <c r="G2774" t="s">
        <v>2531</v>
      </c>
      <c r="H2774" t="s">
        <v>22</v>
      </c>
      <c r="I2774">
        <v>306</v>
      </c>
      <c r="J2774" t="s">
        <v>2584</v>
      </c>
      <c r="K2774">
        <f t="shared" si="387"/>
        <v>306</v>
      </c>
      <c r="N2774" t="str">
        <f t="shared" si="388"/>
        <v>Coil</v>
      </c>
      <c r="O2774" t="str">
        <f t="shared" si="389"/>
        <v>BOOL</v>
      </c>
      <c r="P2774" t="str">
        <f t="shared" si="390"/>
        <v xml:space="preserve">TELECAMERA T01S </v>
      </c>
      <c r="R2774" t="str">
        <f t="shared" si="391"/>
        <v>T01S -Reset Allarmi Telecamera</v>
      </c>
      <c r="U2774" t="str">
        <f t="shared" si="392"/>
        <v>Comando</v>
      </c>
      <c r="V2774" t="str">
        <f t="shared" si="393"/>
        <v>GALLERIA</v>
      </c>
      <c r="W2774" t="str">
        <f t="shared" si="394"/>
        <v>GALLERIA CASOLA</v>
      </c>
      <c r="Z2774" t="str">
        <f t="shared" si="395"/>
        <v>10.220.80.16</v>
      </c>
    </row>
    <row r="2775" spans="1:26" x14ac:dyDescent="0.25">
      <c r="A2775" t="s">
        <v>10</v>
      </c>
      <c r="B2775" t="s">
        <v>1206</v>
      </c>
      <c r="C2775" t="s">
        <v>2173</v>
      </c>
      <c r="D2775" t="s">
        <v>1619</v>
      </c>
      <c r="E2775" t="s">
        <v>2585</v>
      </c>
      <c r="F2775" t="s">
        <v>2577</v>
      </c>
      <c r="G2775" t="s">
        <v>2531</v>
      </c>
      <c r="H2775" t="s">
        <v>22</v>
      </c>
      <c r="I2775">
        <v>307</v>
      </c>
      <c r="J2775" t="s">
        <v>2586</v>
      </c>
      <c r="K2775">
        <f t="shared" si="387"/>
        <v>307</v>
      </c>
      <c r="N2775" t="str">
        <f t="shared" si="388"/>
        <v>Coil</v>
      </c>
      <c r="O2775" t="str">
        <f t="shared" si="389"/>
        <v>BOOL</v>
      </c>
      <c r="P2775" t="str">
        <f t="shared" si="390"/>
        <v xml:space="preserve">TELECAMERA T02S </v>
      </c>
      <c r="R2775" t="str">
        <f t="shared" si="391"/>
        <v>T02S -Escludi Allarmi Telecamera</v>
      </c>
      <c r="U2775" t="str">
        <f t="shared" si="392"/>
        <v>Comando</v>
      </c>
      <c r="V2775" t="str">
        <f t="shared" si="393"/>
        <v>GALLERIA</v>
      </c>
      <c r="W2775" t="str">
        <f t="shared" si="394"/>
        <v>GALLERIA CASOLA</v>
      </c>
      <c r="Z2775" t="str">
        <f t="shared" si="395"/>
        <v>10.220.80.16</v>
      </c>
    </row>
    <row r="2776" spans="1:26" x14ac:dyDescent="0.25">
      <c r="A2776" t="s">
        <v>10</v>
      </c>
      <c r="B2776" t="s">
        <v>1206</v>
      </c>
      <c r="C2776" t="s">
        <v>2173</v>
      </c>
      <c r="D2776" t="s">
        <v>1619</v>
      </c>
      <c r="E2776" t="s">
        <v>2585</v>
      </c>
      <c r="F2776" t="s">
        <v>2577</v>
      </c>
      <c r="G2776" t="s">
        <v>2531</v>
      </c>
      <c r="H2776" t="s">
        <v>22</v>
      </c>
      <c r="I2776">
        <v>308</v>
      </c>
      <c r="J2776" t="s">
        <v>2587</v>
      </c>
      <c r="K2776">
        <f t="shared" si="387"/>
        <v>308</v>
      </c>
      <c r="N2776" t="str">
        <f t="shared" si="388"/>
        <v>Coil</v>
      </c>
      <c r="O2776" t="str">
        <f t="shared" si="389"/>
        <v>BOOL</v>
      </c>
      <c r="P2776" t="str">
        <f t="shared" si="390"/>
        <v xml:space="preserve">TELECAMERA T02S </v>
      </c>
      <c r="R2776" t="str">
        <f t="shared" si="391"/>
        <v>T02S -Includi Allarmi Telecamera</v>
      </c>
      <c r="U2776" t="str">
        <f t="shared" si="392"/>
        <v>Comando</v>
      </c>
      <c r="V2776" t="str">
        <f t="shared" si="393"/>
        <v>GALLERIA</v>
      </c>
      <c r="W2776" t="str">
        <f t="shared" si="394"/>
        <v>GALLERIA CASOLA</v>
      </c>
      <c r="Z2776" t="str">
        <f t="shared" si="395"/>
        <v>10.220.80.16</v>
      </c>
    </row>
    <row r="2777" spans="1:26" x14ac:dyDescent="0.25">
      <c r="A2777" t="s">
        <v>10</v>
      </c>
      <c r="B2777" t="s">
        <v>1206</v>
      </c>
      <c r="C2777" t="s">
        <v>2173</v>
      </c>
      <c r="D2777" t="s">
        <v>1619</v>
      </c>
      <c r="E2777" t="s">
        <v>2585</v>
      </c>
      <c r="F2777" t="s">
        <v>2577</v>
      </c>
      <c r="G2777" t="s">
        <v>2531</v>
      </c>
      <c r="H2777" t="s">
        <v>22</v>
      </c>
      <c r="I2777">
        <v>309</v>
      </c>
      <c r="J2777" t="s">
        <v>2588</v>
      </c>
      <c r="K2777">
        <f t="shared" si="387"/>
        <v>309</v>
      </c>
      <c r="N2777" t="str">
        <f t="shared" si="388"/>
        <v>Coil</v>
      </c>
      <c r="O2777" t="str">
        <f t="shared" si="389"/>
        <v>BOOL</v>
      </c>
      <c r="P2777" t="str">
        <f t="shared" si="390"/>
        <v xml:space="preserve">TELECAMERA T02S </v>
      </c>
      <c r="R2777" t="str">
        <f t="shared" si="391"/>
        <v>T02S -Escludi Allarme Fumo</v>
      </c>
      <c r="U2777" t="str">
        <f t="shared" si="392"/>
        <v>Comando</v>
      </c>
      <c r="V2777" t="str">
        <f t="shared" si="393"/>
        <v>GALLERIA</v>
      </c>
      <c r="W2777" t="str">
        <f t="shared" si="394"/>
        <v>GALLERIA CASOLA</v>
      </c>
      <c r="Z2777" t="str">
        <f t="shared" si="395"/>
        <v>10.220.80.16</v>
      </c>
    </row>
    <row r="2778" spans="1:26" x14ac:dyDescent="0.25">
      <c r="A2778" t="s">
        <v>10</v>
      </c>
      <c r="B2778" t="s">
        <v>1206</v>
      </c>
      <c r="C2778" t="s">
        <v>2173</v>
      </c>
      <c r="D2778" t="s">
        <v>1619</v>
      </c>
      <c r="E2778" t="s">
        <v>2585</v>
      </c>
      <c r="F2778" t="s">
        <v>2577</v>
      </c>
      <c r="G2778" t="s">
        <v>2531</v>
      </c>
      <c r="H2778" t="s">
        <v>22</v>
      </c>
      <c r="I2778">
        <v>310</v>
      </c>
      <c r="J2778" t="s">
        <v>2589</v>
      </c>
      <c r="K2778">
        <f t="shared" si="387"/>
        <v>310</v>
      </c>
      <c r="N2778" t="str">
        <f t="shared" si="388"/>
        <v>Coil</v>
      </c>
      <c r="O2778" t="str">
        <f t="shared" si="389"/>
        <v>BOOL</v>
      </c>
      <c r="P2778" t="str">
        <f t="shared" si="390"/>
        <v xml:space="preserve">TELECAMERA T02S </v>
      </c>
      <c r="R2778" t="str">
        <f t="shared" si="391"/>
        <v>T02S -Includi Allarme Fumo</v>
      </c>
      <c r="U2778" t="str">
        <f t="shared" si="392"/>
        <v>Comando</v>
      </c>
      <c r="V2778" t="str">
        <f t="shared" si="393"/>
        <v>GALLERIA</v>
      </c>
      <c r="W2778" t="str">
        <f t="shared" si="394"/>
        <v>GALLERIA CASOLA</v>
      </c>
      <c r="Z2778" t="str">
        <f t="shared" si="395"/>
        <v>10.220.80.16</v>
      </c>
    </row>
    <row r="2779" spans="1:26" x14ac:dyDescent="0.25">
      <c r="A2779" t="s">
        <v>10</v>
      </c>
      <c r="B2779" t="s">
        <v>1206</v>
      </c>
      <c r="C2779" t="s">
        <v>2173</v>
      </c>
      <c r="D2779" t="s">
        <v>1619</v>
      </c>
      <c r="E2779" t="s">
        <v>2585</v>
      </c>
      <c r="F2779" t="s">
        <v>2577</v>
      </c>
      <c r="G2779" t="s">
        <v>2531</v>
      </c>
      <c r="H2779" t="s">
        <v>22</v>
      </c>
      <c r="I2779">
        <v>311</v>
      </c>
      <c r="J2779" t="s">
        <v>2590</v>
      </c>
      <c r="K2779">
        <f t="shared" si="387"/>
        <v>311</v>
      </c>
      <c r="N2779" t="str">
        <f t="shared" si="388"/>
        <v>Coil</v>
      </c>
      <c r="O2779" t="str">
        <f t="shared" si="389"/>
        <v>BOOL</v>
      </c>
      <c r="P2779" t="str">
        <f t="shared" si="390"/>
        <v xml:space="preserve">TELECAMERA T02S </v>
      </c>
      <c r="R2779" t="str">
        <f t="shared" si="391"/>
        <v>T02S -EScludi Allarmi Traffico</v>
      </c>
      <c r="U2779" t="str">
        <f t="shared" si="392"/>
        <v>Comando</v>
      </c>
      <c r="V2779" t="str">
        <f t="shared" si="393"/>
        <v>GALLERIA</v>
      </c>
      <c r="W2779" t="str">
        <f t="shared" si="394"/>
        <v>GALLERIA CASOLA</v>
      </c>
      <c r="Z2779" t="str">
        <f t="shared" si="395"/>
        <v>10.220.80.16</v>
      </c>
    </row>
    <row r="2780" spans="1:26" x14ac:dyDescent="0.25">
      <c r="A2780" t="s">
        <v>10</v>
      </c>
      <c r="B2780" t="s">
        <v>1206</v>
      </c>
      <c r="C2780" t="s">
        <v>2173</v>
      </c>
      <c r="D2780" t="s">
        <v>1619</v>
      </c>
      <c r="E2780" t="s">
        <v>2585</v>
      </c>
      <c r="F2780" t="s">
        <v>2577</v>
      </c>
      <c r="G2780" t="s">
        <v>2531</v>
      </c>
      <c r="H2780" t="s">
        <v>22</v>
      </c>
      <c r="I2780">
        <v>312</v>
      </c>
      <c r="J2780" t="s">
        <v>2591</v>
      </c>
      <c r="K2780">
        <f t="shared" si="387"/>
        <v>312</v>
      </c>
      <c r="N2780" t="str">
        <f t="shared" si="388"/>
        <v>Coil</v>
      </c>
      <c r="O2780" t="str">
        <f t="shared" si="389"/>
        <v>BOOL</v>
      </c>
      <c r="P2780" t="str">
        <f t="shared" si="390"/>
        <v xml:space="preserve">TELECAMERA T02S </v>
      </c>
      <c r="R2780" t="str">
        <f t="shared" si="391"/>
        <v>T02S -Includi Allarmi Traffico</v>
      </c>
      <c r="U2780" t="str">
        <f t="shared" si="392"/>
        <v>Comando</v>
      </c>
      <c r="V2780" t="str">
        <f t="shared" si="393"/>
        <v>GALLERIA</v>
      </c>
      <c r="W2780" t="str">
        <f t="shared" si="394"/>
        <v>GALLERIA CASOLA</v>
      </c>
      <c r="Z2780" t="str">
        <f t="shared" si="395"/>
        <v>10.220.80.16</v>
      </c>
    </row>
    <row r="2781" spans="1:26" x14ac:dyDescent="0.25">
      <c r="A2781" t="s">
        <v>10</v>
      </c>
      <c r="B2781" t="s">
        <v>1206</v>
      </c>
      <c r="C2781" t="s">
        <v>2173</v>
      </c>
      <c r="D2781" t="s">
        <v>1619</v>
      </c>
      <c r="E2781" t="s">
        <v>2585</v>
      </c>
      <c r="F2781" t="s">
        <v>2577</v>
      </c>
      <c r="G2781" t="s">
        <v>2531</v>
      </c>
      <c r="H2781" t="s">
        <v>22</v>
      </c>
      <c r="I2781">
        <v>313</v>
      </c>
      <c r="J2781" t="s">
        <v>2592</v>
      </c>
      <c r="K2781">
        <f t="shared" si="387"/>
        <v>313</v>
      </c>
      <c r="N2781" t="str">
        <f t="shared" si="388"/>
        <v>Coil</v>
      </c>
      <c r="O2781" t="str">
        <f t="shared" si="389"/>
        <v>BOOL</v>
      </c>
      <c r="P2781" t="str">
        <f t="shared" si="390"/>
        <v xml:space="preserve">TELECAMERA T02S </v>
      </c>
      <c r="R2781" t="str">
        <f t="shared" si="391"/>
        <v>T02S -Reset Allarmi Telecamera</v>
      </c>
      <c r="U2781" t="str">
        <f t="shared" si="392"/>
        <v>Comando</v>
      </c>
      <c r="V2781" t="str">
        <f t="shared" si="393"/>
        <v>GALLERIA</v>
      </c>
      <c r="W2781" t="str">
        <f t="shared" si="394"/>
        <v>GALLERIA CASOLA</v>
      </c>
      <c r="Z2781" t="str">
        <f t="shared" si="395"/>
        <v>10.220.80.16</v>
      </c>
    </row>
    <row r="2782" spans="1:26" x14ac:dyDescent="0.25">
      <c r="A2782" t="s">
        <v>10</v>
      </c>
      <c r="B2782" t="s">
        <v>1206</v>
      </c>
      <c r="C2782" t="s">
        <v>2173</v>
      </c>
      <c r="D2782" t="s">
        <v>1619</v>
      </c>
      <c r="E2782" t="s">
        <v>3591</v>
      </c>
      <c r="F2782" t="s">
        <v>2577</v>
      </c>
      <c r="G2782" t="s">
        <v>2531</v>
      </c>
      <c r="H2782" t="s">
        <v>22</v>
      </c>
      <c r="I2782">
        <v>314</v>
      </c>
      <c r="J2782" t="s">
        <v>2594</v>
      </c>
      <c r="K2782">
        <f t="shared" si="387"/>
        <v>314</v>
      </c>
      <c r="N2782" t="str">
        <f t="shared" si="388"/>
        <v>Coil</v>
      </c>
      <c r="O2782" t="str">
        <f t="shared" si="389"/>
        <v>BOOL</v>
      </c>
      <c r="P2782" t="str">
        <f t="shared" si="390"/>
        <v xml:space="preserve">TELECAMERA T03S </v>
      </c>
      <c r="R2782" t="str">
        <f t="shared" si="391"/>
        <v>T05S -Escludi Allarmi Telecamera</v>
      </c>
      <c r="U2782" t="str">
        <f t="shared" si="392"/>
        <v>Comando</v>
      </c>
      <c r="V2782" t="str">
        <f t="shared" si="393"/>
        <v>GALLERIA</v>
      </c>
      <c r="W2782" t="str">
        <f t="shared" si="394"/>
        <v>GALLERIA CASOLA</v>
      </c>
      <c r="Z2782" t="str">
        <f t="shared" si="395"/>
        <v>10.220.80.16</v>
      </c>
    </row>
    <row r="2783" spans="1:26" x14ac:dyDescent="0.25">
      <c r="A2783" t="s">
        <v>10</v>
      </c>
      <c r="B2783" t="s">
        <v>1206</v>
      </c>
      <c r="C2783" t="s">
        <v>2173</v>
      </c>
      <c r="D2783" t="s">
        <v>1619</v>
      </c>
      <c r="E2783" t="s">
        <v>3591</v>
      </c>
      <c r="F2783" t="s">
        <v>2577</v>
      </c>
      <c r="G2783" t="s">
        <v>2531</v>
      </c>
      <c r="H2783" t="s">
        <v>22</v>
      </c>
      <c r="I2783">
        <v>315</v>
      </c>
      <c r="J2783" t="s">
        <v>2595</v>
      </c>
      <c r="K2783">
        <f t="shared" si="387"/>
        <v>315</v>
      </c>
      <c r="N2783" t="str">
        <f t="shared" si="388"/>
        <v>Coil</v>
      </c>
      <c r="O2783" t="str">
        <f t="shared" si="389"/>
        <v>BOOL</v>
      </c>
      <c r="P2783" t="str">
        <f t="shared" si="390"/>
        <v xml:space="preserve">TELECAMERA T03S </v>
      </c>
      <c r="R2783" t="str">
        <f t="shared" si="391"/>
        <v>T05S -Includi Allarmi Telecamera</v>
      </c>
      <c r="U2783" t="str">
        <f t="shared" si="392"/>
        <v>Comando</v>
      </c>
      <c r="V2783" t="str">
        <f t="shared" si="393"/>
        <v>GALLERIA</v>
      </c>
      <c r="W2783" t="str">
        <f t="shared" si="394"/>
        <v>GALLERIA CASOLA</v>
      </c>
      <c r="Z2783" t="str">
        <f t="shared" si="395"/>
        <v>10.220.80.16</v>
      </c>
    </row>
    <row r="2784" spans="1:26" x14ac:dyDescent="0.25">
      <c r="A2784" t="s">
        <v>10</v>
      </c>
      <c r="B2784" t="s">
        <v>1206</v>
      </c>
      <c r="C2784" t="s">
        <v>2173</v>
      </c>
      <c r="D2784" t="s">
        <v>1619</v>
      </c>
      <c r="E2784" t="s">
        <v>3591</v>
      </c>
      <c r="F2784" t="s">
        <v>2577</v>
      </c>
      <c r="G2784" t="s">
        <v>2531</v>
      </c>
      <c r="H2784" t="s">
        <v>22</v>
      </c>
      <c r="I2784">
        <v>316</v>
      </c>
      <c r="J2784" t="s">
        <v>2596</v>
      </c>
      <c r="K2784">
        <f t="shared" si="387"/>
        <v>316</v>
      </c>
      <c r="N2784" t="str">
        <f t="shared" si="388"/>
        <v>Coil</v>
      </c>
      <c r="O2784" t="str">
        <f t="shared" si="389"/>
        <v>BOOL</v>
      </c>
      <c r="P2784" t="str">
        <f t="shared" si="390"/>
        <v xml:space="preserve">TELECAMERA T03S </v>
      </c>
      <c r="R2784" t="str">
        <f t="shared" si="391"/>
        <v>T05S -Escludi Allarme Fumo</v>
      </c>
      <c r="U2784" t="str">
        <f t="shared" si="392"/>
        <v>Comando</v>
      </c>
      <c r="V2784" t="str">
        <f t="shared" si="393"/>
        <v>GALLERIA</v>
      </c>
      <c r="W2784" t="str">
        <f t="shared" si="394"/>
        <v>GALLERIA CASOLA</v>
      </c>
      <c r="Z2784" t="str">
        <f t="shared" si="395"/>
        <v>10.220.80.16</v>
      </c>
    </row>
    <row r="2785" spans="1:26" x14ac:dyDescent="0.25">
      <c r="A2785" t="s">
        <v>10</v>
      </c>
      <c r="B2785" t="s">
        <v>1206</v>
      </c>
      <c r="C2785" t="s">
        <v>2173</v>
      </c>
      <c r="D2785" t="s">
        <v>1619</v>
      </c>
      <c r="E2785" t="s">
        <v>3591</v>
      </c>
      <c r="F2785" t="s">
        <v>2577</v>
      </c>
      <c r="G2785" t="s">
        <v>2531</v>
      </c>
      <c r="H2785" t="s">
        <v>22</v>
      </c>
      <c r="I2785">
        <v>317</v>
      </c>
      <c r="J2785" t="s">
        <v>2597</v>
      </c>
      <c r="K2785">
        <f t="shared" si="387"/>
        <v>317</v>
      </c>
      <c r="N2785" t="str">
        <f t="shared" si="388"/>
        <v>Coil</v>
      </c>
      <c r="O2785" t="str">
        <f t="shared" si="389"/>
        <v>BOOL</v>
      </c>
      <c r="P2785" t="str">
        <f t="shared" si="390"/>
        <v xml:space="preserve">TELECAMERA T03S </v>
      </c>
      <c r="R2785" t="str">
        <f t="shared" si="391"/>
        <v>T05S -Includi Allarme Fumo</v>
      </c>
      <c r="U2785" t="str">
        <f t="shared" si="392"/>
        <v>Comando</v>
      </c>
      <c r="V2785" t="str">
        <f t="shared" si="393"/>
        <v>GALLERIA</v>
      </c>
      <c r="W2785" t="str">
        <f t="shared" si="394"/>
        <v>GALLERIA CASOLA</v>
      </c>
      <c r="Z2785" t="str">
        <f t="shared" si="395"/>
        <v>10.220.80.16</v>
      </c>
    </row>
    <row r="2786" spans="1:26" x14ac:dyDescent="0.25">
      <c r="A2786" t="s">
        <v>10</v>
      </c>
      <c r="B2786" t="s">
        <v>1206</v>
      </c>
      <c r="C2786" t="s">
        <v>2173</v>
      </c>
      <c r="D2786" t="s">
        <v>1619</v>
      </c>
      <c r="E2786" t="s">
        <v>3591</v>
      </c>
      <c r="F2786" t="s">
        <v>2577</v>
      </c>
      <c r="G2786" t="s">
        <v>2531</v>
      </c>
      <c r="H2786" t="s">
        <v>22</v>
      </c>
      <c r="I2786">
        <v>318</v>
      </c>
      <c r="J2786" t="s">
        <v>2598</v>
      </c>
      <c r="K2786">
        <f t="shared" si="387"/>
        <v>318</v>
      </c>
      <c r="N2786" t="str">
        <f t="shared" si="388"/>
        <v>Coil</v>
      </c>
      <c r="O2786" t="str">
        <f t="shared" si="389"/>
        <v>BOOL</v>
      </c>
      <c r="P2786" t="str">
        <f t="shared" si="390"/>
        <v xml:space="preserve">TELECAMERA T03S </v>
      </c>
      <c r="R2786" t="str">
        <f t="shared" si="391"/>
        <v>T05S -EScludi Allarmi Traffico</v>
      </c>
      <c r="U2786" t="str">
        <f t="shared" si="392"/>
        <v>Comando</v>
      </c>
      <c r="V2786" t="str">
        <f t="shared" si="393"/>
        <v>GALLERIA</v>
      </c>
      <c r="W2786" t="str">
        <f t="shared" si="394"/>
        <v>GALLERIA CASOLA</v>
      </c>
      <c r="Z2786" t="str">
        <f t="shared" si="395"/>
        <v>10.220.80.16</v>
      </c>
    </row>
    <row r="2787" spans="1:26" x14ac:dyDescent="0.25">
      <c r="A2787" t="s">
        <v>10</v>
      </c>
      <c r="B2787" t="s">
        <v>1206</v>
      </c>
      <c r="C2787" t="s">
        <v>2173</v>
      </c>
      <c r="D2787" t="s">
        <v>1619</v>
      </c>
      <c r="E2787" t="s">
        <v>3591</v>
      </c>
      <c r="F2787" t="s">
        <v>2577</v>
      </c>
      <c r="G2787" t="s">
        <v>2531</v>
      </c>
      <c r="H2787" t="s">
        <v>22</v>
      </c>
      <c r="I2787">
        <v>319</v>
      </c>
      <c r="J2787" t="s">
        <v>2599</v>
      </c>
      <c r="K2787">
        <f t="shared" si="387"/>
        <v>319</v>
      </c>
      <c r="N2787" t="str">
        <f t="shared" si="388"/>
        <v>Coil</v>
      </c>
      <c r="O2787" t="str">
        <f t="shared" si="389"/>
        <v>BOOL</v>
      </c>
      <c r="P2787" t="str">
        <f t="shared" si="390"/>
        <v xml:space="preserve">TELECAMERA T03S </v>
      </c>
      <c r="R2787" t="str">
        <f t="shared" si="391"/>
        <v>T05S -Includi Allarmi Traffico</v>
      </c>
      <c r="U2787" t="str">
        <f t="shared" si="392"/>
        <v>Comando</v>
      </c>
      <c r="V2787" t="str">
        <f t="shared" si="393"/>
        <v>GALLERIA</v>
      </c>
      <c r="W2787" t="str">
        <f t="shared" si="394"/>
        <v>GALLERIA CASOLA</v>
      </c>
      <c r="Z2787" t="str">
        <f t="shared" si="395"/>
        <v>10.220.80.16</v>
      </c>
    </row>
    <row r="2788" spans="1:26" x14ac:dyDescent="0.25">
      <c r="A2788" t="s">
        <v>10</v>
      </c>
      <c r="B2788" t="s">
        <v>1206</v>
      </c>
      <c r="C2788" t="s">
        <v>2173</v>
      </c>
      <c r="D2788" t="s">
        <v>1619</v>
      </c>
      <c r="E2788" t="s">
        <v>3591</v>
      </c>
      <c r="F2788" t="s">
        <v>2577</v>
      </c>
      <c r="G2788" t="s">
        <v>2531</v>
      </c>
      <c r="H2788" t="s">
        <v>22</v>
      </c>
      <c r="I2788">
        <v>320</v>
      </c>
      <c r="J2788" t="s">
        <v>2600</v>
      </c>
      <c r="K2788">
        <f t="shared" si="387"/>
        <v>320</v>
      </c>
      <c r="N2788" t="str">
        <f t="shared" si="388"/>
        <v>Coil</v>
      </c>
      <c r="O2788" t="str">
        <f t="shared" si="389"/>
        <v>BOOL</v>
      </c>
      <c r="P2788" t="str">
        <f t="shared" si="390"/>
        <v xml:space="preserve">TELECAMERA T03S </v>
      </c>
      <c r="R2788" t="str">
        <f t="shared" si="391"/>
        <v>T05S -Reset Allarmi Telecamera</v>
      </c>
      <c r="U2788" t="str">
        <f t="shared" si="392"/>
        <v>Comando</v>
      </c>
      <c r="V2788" t="str">
        <f t="shared" si="393"/>
        <v>GALLERIA</v>
      </c>
      <c r="W2788" t="str">
        <f t="shared" si="394"/>
        <v>GALLERIA CASOLA</v>
      </c>
      <c r="Z2788" t="str">
        <f t="shared" si="395"/>
        <v>10.220.80.16</v>
      </c>
    </row>
    <row r="2789" spans="1:26" x14ac:dyDescent="0.25">
      <c r="A2789" t="s">
        <v>10</v>
      </c>
      <c r="B2789" t="s">
        <v>1206</v>
      </c>
      <c r="C2789" t="s">
        <v>2173</v>
      </c>
      <c r="D2789" t="s">
        <v>1619</v>
      </c>
      <c r="E2789" t="s">
        <v>2601</v>
      </c>
      <c r="F2789" t="s">
        <v>2577</v>
      </c>
      <c r="G2789" t="s">
        <v>2531</v>
      </c>
      <c r="H2789" t="s">
        <v>22</v>
      </c>
      <c r="I2789">
        <v>321</v>
      </c>
      <c r="J2789" t="s">
        <v>2602</v>
      </c>
      <c r="K2789">
        <f t="shared" si="387"/>
        <v>321</v>
      </c>
      <c r="N2789" t="str">
        <f t="shared" si="388"/>
        <v>Coil</v>
      </c>
      <c r="O2789" t="str">
        <f t="shared" si="389"/>
        <v>BOOL</v>
      </c>
      <c r="P2789" t="str">
        <f t="shared" si="390"/>
        <v xml:space="preserve">TELECAMERA T06S </v>
      </c>
      <c r="R2789" t="str">
        <f t="shared" si="391"/>
        <v>T06S -Escludi Allarmi Telecamera</v>
      </c>
      <c r="U2789" t="str">
        <f t="shared" si="392"/>
        <v>Comando</v>
      </c>
      <c r="V2789" t="str">
        <f t="shared" si="393"/>
        <v>GALLERIA</v>
      </c>
      <c r="W2789" t="str">
        <f t="shared" si="394"/>
        <v>GALLERIA CASOLA</v>
      </c>
      <c r="Z2789" t="str">
        <f t="shared" si="395"/>
        <v>10.220.80.16</v>
      </c>
    </row>
    <row r="2790" spans="1:26" x14ac:dyDescent="0.25">
      <c r="A2790" t="s">
        <v>10</v>
      </c>
      <c r="B2790" t="s">
        <v>1206</v>
      </c>
      <c r="C2790" t="s">
        <v>2173</v>
      </c>
      <c r="D2790" t="s">
        <v>1619</v>
      </c>
      <c r="E2790" t="s">
        <v>2601</v>
      </c>
      <c r="F2790" t="s">
        <v>2577</v>
      </c>
      <c r="G2790" t="s">
        <v>2531</v>
      </c>
      <c r="H2790" t="s">
        <v>22</v>
      </c>
      <c r="I2790">
        <v>322</v>
      </c>
      <c r="J2790" t="s">
        <v>2603</v>
      </c>
      <c r="K2790">
        <f t="shared" si="387"/>
        <v>322</v>
      </c>
      <c r="N2790" t="str">
        <f t="shared" si="388"/>
        <v>Coil</v>
      </c>
      <c r="O2790" t="str">
        <f t="shared" si="389"/>
        <v>BOOL</v>
      </c>
      <c r="P2790" t="str">
        <f t="shared" si="390"/>
        <v xml:space="preserve">TELECAMERA T06S </v>
      </c>
      <c r="R2790" t="str">
        <f t="shared" si="391"/>
        <v>T06S -Includi Allarmi Telecamera</v>
      </c>
      <c r="U2790" t="str">
        <f t="shared" si="392"/>
        <v>Comando</v>
      </c>
      <c r="V2790" t="str">
        <f t="shared" si="393"/>
        <v>GALLERIA</v>
      </c>
      <c r="W2790" t="str">
        <f t="shared" si="394"/>
        <v>GALLERIA CASOLA</v>
      </c>
      <c r="Z2790" t="str">
        <f t="shared" si="395"/>
        <v>10.220.80.16</v>
      </c>
    </row>
    <row r="2791" spans="1:26" x14ac:dyDescent="0.25">
      <c r="A2791" t="s">
        <v>10</v>
      </c>
      <c r="B2791" t="s">
        <v>1206</v>
      </c>
      <c r="C2791" t="s">
        <v>2173</v>
      </c>
      <c r="D2791" t="s">
        <v>1619</v>
      </c>
      <c r="E2791" t="s">
        <v>2601</v>
      </c>
      <c r="F2791" t="s">
        <v>2577</v>
      </c>
      <c r="G2791" t="s">
        <v>2531</v>
      </c>
      <c r="H2791" t="s">
        <v>22</v>
      </c>
      <c r="I2791">
        <v>323</v>
      </c>
      <c r="J2791" t="s">
        <v>2604</v>
      </c>
      <c r="K2791">
        <f t="shared" si="387"/>
        <v>323</v>
      </c>
      <c r="N2791" t="str">
        <f t="shared" si="388"/>
        <v>Coil</v>
      </c>
      <c r="O2791" t="str">
        <f t="shared" si="389"/>
        <v>BOOL</v>
      </c>
      <c r="P2791" t="str">
        <f t="shared" si="390"/>
        <v xml:space="preserve">TELECAMERA T06S </v>
      </c>
      <c r="R2791" t="str">
        <f t="shared" si="391"/>
        <v>T06S -Escludi Allarme Fumo</v>
      </c>
      <c r="U2791" t="str">
        <f t="shared" si="392"/>
        <v>Comando</v>
      </c>
      <c r="V2791" t="str">
        <f t="shared" si="393"/>
        <v>GALLERIA</v>
      </c>
      <c r="W2791" t="str">
        <f t="shared" si="394"/>
        <v>GALLERIA CASOLA</v>
      </c>
      <c r="Z2791" t="str">
        <f t="shared" si="395"/>
        <v>10.220.80.16</v>
      </c>
    </row>
    <row r="2792" spans="1:26" x14ac:dyDescent="0.25">
      <c r="A2792" t="s">
        <v>10</v>
      </c>
      <c r="B2792" t="s">
        <v>1206</v>
      </c>
      <c r="C2792" t="s">
        <v>2173</v>
      </c>
      <c r="D2792" t="s">
        <v>1619</v>
      </c>
      <c r="E2792" t="s">
        <v>2601</v>
      </c>
      <c r="F2792" t="s">
        <v>2577</v>
      </c>
      <c r="G2792" t="s">
        <v>2531</v>
      </c>
      <c r="H2792" t="s">
        <v>22</v>
      </c>
      <c r="I2792">
        <v>324</v>
      </c>
      <c r="J2792" t="s">
        <v>2605</v>
      </c>
      <c r="K2792">
        <f t="shared" si="387"/>
        <v>324</v>
      </c>
      <c r="N2792" t="str">
        <f t="shared" si="388"/>
        <v>Coil</v>
      </c>
      <c r="O2792" t="str">
        <f t="shared" si="389"/>
        <v>BOOL</v>
      </c>
      <c r="P2792" t="str">
        <f t="shared" si="390"/>
        <v xml:space="preserve">TELECAMERA T06S </v>
      </c>
      <c r="R2792" t="str">
        <f t="shared" si="391"/>
        <v>T06S -Includi Allarme Fumo</v>
      </c>
      <c r="U2792" t="str">
        <f t="shared" si="392"/>
        <v>Comando</v>
      </c>
      <c r="V2792" t="str">
        <f t="shared" si="393"/>
        <v>GALLERIA</v>
      </c>
      <c r="W2792" t="str">
        <f t="shared" si="394"/>
        <v>GALLERIA CASOLA</v>
      </c>
      <c r="Z2792" t="str">
        <f t="shared" si="395"/>
        <v>10.220.80.16</v>
      </c>
    </row>
    <row r="2793" spans="1:26" x14ac:dyDescent="0.25">
      <c r="A2793" t="s">
        <v>10</v>
      </c>
      <c r="B2793" t="s">
        <v>1206</v>
      </c>
      <c r="C2793" t="s">
        <v>2173</v>
      </c>
      <c r="D2793" t="s">
        <v>1619</v>
      </c>
      <c r="E2793" t="s">
        <v>2601</v>
      </c>
      <c r="F2793" t="s">
        <v>2577</v>
      </c>
      <c r="G2793" t="s">
        <v>2531</v>
      </c>
      <c r="H2793" t="s">
        <v>22</v>
      </c>
      <c r="I2793">
        <v>325</v>
      </c>
      <c r="J2793" t="s">
        <v>2606</v>
      </c>
      <c r="K2793">
        <f t="shared" si="387"/>
        <v>325</v>
      </c>
      <c r="N2793" t="str">
        <f t="shared" si="388"/>
        <v>Coil</v>
      </c>
      <c r="O2793" t="str">
        <f t="shared" si="389"/>
        <v>BOOL</v>
      </c>
      <c r="P2793" t="str">
        <f t="shared" si="390"/>
        <v xml:space="preserve">TELECAMERA T06S </v>
      </c>
      <c r="R2793" t="str">
        <f t="shared" si="391"/>
        <v>T06S -EScludi Allarmi Traffico</v>
      </c>
      <c r="U2793" t="str">
        <f t="shared" si="392"/>
        <v>Comando</v>
      </c>
      <c r="V2793" t="str">
        <f t="shared" si="393"/>
        <v>GALLERIA</v>
      </c>
      <c r="W2793" t="str">
        <f t="shared" si="394"/>
        <v>GALLERIA CASOLA</v>
      </c>
      <c r="Z2793" t="str">
        <f t="shared" si="395"/>
        <v>10.220.80.16</v>
      </c>
    </row>
    <row r="2794" spans="1:26" x14ac:dyDescent="0.25">
      <c r="A2794" t="s">
        <v>10</v>
      </c>
      <c r="B2794" t="s">
        <v>1206</v>
      </c>
      <c r="C2794" t="s">
        <v>2173</v>
      </c>
      <c r="D2794" t="s">
        <v>1619</v>
      </c>
      <c r="E2794" t="s">
        <v>2601</v>
      </c>
      <c r="F2794" t="s">
        <v>2577</v>
      </c>
      <c r="G2794" t="s">
        <v>2531</v>
      </c>
      <c r="H2794" t="s">
        <v>22</v>
      </c>
      <c r="I2794">
        <v>326</v>
      </c>
      <c r="J2794" t="s">
        <v>2607</v>
      </c>
      <c r="K2794">
        <f t="shared" si="387"/>
        <v>326</v>
      </c>
      <c r="N2794" t="str">
        <f t="shared" si="388"/>
        <v>Coil</v>
      </c>
      <c r="O2794" t="str">
        <f t="shared" si="389"/>
        <v>BOOL</v>
      </c>
      <c r="P2794" t="str">
        <f t="shared" si="390"/>
        <v xml:space="preserve">TELECAMERA T06S </v>
      </c>
      <c r="R2794" t="str">
        <f t="shared" si="391"/>
        <v>T06S -Includi Allarmi Traffico</v>
      </c>
      <c r="U2794" t="str">
        <f t="shared" si="392"/>
        <v>Comando</v>
      </c>
      <c r="V2794" t="str">
        <f t="shared" si="393"/>
        <v>GALLERIA</v>
      </c>
      <c r="W2794" t="str">
        <f t="shared" si="394"/>
        <v>GALLERIA CASOLA</v>
      </c>
      <c r="Z2794" t="str">
        <f t="shared" si="395"/>
        <v>10.220.80.16</v>
      </c>
    </row>
    <row r="2795" spans="1:26" x14ac:dyDescent="0.25">
      <c r="A2795" t="s">
        <v>10</v>
      </c>
      <c r="B2795" t="s">
        <v>1206</v>
      </c>
      <c r="C2795" t="s">
        <v>2173</v>
      </c>
      <c r="D2795" t="s">
        <v>1619</v>
      </c>
      <c r="E2795" t="s">
        <v>2601</v>
      </c>
      <c r="F2795" t="s">
        <v>2577</v>
      </c>
      <c r="G2795" t="s">
        <v>2531</v>
      </c>
      <c r="H2795" t="s">
        <v>22</v>
      </c>
      <c r="I2795">
        <v>327</v>
      </c>
      <c r="J2795" t="s">
        <v>2608</v>
      </c>
      <c r="K2795">
        <f t="shared" si="387"/>
        <v>327</v>
      </c>
      <c r="N2795" t="str">
        <f t="shared" si="388"/>
        <v>Coil</v>
      </c>
      <c r="O2795" t="str">
        <f t="shared" si="389"/>
        <v>BOOL</v>
      </c>
      <c r="P2795" t="str">
        <f t="shared" si="390"/>
        <v xml:space="preserve">TELECAMERA T06S </v>
      </c>
      <c r="R2795" t="str">
        <f t="shared" si="391"/>
        <v>T06S -Reset Allarmi Telecamera</v>
      </c>
      <c r="U2795" t="str">
        <f t="shared" si="392"/>
        <v>Comando</v>
      </c>
      <c r="V2795" t="str">
        <f t="shared" si="393"/>
        <v>GALLERIA</v>
      </c>
      <c r="W2795" t="str">
        <f t="shared" si="394"/>
        <v>GALLERIA CASOLA</v>
      </c>
      <c r="Z2795" t="str">
        <f t="shared" si="395"/>
        <v>10.220.80.16</v>
      </c>
    </row>
    <row r="2796" spans="1:26" x14ac:dyDescent="0.25">
      <c r="A2796" t="s">
        <v>10</v>
      </c>
      <c r="B2796" t="s">
        <v>1206</v>
      </c>
      <c r="C2796" t="s">
        <v>2173</v>
      </c>
      <c r="D2796" t="s">
        <v>1619</v>
      </c>
      <c r="E2796" t="s">
        <v>3592</v>
      </c>
      <c r="F2796" t="s">
        <v>2577</v>
      </c>
      <c r="G2796" t="s">
        <v>2531</v>
      </c>
      <c r="H2796" t="s">
        <v>22</v>
      </c>
      <c r="I2796">
        <v>328</v>
      </c>
      <c r="J2796" t="s">
        <v>2610</v>
      </c>
      <c r="K2796">
        <f t="shared" si="387"/>
        <v>328</v>
      </c>
      <c r="N2796" t="str">
        <f t="shared" si="388"/>
        <v>Coil</v>
      </c>
      <c r="O2796" t="str">
        <f t="shared" si="389"/>
        <v>BOOL</v>
      </c>
      <c r="P2796" t="str">
        <f t="shared" si="390"/>
        <v xml:space="preserve">TELECAMERA T09S </v>
      </c>
      <c r="R2796" t="str">
        <f t="shared" si="391"/>
        <v>T07S -Escludi Allarmi Telecamera</v>
      </c>
      <c r="U2796" t="str">
        <f t="shared" si="392"/>
        <v>Comando</v>
      </c>
      <c r="V2796" t="str">
        <f t="shared" si="393"/>
        <v>GALLERIA</v>
      </c>
      <c r="W2796" t="str">
        <f t="shared" si="394"/>
        <v>GALLERIA CASOLA</v>
      </c>
      <c r="Z2796" t="str">
        <f t="shared" si="395"/>
        <v>10.220.80.16</v>
      </c>
    </row>
    <row r="2797" spans="1:26" x14ac:dyDescent="0.25">
      <c r="A2797" t="s">
        <v>10</v>
      </c>
      <c r="B2797" t="s">
        <v>1206</v>
      </c>
      <c r="C2797" t="s">
        <v>2173</v>
      </c>
      <c r="D2797" t="s">
        <v>1619</v>
      </c>
      <c r="E2797" t="s">
        <v>3592</v>
      </c>
      <c r="F2797" t="s">
        <v>2577</v>
      </c>
      <c r="G2797" t="s">
        <v>2531</v>
      </c>
      <c r="H2797" t="s">
        <v>22</v>
      </c>
      <c r="I2797">
        <v>329</v>
      </c>
      <c r="J2797" t="s">
        <v>2611</v>
      </c>
      <c r="K2797">
        <f t="shared" si="387"/>
        <v>329</v>
      </c>
      <c r="N2797" t="str">
        <f t="shared" si="388"/>
        <v>Coil</v>
      </c>
      <c r="O2797" t="str">
        <f t="shared" si="389"/>
        <v>BOOL</v>
      </c>
      <c r="P2797" t="str">
        <f t="shared" si="390"/>
        <v xml:space="preserve">TELECAMERA T09S </v>
      </c>
      <c r="R2797" t="str">
        <f t="shared" si="391"/>
        <v>T07S -Includi Allarmi Telecamera</v>
      </c>
      <c r="U2797" t="str">
        <f t="shared" si="392"/>
        <v>Comando</v>
      </c>
      <c r="V2797" t="str">
        <f t="shared" si="393"/>
        <v>GALLERIA</v>
      </c>
      <c r="W2797" t="str">
        <f t="shared" si="394"/>
        <v>GALLERIA CASOLA</v>
      </c>
      <c r="Z2797" t="str">
        <f t="shared" si="395"/>
        <v>10.220.80.16</v>
      </c>
    </row>
    <row r="2798" spans="1:26" x14ac:dyDescent="0.25">
      <c r="A2798" t="s">
        <v>10</v>
      </c>
      <c r="B2798" t="s">
        <v>1206</v>
      </c>
      <c r="C2798" t="s">
        <v>2173</v>
      </c>
      <c r="D2798" t="s">
        <v>1619</v>
      </c>
      <c r="E2798" t="s">
        <v>3592</v>
      </c>
      <c r="F2798" t="s">
        <v>2577</v>
      </c>
      <c r="G2798" t="s">
        <v>2531</v>
      </c>
      <c r="H2798" t="s">
        <v>22</v>
      </c>
      <c r="I2798">
        <v>330</v>
      </c>
      <c r="J2798" t="s">
        <v>2612</v>
      </c>
      <c r="K2798">
        <f t="shared" si="387"/>
        <v>330</v>
      </c>
      <c r="N2798" t="str">
        <f t="shared" si="388"/>
        <v>Coil</v>
      </c>
      <c r="O2798" t="str">
        <f t="shared" si="389"/>
        <v>BOOL</v>
      </c>
      <c r="P2798" t="str">
        <f t="shared" si="390"/>
        <v xml:space="preserve">TELECAMERA T09S </v>
      </c>
      <c r="R2798" t="str">
        <f t="shared" si="391"/>
        <v>T07S -Escludi Allarme Fumo</v>
      </c>
      <c r="U2798" t="str">
        <f t="shared" si="392"/>
        <v>Comando</v>
      </c>
      <c r="V2798" t="str">
        <f t="shared" si="393"/>
        <v>GALLERIA</v>
      </c>
      <c r="W2798" t="str">
        <f t="shared" si="394"/>
        <v>GALLERIA CASOLA</v>
      </c>
      <c r="Z2798" t="str">
        <f t="shared" si="395"/>
        <v>10.220.80.16</v>
      </c>
    </row>
    <row r="2799" spans="1:26" x14ac:dyDescent="0.25">
      <c r="A2799" t="s">
        <v>10</v>
      </c>
      <c r="B2799" t="s">
        <v>1206</v>
      </c>
      <c r="C2799" t="s">
        <v>2173</v>
      </c>
      <c r="D2799" t="s">
        <v>1619</v>
      </c>
      <c r="E2799" t="s">
        <v>3592</v>
      </c>
      <c r="F2799" t="s">
        <v>2577</v>
      </c>
      <c r="G2799" t="s">
        <v>2531</v>
      </c>
      <c r="H2799" t="s">
        <v>22</v>
      </c>
      <c r="I2799">
        <v>331</v>
      </c>
      <c r="J2799" t="s">
        <v>2613</v>
      </c>
      <c r="K2799">
        <f t="shared" si="387"/>
        <v>331</v>
      </c>
      <c r="N2799" t="str">
        <f t="shared" si="388"/>
        <v>Coil</v>
      </c>
      <c r="O2799" t="str">
        <f t="shared" si="389"/>
        <v>BOOL</v>
      </c>
      <c r="P2799" t="str">
        <f t="shared" si="390"/>
        <v xml:space="preserve">TELECAMERA T09S </v>
      </c>
      <c r="R2799" t="str">
        <f t="shared" si="391"/>
        <v>T07S -Includi Allarme Fumo</v>
      </c>
      <c r="U2799" t="str">
        <f t="shared" si="392"/>
        <v>Comando</v>
      </c>
      <c r="V2799" t="str">
        <f t="shared" si="393"/>
        <v>GALLERIA</v>
      </c>
      <c r="W2799" t="str">
        <f t="shared" si="394"/>
        <v>GALLERIA CASOLA</v>
      </c>
      <c r="Z2799" t="str">
        <f t="shared" si="395"/>
        <v>10.220.80.16</v>
      </c>
    </row>
    <row r="2800" spans="1:26" x14ac:dyDescent="0.25">
      <c r="A2800" t="s">
        <v>10</v>
      </c>
      <c r="B2800" t="s">
        <v>1206</v>
      </c>
      <c r="C2800" t="s">
        <v>2173</v>
      </c>
      <c r="D2800" t="s">
        <v>1619</v>
      </c>
      <c r="E2800" t="s">
        <v>3592</v>
      </c>
      <c r="F2800" t="s">
        <v>2577</v>
      </c>
      <c r="G2800" t="s">
        <v>2531</v>
      </c>
      <c r="H2800" t="s">
        <v>22</v>
      </c>
      <c r="I2800">
        <v>332</v>
      </c>
      <c r="J2800" t="s">
        <v>2614</v>
      </c>
      <c r="K2800">
        <f t="shared" si="387"/>
        <v>332</v>
      </c>
      <c r="N2800" t="str">
        <f t="shared" si="388"/>
        <v>Coil</v>
      </c>
      <c r="O2800" t="str">
        <f t="shared" si="389"/>
        <v>BOOL</v>
      </c>
      <c r="P2800" t="str">
        <f t="shared" si="390"/>
        <v xml:space="preserve">TELECAMERA T09S </v>
      </c>
      <c r="R2800" t="str">
        <f t="shared" si="391"/>
        <v>T07S -EScludi Allarmi Traffico</v>
      </c>
      <c r="U2800" t="str">
        <f t="shared" si="392"/>
        <v>Comando</v>
      </c>
      <c r="V2800" t="str">
        <f t="shared" si="393"/>
        <v>GALLERIA</v>
      </c>
      <c r="W2800" t="str">
        <f t="shared" si="394"/>
        <v>GALLERIA CASOLA</v>
      </c>
      <c r="Z2800" t="str">
        <f t="shared" si="395"/>
        <v>10.220.80.16</v>
      </c>
    </row>
    <row r="2801" spans="1:26" x14ac:dyDescent="0.25">
      <c r="A2801" t="s">
        <v>10</v>
      </c>
      <c r="B2801" t="s">
        <v>1206</v>
      </c>
      <c r="C2801" t="s">
        <v>2173</v>
      </c>
      <c r="D2801" t="s">
        <v>1619</v>
      </c>
      <c r="E2801" t="s">
        <v>3592</v>
      </c>
      <c r="F2801" t="s">
        <v>2577</v>
      </c>
      <c r="G2801" t="s">
        <v>2531</v>
      </c>
      <c r="H2801" t="s">
        <v>22</v>
      </c>
      <c r="I2801">
        <v>333</v>
      </c>
      <c r="J2801" t="s">
        <v>2615</v>
      </c>
      <c r="K2801">
        <f t="shared" si="387"/>
        <v>333</v>
      </c>
      <c r="N2801" t="str">
        <f t="shared" si="388"/>
        <v>Coil</v>
      </c>
      <c r="O2801" t="str">
        <f t="shared" si="389"/>
        <v>BOOL</v>
      </c>
      <c r="P2801" t="str">
        <f t="shared" si="390"/>
        <v xml:space="preserve">TELECAMERA T09S </v>
      </c>
      <c r="R2801" t="str">
        <f t="shared" si="391"/>
        <v>T07S -Includi Allarmi Traffico</v>
      </c>
      <c r="U2801" t="str">
        <f t="shared" si="392"/>
        <v>Comando</v>
      </c>
      <c r="V2801" t="str">
        <f t="shared" si="393"/>
        <v>GALLERIA</v>
      </c>
      <c r="W2801" t="str">
        <f t="shared" si="394"/>
        <v>GALLERIA CASOLA</v>
      </c>
      <c r="Z2801" t="str">
        <f t="shared" si="395"/>
        <v>10.220.80.16</v>
      </c>
    </row>
    <row r="2802" spans="1:26" x14ac:dyDescent="0.25">
      <c r="A2802" t="s">
        <v>10</v>
      </c>
      <c r="B2802" t="s">
        <v>1206</v>
      </c>
      <c r="C2802" t="s">
        <v>2173</v>
      </c>
      <c r="D2802" t="s">
        <v>1619</v>
      </c>
      <c r="E2802" t="s">
        <v>3592</v>
      </c>
      <c r="F2802" t="s">
        <v>2577</v>
      </c>
      <c r="G2802" t="s">
        <v>2531</v>
      </c>
      <c r="H2802" t="s">
        <v>22</v>
      </c>
      <c r="I2802">
        <v>334</v>
      </c>
      <c r="J2802" t="s">
        <v>2616</v>
      </c>
      <c r="K2802">
        <f t="shared" si="387"/>
        <v>334</v>
      </c>
      <c r="N2802" t="str">
        <f t="shared" si="388"/>
        <v>Coil</v>
      </c>
      <c r="O2802" t="str">
        <f t="shared" si="389"/>
        <v>BOOL</v>
      </c>
      <c r="P2802" t="str">
        <f t="shared" si="390"/>
        <v xml:space="preserve">TELECAMERA T09S </v>
      </c>
      <c r="R2802" t="str">
        <f t="shared" si="391"/>
        <v>T07S -Reset Allarmi Telecamera</v>
      </c>
      <c r="U2802" t="str">
        <f t="shared" si="392"/>
        <v>Comando</v>
      </c>
      <c r="V2802" t="str">
        <f t="shared" si="393"/>
        <v>GALLERIA</v>
      </c>
      <c r="W2802" t="str">
        <f t="shared" si="394"/>
        <v>GALLERIA CASOLA</v>
      </c>
      <c r="Z2802" t="str">
        <f t="shared" si="395"/>
        <v>10.220.80.16</v>
      </c>
    </row>
    <row r="2803" spans="1:26" x14ac:dyDescent="0.25">
      <c r="A2803" t="s">
        <v>10</v>
      </c>
      <c r="B2803" t="s">
        <v>1206</v>
      </c>
      <c r="C2803" t="s">
        <v>2173</v>
      </c>
      <c r="D2803" t="s">
        <v>1619</v>
      </c>
      <c r="E2803" t="s">
        <v>1708</v>
      </c>
      <c r="F2803" t="s">
        <v>2577</v>
      </c>
      <c r="G2803" t="s">
        <v>2531</v>
      </c>
      <c r="H2803" t="s">
        <v>22</v>
      </c>
      <c r="I2803">
        <v>335</v>
      </c>
      <c r="J2803" t="s">
        <v>2618</v>
      </c>
      <c r="K2803">
        <f t="shared" si="387"/>
        <v>335</v>
      </c>
      <c r="N2803" t="str">
        <f t="shared" si="388"/>
        <v>Coil</v>
      </c>
      <c r="O2803" t="str">
        <f t="shared" si="389"/>
        <v>BOOL</v>
      </c>
      <c r="P2803" t="str">
        <f t="shared" si="390"/>
        <v>TELECAMERA T10S</v>
      </c>
      <c r="R2803" t="str">
        <f t="shared" si="391"/>
        <v>T010S -Escludi Allarmi Telecamera</v>
      </c>
      <c r="U2803" t="str">
        <f t="shared" si="392"/>
        <v>Comando</v>
      </c>
      <c r="V2803" t="str">
        <f t="shared" si="393"/>
        <v>GALLERIA</v>
      </c>
      <c r="W2803" t="str">
        <f t="shared" si="394"/>
        <v>GALLERIA CASOLA</v>
      </c>
      <c r="Z2803" t="str">
        <f t="shared" si="395"/>
        <v>10.220.80.16</v>
      </c>
    </row>
    <row r="2804" spans="1:26" x14ac:dyDescent="0.25">
      <c r="A2804" t="s">
        <v>10</v>
      </c>
      <c r="B2804" t="s">
        <v>1206</v>
      </c>
      <c r="C2804" t="s">
        <v>2173</v>
      </c>
      <c r="D2804" t="s">
        <v>1619</v>
      </c>
      <c r="E2804" t="s">
        <v>1708</v>
      </c>
      <c r="F2804" t="s">
        <v>2577</v>
      </c>
      <c r="G2804" t="s">
        <v>2531</v>
      </c>
      <c r="H2804" t="s">
        <v>22</v>
      </c>
      <c r="I2804">
        <v>336</v>
      </c>
      <c r="J2804" t="s">
        <v>2619</v>
      </c>
      <c r="K2804">
        <f t="shared" si="387"/>
        <v>336</v>
      </c>
      <c r="N2804" t="str">
        <f t="shared" si="388"/>
        <v>Coil</v>
      </c>
      <c r="O2804" t="str">
        <f t="shared" si="389"/>
        <v>BOOL</v>
      </c>
      <c r="P2804" t="str">
        <f t="shared" si="390"/>
        <v>TELECAMERA T10S</v>
      </c>
      <c r="R2804" t="str">
        <f t="shared" si="391"/>
        <v>T010S -Includi Allarmi Telecamera</v>
      </c>
      <c r="U2804" t="str">
        <f t="shared" si="392"/>
        <v>Comando</v>
      </c>
      <c r="V2804" t="str">
        <f t="shared" si="393"/>
        <v>GALLERIA</v>
      </c>
      <c r="W2804" t="str">
        <f t="shared" si="394"/>
        <v>GALLERIA CASOLA</v>
      </c>
      <c r="Z2804" t="str">
        <f t="shared" si="395"/>
        <v>10.220.80.16</v>
      </c>
    </row>
    <row r="2805" spans="1:26" x14ac:dyDescent="0.25">
      <c r="A2805" t="s">
        <v>10</v>
      </c>
      <c r="B2805" t="s">
        <v>1206</v>
      </c>
      <c r="C2805" t="s">
        <v>2173</v>
      </c>
      <c r="D2805" t="s">
        <v>1619</v>
      </c>
      <c r="E2805" t="s">
        <v>1708</v>
      </c>
      <c r="F2805" t="s">
        <v>2577</v>
      </c>
      <c r="G2805" t="s">
        <v>2531</v>
      </c>
      <c r="H2805" t="s">
        <v>22</v>
      </c>
      <c r="I2805">
        <v>337</v>
      </c>
      <c r="J2805" t="s">
        <v>2620</v>
      </c>
      <c r="K2805">
        <f t="shared" si="387"/>
        <v>337</v>
      </c>
      <c r="N2805" t="str">
        <f t="shared" si="388"/>
        <v>Coil</v>
      </c>
      <c r="O2805" t="str">
        <f t="shared" si="389"/>
        <v>BOOL</v>
      </c>
      <c r="P2805" t="str">
        <f t="shared" si="390"/>
        <v>TELECAMERA T10S</v>
      </c>
      <c r="R2805" t="str">
        <f t="shared" si="391"/>
        <v>T010S -Escludi Allarme Fumo</v>
      </c>
      <c r="U2805" t="str">
        <f t="shared" si="392"/>
        <v>Comando</v>
      </c>
      <c r="V2805" t="str">
        <f t="shared" si="393"/>
        <v>GALLERIA</v>
      </c>
      <c r="W2805" t="str">
        <f t="shared" si="394"/>
        <v>GALLERIA CASOLA</v>
      </c>
      <c r="Z2805" t="str">
        <f t="shared" si="395"/>
        <v>10.220.80.16</v>
      </c>
    </row>
    <row r="2806" spans="1:26" x14ac:dyDescent="0.25">
      <c r="A2806" t="s">
        <v>10</v>
      </c>
      <c r="B2806" t="s">
        <v>1206</v>
      </c>
      <c r="C2806" t="s">
        <v>2173</v>
      </c>
      <c r="D2806" t="s">
        <v>1619</v>
      </c>
      <c r="E2806" t="s">
        <v>1708</v>
      </c>
      <c r="F2806" t="s">
        <v>2577</v>
      </c>
      <c r="G2806" t="s">
        <v>2531</v>
      </c>
      <c r="H2806" t="s">
        <v>22</v>
      </c>
      <c r="I2806">
        <v>338</v>
      </c>
      <c r="J2806" t="s">
        <v>2621</v>
      </c>
      <c r="K2806">
        <f t="shared" si="387"/>
        <v>338</v>
      </c>
      <c r="N2806" t="str">
        <f t="shared" si="388"/>
        <v>Coil</v>
      </c>
      <c r="O2806" t="str">
        <f t="shared" si="389"/>
        <v>BOOL</v>
      </c>
      <c r="P2806" t="str">
        <f t="shared" si="390"/>
        <v>TELECAMERA T10S</v>
      </c>
      <c r="R2806" t="str">
        <f t="shared" si="391"/>
        <v>T010S -Includi Allarme Fumo</v>
      </c>
      <c r="U2806" t="str">
        <f t="shared" si="392"/>
        <v>Comando</v>
      </c>
      <c r="V2806" t="str">
        <f t="shared" si="393"/>
        <v>GALLERIA</v>
      </c>
      <c r="W2806" t="str">
        <f t="shared" si="394"/>
        <v>GALLERIA CASOLA</v>
      </c>
      <c r="Z2806" t="str">
        <f t="shared" si="395"/>
        <v>10.220.80.16</v>
      </c>
    </row>
    <row r="2807" spans="1:26" x14ac:dyDescent="0.25">
      <c r="A2807" t="s">
        <v>10</v>
      </c>
      <c r="B2807" t="s">
        <v>1206</v>
      </c>
      <c r="C2807" t="s">
        <v>2173</v>
      </c>
      <c r="D2807" t="s">
        <v>1619</v>
      </c>
      <c r="E2807" t="s">
        <v>1708</v>
      </c>
      <c r="F2807" t="s">
        <v>2577</v>
      </c>
      <c r="G2807" t="s">
        <v>2531</v>
      </c>
      <c r="H2807" t="s">
        <v>22</v>
      </c>
      <c r="I2807">
        <v>339</v>
      </c>
      <c r="J2807" t="s">
        <v>2622</v>
      </c>
      <c r="K2807">
        <f t="shared" si="387"/>
        <v>339</v>
      </c>
      <c r="N2807" t="str">
        <f t="shared" si="388"/>
        <v>Coil</v>
      </c>
      <c r="O2807" t="str">
        <f t="shared" si="389"/>
        <v>BOOL</v>
      </c>
      <c r="P2807" t="str">
        <f t="shared" si="390"/>
        <v>TELECAMERA T10S</v>
      </c>
      <c r="R2807" t="str">
        <f t="shared" si="391"/>
        <v>T010S -EScludi Allarmi Traffico</v>
      </c>
      <c r="U2807" t="str">
        <f t="shared" si="392"/>
        <v>Comando</v>
      </c>
      <c r="V2807" t="str">
        <f t="shared" si="393"/>
        <v>GALLERIA</v>
      </c>
      <c r="W2807" t="str">
        <f t="shared" si="394"/>
        <v>GALLERIA CASOLA</v>
      </c>
      <c r="Z2807" t="str">
        <f t="shared" si="395"/>
        <v>10.220.80.16</v>
      </c>
    </row>
    <row r="2808" spans="1:26" x14ac:dyDescent="0.25">
      <c r="A2808" t="s">
        <v>10</v>
      </c>
      <c r="B2808" t="s">
        <v>1206</v>
      </c>
      <c r="C2808" t="s">
        <v>2173</v>
      </c>
      <c r="D2808" t="s">
        <v>1619</v>
      </c>
      <c r="E2808" t="s">
        <v>1708</v>
      </c>
      <c r="F2808" t="s">
        <v>2577</v>
      </c>
      <c r="G2808" t="s">
        <v>2531</v>
      </c>
      <c r="H2808" t="s">
        <v>22</v>
      </c>
      <c r="I2808">
        <v>340</v>
      </c>
      <c r="J2808" t="s">
        <v>2623</v>
      </c>
      <c r="K2808">
        <f t="shared" si="387"/>
        <v>340</v>
      </c>
      <c r="N2808" t="str">
        <f t="shared" si="388"/>
        <v>Coil</v>
      </c>
      <c r="O2808" t="str">
        <f t="shared" si="389"/>
        <v>BOOL</v>
      </c>
      <c r="P2808" t="str">
        <f t="shared" si="390"/>
        <v>TELECAMERA T10S</v>
      </c>
      <c r="R2808" t="str">
        <f t="shared" si="391"/>
        <v>T010S -Includi Allarmi Traffico</v>
      </c>
      <c r="U2808" t="str">
        <f t="shared" si="392"/>
        <v>Comando</v>
      </c>
      <c r="V2808" t="str">
        <f t="shared" si="393"/>
        <v>GALLERIA</v>
      </c>
      <c r="W2808" t="str">
        <f t="shared" si="394"/>
        <v>GALLERIA CASOLA</v>
      </c>
      <c r="Z2808" t="str">
        <f t="shared" si="395"/>
        <v>10.220.80.16</v>
      </c>
    </row>
    <row r="2809" spans="1:26" x14ac:dyDescent="0.25">
      <c r="A2809" t="s">
        <v>10</v>
      </c>
      <c r="B2809" t="s">
        <v>1206</v>
      </c>
      <c r="C2809" t="s">
        <v>2173</v>
      </c>
      <c r="D2809" t="s">
        <v>1619</v>
      </c>
      <c r="E2809" t="s">
        <v>1708</v>
      </c>
      <c r="F2809" t="s">
        <v>2577</v>
      </c>
      <c r="G2809" t="s">
        <v>2531</v>
      </c>
      <c r="H2809" t="s">
        <v>22</v>
      </c>
      <c r="I2809">
        <v>341</v>
      </c>
      <c r="J2809" t="s">
        <v>2624</v>
      </c>
      <c r="K2809">
        <f t="shared" si="387"/>
        <v>341</v>
      </c>
      <c r="N2809" t="str">
        <f t="shared" si="388"/>
        <v>Coil</v>
      </c>
      <c r="O2809" t="str">
        <f t="shared" si="389"/>
        <v>BOOL</v>
      </c>
      <c r="P2809" t="str">
        <f t="shared" si="390"/>
        <v>TELECAMERA T10S</v>
      </c>
      <c r="R2809" t="str">
        <f t="shared" si="391"/>
        <v>T010S -Reset Allarmi Telecamera</v>
      </c>
      <c r="U2809" t="str">
        <f t="shared" si="392"/>
        <v>Comando</v>
      </c>
      <c r="V2809" t="str">
        <f t="shared" si="393"/>
        <v>GALLERIA</v>
      </c>
      <c r="W2809" t="str">
        <f t="shared" si="394"/>
        <v>GALLERIA CASOLA</v>
      </c>
      <c r="Z2809" t="str">
        <f t="shared" si="395"/>
        <v>10.220.80.16</v>
      </c>
    </row>
    <row r="2810" spans="1:26" x14ac:dyDescent="0.25">
      <c r="A2810" t="s">
        <v>10</v>
      </c>
      <c r="B2810" t="s">
        <v>1206</v>
      </c>
      <c r="C2810" t="s">
        <v>2173</v>
      </c>
      <c r="D2810" t="s">
        <v>1619</v>
      </c>
      <c r="E2810" t="s">
        <v>3100</v>
      </c>
      <c r="F2810" t="s">
        <v>2577</v>
      </c>
      <c r="G2810" t="s">
        <v>2531</v>
      </c>
      <c r="H2810" t="s">
        <v>22</v>
      </c>
      <c r="I2810">
        <v>342</v>
      </c>
      <c r="J2810" t="s">
        <v>3593</v>
      </c>
      <c r="K2810">
        <f t="shared" si="387"/>
        <v>342</v>
      </c>
      <c r="N2810" t="str">
        <f t="shared" si="388"/>
        <v>Coil</v>
      </c>
      <c r="O2810" t="str">
        <f t="shared" si="389"/>
        <v>BOOL</v>
      </c>
      <c r="P2810" t="str">
        <f t="shared" si="390"/>
        <v>TELECAMERA T11N</v>
      </c>
      <c r="R2810" t="str">
        <f t="shared" si="391"/>
        <v>T011N -Escludi Allarmi Telecamera</v>
      </c>
      <c r="U2810" t="str">
        <f t="shared" si="392"/>
        <v>Comando</v>
      </c>
      <c r="V2810" t="str">
        <f t="shared" si="393"/>
        <v>GALLERIA</v>
      </c>
      <c r="W2810" t="str">
        <f t="shared" si="394"/>
        <v>GALLERIA CASOLA</v>
      </c>
      <c r="Z2810" t="str">
        <f t="shared" si="395"/>
        <v>10.220.80.16</v>
      </c>
    </row>
    <row r="2811" spans="1:26" x14ac:dyDescent="0.25">
      <c r="A2811" t="s">
        <v>10</v>
      </c>
      <c r="B2811" t="s">
        <v>1206</v>
      </c>
      <c r="C2811" t="s">
        <v>2173</v>
      </c>
      <c r="D2811" t="s">
        <v>1619</v>
      </c>
      <c r="E2811" t="s">
        <v>3100</v>
      </c>
      <c r="F2811" t="s">
        <v>2577</v>
      </c>
      <c r="G2811" t="s">
        <v>2531</v>
      </c>
      <c r="H2811" t="s">
        <v>22</v>
      </c>
      <c r="I2811">
        <v>343</v>
      </c>
      <c r="J2811" t="s">
        <v>3594</v>
      </c>
      <c r="K2811">
        <f t="shared" si="387"/>
        <v>343</v>
      </c>
      <c r="N2811" t="str">
        <f t="shared" si="388"/>
        <v>Coil</v>
      </c>
      <c r="O2811" t="str">
        <f t="shared" si="389"/>
        <v>BOOL</v>
      </c>
      <c r="P2811" t="str">
        <f t="shared" si="390"/>
        <v>TELECAMERA T11N</v>
      </c>
      <c r="R2811" t="str">
        <f t="shared" si="391"/>
        <v>T011N -Includi Allarmi Telecamera</v>
      </c>
      <c r="U2811" t="str">
        <f t="shared" si="392"/>
        <v>Comando</v>
      </c>
      <c r="V2811" t="str">
        <f t="shared" si="393"/>
        <v>GALLERIA</v>
      </c>
      <c r="W2811" t="str">
        <f t="shared" si="394"/>
        <v>GALLERIA CASOLA</v>
      </c>
      <c r="Z2811" t="str">
        <f t="shared" si="395"/>
        <v>10.220.80.16</v>
      </c>
    </row>
    <row r="2812" spans="1:26" x14ac:dyDescent="0.25">
      <c r="A2812" t="s">
        <v>10</v>
      </c>
      <c r="B2812" t="s">
        <v>1206</v>
      </c>
      <c r="C2812" t="s">
        <v>2173</v>
      </c>
      <c r="D2812" t="s">
        <v>1619</v>
      </c>
      <c r="E2812" t="s">
        <v>3100</v>
      </c>
      <c r="F2812" t="s">
        <v>2577</v>
      </c>
      <c r="G2812" t="s">
        <v>2531</v>
      </c>
      <c r="H2812" t="s">
        <v>22</v>
      </c>
      <c r="I2812">
        <v>344</v>
      </c>
      <c r="J2812" t="s">
        <v>3595</v>
      </c>
      <c r="K2812">
        <f t="shared" si="387"/>
        <v>344</v>
      </c>
      <c r="N2812" t="str">
        <f t="shared" si="388"/>
        <v>Coil</v>
      </c>
      <c r="O2812" t="str">
        <f t="shared" si="389"/>
        <v>BOOL</v>
      </c>
      <c r="P2812" t="str">
        <f t="shared" si="390"/>
        <v>TELECAMERA T11N</v>
      </c>
      <c r="R2812" t="str">
        <f t="shared" si="391"/>
        <v>T011N -Escludi Allarme Fumo</v>
      </c>
      <c r="U2812" t="str">
        <f t="shared" si="392"/>
        <v>Comando</v>
      </c>
      <c r="V2812" t="str">
        <f t="shared" si="393"/>
        <v>GALLERIA</v>
      </c>
      <c r="W2812" t="str">
        <f t="shared" si="394"/>
        <v>GALLERIA CASOLA</v>
      </c>
      <c r="Z2812" t="str">
        <f t="shared" si="395"/>
        <v>10.220.80.16</v>
      </c>
    </row>
    <row r="2813" spans="1:26" x14ac:dyDescent="0.25">
      <c r="A2813" t="s">
        <v>10</v>
      </c>
      <c r="B2813" t="s">
        <v>1206</v>
      </c>
      <c r="C2813" t="s">
        <v>2173</v>
      </c>
      <c r="D2813" t="s">
        <v>1619</v>
      </c>
      <c r="E2813" t="s">
        <v>3100</v>
      </c>
      <c r="F2813" t="s">
        <v>2577</v>
      </c>
      <c r="G2813" t="s">
        <v>2531</v>
      </c>
      <c r="H2813" t="s">
        <v>22</v>
      </c>
      <c r="I2813">
        <v>345</v>
      </c>
      <c r="J2813" t="s">
        <v>3596</v>
      </c>
      <c r="K2813">
        <f t="shared" si="387"/>
        <v>345</v>
      </c>
      <c r="N2813" t="str">
        <f t="shared" si="388"/>
        <v>Coil</v>
      </c>
      <c r="O2813" t="str">
        <f t="shared" si="389"/>
        <v>BOOL</v>
      </c>
      <c r="P2813" t="str">
        <f t="shared" si="390"/>
        <v>TELECAMERA T11N</v>
      </c>
      <c r="R2813" t="str">
        <f t="shared" si="391"/>
        <v>T011N -Includi Allarme Fumo</v>
      </c>
      <c r="U2813" t="str">
        <f t="shared" si="392"/>
        <v>Comando</v>
      </c>
      <c r="V2813" t="str">
        <f t="shared" si="393"/>
        <v>GALLERIA</v>
      </c>
      <c r="W2813" t="str">
        <f t="shared" si="394"/>
        <v>GALLERIA CASOLA</v>
      </c>
      <c r="Z2813" t="str">
        <f t="shared" si="395"/>
        <v>10.220.80.16</v>
      </c>
    </row>
    <row r="2814" spans="1:26" x14ac:dyDescent="0.25">
      <c r="A2814" t="s">
        <v>10</v>
      </c>
      <c r="B2814" t="s">
        <v>1206</v>
      </c>
      <c r="C2814" t="s">
        <v>2173</v>
      </c>
      <c r="D2814" t="s">
        <v>1619</v>
      </c>
      <c r="E2814" t="s">
        <v>3100</v>
      </c>
      <c r="F2814" t="s">
        <v>2577</v>
      </c>
      <c r="G2814" t="s">
        <v>2531</v>
      </c>
      <c r="H2814" t="s">
        <v>22</v>
      </c>
      <c r="I2814">
        <v>346</v>
      </c>
      <c r="J2814" t="s">
        <v>3597</v>
      </c>
      <c r="K2814">
        <f t="shared" si="387"/>
        <v>346</v>
      </c>
      <c r="N2814" t="str">
        <f t="shared" si="388"/>
        <v>Coil</v>
      </c>
      <c r="O2814" t="str">
        <f t="shared" si="389"/>
        <v>BOOL</v>
      </c>
      <c r="P2814" t="str">
        <f t="shared" si="390"/>
        <v>TELECAMERA T11N</v>
      </c>
      <c r="R2814" t="str">
        <f t="shared" si="391"/>
        <v>T011N -EScludi Allarmi Traffico</v>
      </c>
      <c r="U2814" t="str">
        <f t="shared" si="392"/>
        <v>Comando</v>
      </c>
      <c r="V2814" t="str">
        <f t="shared" si="393"/>
        <v>GALLERIA</v>
      </c>
      <c r="W2814" t="str">
        <f t="shared" si="394"/>
        <v>GALLERIA CASOLA</v>
      </c>
      <c r="Z2814" t="str">
        <f t="shared" si="395"/>
        <v>10.220.80.16</v>
      </c>
    </row>
    <row r="2815" spans="1:26" x14ac:dyDescent="0.25">
      <c r="A2815" t="s">
        <v>10</v>
      </c>
      <c r="B2815" t="s">
        <v>1206</v>
      </c>
      <c r="C2815" t="s">
        <v>2173</v>
      </c>
      <c r="D2815" t="s">
        <v>1619</v>
      </c>
      <c r="E2815" t="s">
        <v>3100</v>
      </c>
      <c r="F2815" t="s">
        <v>2577</v>
      </c>
      <c r="G2815" t="s">
        <v>2531</v>
      </c>
      <c r="H2815" t="s">
        <v>22</v>
      </c>
      <c r="I2815">
        <v>347</v>
      </c>
      <c r="J2815" t="s">
        <v>3598</v>
      </c>
      <c r="K2815">
        <f t="shared" si="387"/>
        <v>347</v>
      </c>
      <c r="N2815" t="str">
        <f t="shared" si="388"/>
        <v>Coil</v>
      </c>
      <c r="O2815" t="str">
        <f t="shared" si="389"/>
        <v>BOOL</v>
      </c>
      <c r="P2815" t="str">
        <f t="shared" si="390"/>
        <v>TELECAMERA T11N</v>
      </c>
      <c r="R2815" t="str">
        <f t="shared" si="391"/>
        <v>T011N -Includi Allarmi Traffico</v>
      </c>
      <c r="U2815" t="str">
        <f t="shared" si="392"/>
        <v>Comando</v>
      </c>
      <c r="V2815" t="str">
        <f t="shared" si="393"/>
        <v>GALLERIA</v>
      </c>
      <c r="W2815" t="str">
        <f t="shared" si="394"/>
        <v>GALLERIA CASOLA</v>
      </c>
      <c r="Z2815" t="str">
        <f t="shared" si="395"/>
        <v>10.220.80.16</v>
      </c>
    </row>
    <row r="2816" spans="1:26" x14ac:dyDescent="0.25">
      <c r="A2816" t="s">
        <v>10</v>
      </c>
      <c r="B2816" t="s">
        <v>1206</v>
      </c>
      <c r="C2816" t="s">
        <v>2173</v>
      </c>
      <c r="D2816" t="s">
        <v>1619</v>
      </c>
      <c r="E2816" t="s">
        <v>3100</v>
      </c>
      <c r="F2816" t="s">
        <v>2577</v>
      </c>
      <c r="G2816" t="s">
        <v>2531</v>
      </c>
      <c r="H2816" t="s">
        <v>22</v>
      </c>
      <c r="I2816">
        <v>348</v>
      </c>
      <c r="J2816" t="s">
        <v>3599</v>
      </c>
      <c r="K2816">
        <f t="shared" si="387"/>
        <v>348</v>
      </c>
      <c r="N2816" t="str">
        <f t="shared" si="388"/>
        <v>Coil</v>
      </c>
      <c r="O2816" t="str">
        <f t="shared" si="389"/>
        <v>BOOL</v>
      </c>
      <c r="P2816" t="str">
        <f t="shared" si="390"/>
        <v>TELECAMERA T11N</v>
      </c>
      <c r="R2816" t="str">
        <f t="shared" si="391"/>
        <v>T011N -Reset Allarmi Telecamera</v>
      </c>
      <c r="U2816" t="str">
        <f t="shared" si="392"/>
        <v>Comando</v>
      </c>
      <c r="V2816" t="str">
        <f t="shared" si="393"/>
        <v>GALLERIA</v>
      </c>
      <c r="W2816" t="str">
        <f t="shared" si="394"/>
        <v>GALLERIA CASOLA</v>
      </c>
      <c r="Z2816" t="str">
        <f t="shared" si="395"/>
        <v>10.220.80.16</v>
      </c>
    </row>
    <row r="2817" spans="1:26" x14ac:dyDescent="0.25">
      <c r="A2817" t="s">
        <v>10</v>
      </c>
      <c r="B2817" t="s">
        <v>1206</v>
      </c>
      <c r="C2817" t="s">
        <v>2173</v>
      </c>
      <c r="D2817" t="s">
        <v>1619</v>
      </c>
      <c r="E2817" t="s">
        <v>3117</v>
      </c>
      <c r="F2817" t="s">
        <v>2577</v>
      </c>
      <c r="G2817" t="s">
        <v>2531</v>
      </c>
      <c r="H2817" t="s">
        <v>22</v>
      </c>
      <c r="I2817">
        <v>349</v>
      </c>
      <c r="J2817" t="s">
        <v>3600</v>
      </c>
      <c r="K2817">
        <f t="shared" si="387"/>
        <v>349</v>
      </c>
      <c r="N2817" t="str">
        <f t="shared" si="388"/>
        <v>Coil</v>
      </c>
      <c r="O2817" t="str">
        <f t="shared" si="389"/>
        <v>BOOL</v>
      </c>
      <c r="P2817" t="str">
        <f t="shared" si="390"/>
        <v>TELECAMERA T12N</v>
      </c>
      <c r="R2817" t="str">
        <f t="shared" si="391"/>
        <v>T012N -Escludi Allarmi Telecamera</v>
      </c>
      <c r="U2817" t="str">
        <f t="shared" si="392"/>
        <v>Comando</v>
      </c>
      <c r="V2817" t="str">
        <f t="shared" si="393"/>
        <v>GALLERIA</v>
      </c>
      <c r="W2817" t="str">
        <f t="shared" si="394"/>
        <v>GALLERIA CASOLA</v>
      </c>
      <c r="Z2817" t="str">
        <f t="shared" si="395"/>
        <v>10.220.80.16</v>
      </c>
    </row>
    <row r="2818" spans="1:26" x14ac:dyDescent="0.25">
      <c r="A2818" t="s">
        <v>10</v>
      </c>
      <c r="B2818" t="s">
        <v>1206</v>
      </c>
      <c r="C2818" t="s">
        <v>2173</v>
      </c>
      <c r="D2818" t="s">
        <v>1619</v>
      </c>
      <c r="E2818" t="s">
        <v>3117</v>
      </c>
      <c r="F2818" t="s">
        <v>2577</v>
      </c>
      <c r="G2818" t="s">
        <v>2531</v>
      </c>
      <c r="H2818" t="s">
        <v>22</v>
      </c>
      <c r="I2818">
        <v>350</v>
      </c>
      <c r="J2818" t="s">
        <v>3601</v>
      </c>
      <c r="K2818">
        <f t="shared" si="387"/>
        <v>350</v>
      </c>
      <c r="N2818" t="str">
        <f t="shared" si="388"/>
        <v>Coil</v>
      </c>
      <c r="O2818" t="str">
        <f t="shared" si="389"/>
        <v>BOOL</v>
      </c>
      <c r="P2818" t="str">
        <f t="shared" si="390"/>
        <v>TELECAMERA T12N</v>
      </c>
      <c r="R2818" t="str">
        <f t="shared" si="391"/>
        <v>T012N -Includi Allarmi Telecamera</v>
      </c>
      <c r="U2818" t="str">
        <f t="shared" si="392"/>
        <v>Comando</v>
      </c>
      <c r="V2818" t="str">
        <f t="shared" si="393"/>
        <v>GALLERIA</v>
      </c>
      <c r="W2818" t="str">
        <f t="shared" si="394"/>
        <v>GALLERIA CASOLA</v>
      </c>
      <c r="Z2818" t="str">
        <f t="shared" si="395"/>
        <v>10.220.80.16</v>
      </c>
    </row>
    <row r="2819" spans="1:26" x14ac:dyDescent="0.25">
      <c r="A2819" t="s">
        <v>10</v>
      </c>
      <c r="B2819" t="s">
        <v>1206</v>
      </c>
      <c r="C2819" t="s">
        <v>2173</v>
      </c>
      <c r="D2819" t="s">
        <v>1619</v>
      </c>
      <c r="E2819" t="s">
        <v>3117</v>
      </c>
      <c r="F2819" t="s">
        <v>2577</v>
      </c>
      <c r="G2819" t="s">
        <v>2531</v>
      </c>
      <c r="H2819" t="s">
        <v>22</v>
      </c>
      <c r="I2819">
        <v>351</v>
      </c>
      <c r="J2819" t="s">
        <v>3602</v>
      </c>
      <c r="K2819">
        <f t="shared" ref="K2819:K2882" si="396">IF(I2819="","",I2819)</f>
        <v>351</v>
      </c>
      <c r="N2819" t="str">
        <f t="shared" ref="N2819:N2882" si="397">IF(F2819="","",F2819)</f>
        <v>Coil</v>
      </c>
      <c r="O2819" t="str">
        <f t="shared" ref="O2819:O2882" si="398">IF(H2819="","",H2819)</f>
        <v>BOOL</v>
      </c>
      <c r="P2819" t="str">
        <f t="shared" ref="P2819:P2882" si="399">_xlfn.CONCAT(D2819," ",E2819)</f>
        <v>TELECAMERA T12N</v>
      </c>
      <c r="R2819" t="str">
        <f t="shared" ref="R2819:R2882" si="400">IF(J2819="","",J2819)</f>
        <v>T012N -Escludi Allarme Fumo</v>
      </c>
      <c r="U2819" t="str">
        <f t="shared" ref="U2819:U2882" si="401">IF(G2819="","",G2819)</f>
        <v>Comando</v>
      </c>
      <c r="V2819" t="str">
        <f t="shared" ref="V2819:V2882" si="402">IF(C2819="","",C2819)</f>
        <v>GALLERIA</v>
      </c>
      <c r="W2819" t="str">
        <f t="shared" ref="W2819:W2882" si="403">IF(B2819="","",B2819)</f>
        <v>GALLERIA CASOLA</v>
      </c>
      <c r="Z2819" t="str">
        <f t="shared" ref="Z2819:Z2882" si="404">IF(A2819="","",A2819)</f>
        <v>10.220.80.16</v>
      </c>
    </row>
    <row r="2820" spans="1:26" x14ac:dyDescent="0.25">
      <c r="A2820" t="s">
        <v>10</v>
      </c>
      <c r="B2820" t="s">
        <v>1206</v>
      </c>
      <c r="C2820" t="s">
        <v>2173</v>
      </c>
      <c r="D2820" t="s">
        <v>1619</v>
      </c>
      <c r="E2820" t="s">
        <v>3117</v>
      </c>
      <c r="F2820" t="s">
        <v>2577</v>
      </c>
      <c r="G2820" t="s">
        <v>2531</v>
      </c>
      <c r="H2820" t="s">
        <v>22</v>
      </c>
      <c r="I2820">
        <v>352</v>
      </c>
      <c r="J2820" t="s">
        <v>3603</v>
      </c>
      <c r="K2820">
        <f t="shared" si="396"/>
        <v>352</v>
      </c>
      <c r="N2820" t="str">
        <f t="shared" si="397"/>
        <v>Coil</v>
      </c>
      <c r="O2820" t="str">
        <f t="shared" si="398"/>
        <v>BOOL</v>
      </c>
      <c r="P2820" t="str">
        <f t="shared" si="399"/>
        <v>TELECAMERA T12N</v>
      </c>
      <c r="R2820" t="str">
        <f t="shared" si="400"/>
        <v>T012N -Includi Allarme Fumo</v>
      </c>
      <c r="U2820" t="str">
        <f t="shared" si="401"/>
        <v>Comando</v>
      </c>
      <c r="V2820" t="str">
        <f t="shared" si="402"/>
        <v>GALLERIA</v>
      </c>
      <c r="W2820" t="str">
        <f t="shared" si="403"/>
        <v>GALLERIA CASOLA</v>
      </c>
      <c r="Z2820" t="str">
        <f t="shared" si="404"/>
        <v>10.220.80.16</v>
      </c>
    </row>
    <row r="2821" spans="1:26" x14ac:dyDescent="0.25">
      <c r="A2821" t="s">
        <v>10</v>
      </c>
      <c r="B2821" t="s">
        <v>1206</v>
      </c>
      <c r="C2821" t="s">
        <v>2173</v>
      </c>
      <c r="D2821" t="s">
        <v>1619</v>
      </c>
      <c r="E2821" t="s">
        <v>3117</v>
      </c>
      <c r="F2821" t="s">
        <v>2577</v>
      </c>
      <c r="G2821" t="s">
        <v>2531</v>
      </c>
      <c r="H2821" t="s">
        <v>22</v>
      </c>
      <c r="I2821">
        <v>353</v>
      </c>
      <c r="J2821" t="s">
        <v>3604</v>
      </c>
      <c r="K2821">
        <f t="shared" si="396"/>
        <v>353</v>
      </c>
      <c r="N2821" t="str">
        <f t="shared" si="397"/>
        <v>Coil</v>
      </c>
      <c r="O2821" t="str">
        <f t="shared" si="398"/>
        <v>BOOL</v>
      </c>
      <c r="P2821" t="str">
        <f t="shared" si="399"/>
        <v>TELECAMERA T12N</v>
      </c>
      <c r="R2821" t="str">
        <f t="shared" si="400"/>
        <v>T012N -EScludi Allarmi Traffico</v>
      </c>
      <c r="U2821" t="str">
        <f t="shared" si="401"/>
        <v>Comando</v>
      </c>
      <c r="V2821" t="str">
        <f t="shared" si="402"/>
        <v>GALLERIA</v>
      </c>
      <c r="W2821" t="str">
        <f t="shared" si="403"/>
        <v>GALLERIA CASOLA</v>
      </c>
      <c r="Z2821" t="str">
        <f t="shared" si="404"/>
        <v>10.220.80.16</v>
      </c>
    </row>
    <row r="2822" spans="1:26" x14ac:dyDescent="0.25">
      <c r="A2822" t="s">
        <v>10</v>
      </c>
      <c r="B2822" t="s">
        <v>1206</v>
      </c>
      <c r="C2822" t="s">
        <v>2173</v>
      </c>
      <c r="D2822" t="s">
        <v>1619</v>
      </c>
      <c r="E2822" t="s">
        <v>3117</v>
      </c>
      <c r="F2822" t="s">
        <v>2577</v>
      </c>
      <c r="G2822" t="s">
        <v>2531</v>
      </c>
      <c r="H2822" t="s">
        <v>22</v>
      </c>
      <c r="I2822">
        <v>354</v>
      </c>
      <c r="J2822" t="s">
        <v>3605</v>
      </c>
      <c r="K2822">
        <f t="shared" si="396"/>
        <v>354</v>
      </c>
      <c r="N2822" t="str">
        <f t="shared" si="397"/>
        <v>Coil</v>
      </c>
      <c r="O2822" t="str">
        <f t="shared" si="398"/>
        <v>BOOL</v>
      </c>
      <c r="P2822" t="str">
        <f t="shared" si="399"/>
        <v>TELECAMERA T12N</v>
      </c>
      <c r="R2822" t="str">
        <f t="shared" si="400"/>
        <v>T012N -Includi Allarmi Traffico</v>
      </c>
      <c r="U2822" t="str">
        <f t="shared" si="401"/>
        <v>Comando</v>
      </c>
      <c r="V2822" t="str">
        <f t="shared" si="402"/>
        <v>GALLERIA</v>
      </c>
      <c r="W2822" t="str">
        <f t="shared" si="403"/>
        <v>GALLERIA CASOLA</v>
      </c>
      <c r="Z2822" t="str">
        <f t="shared" si="404"/>
        <v>10.220.80.16</v>
      </c>
    </row>
    <row r="2823" spans="1:26" x14ac:dyDescent="0.25">
      <c r="A2823" t="s">
        <v>10</v>
      </c>
      <c r="B2823" t="s">
        <v>1206</v>
      </c>
      <c r="C2823" t="s">
        <v>2173</v>
      </c>
      <c r="D2823" t="s">
        <v>1619</v>
      </c>
      <c r="E2823" t="s">
        <v>3117</v>
      </c>
      <c r="F2823" t="s">
        <v>2577</v>
      </c>
      <c r="G2823" t="s">
        <v>2531</v>
      </c>
      <c r="H2823" t="s">
        <v>22</v>
      </c>
      <c r="I2823">
        <v>355</v>
      </c>
      <c r="J2823" t="s">
        <v>3606</v>
      </c>
      <c r="K2823">
        <f t="shared" si="396"/>
        <v>355</v>
      </c>
      <c r="N2823" t="str">
        <f t="shared" si="397"/>
        <v>Coil</v>
      </c>
      <c r="O2823" t="str">
        <f t="shared" si="398"/>
        <v>BOOL</v>
      </c>
      <c r="P2823" t="str">
        <f t="shared" si="399"/>
        <v>TELECAMERA T12N</v>
      </c>
      <c r="R2823" t="str">
        <f t="shared" si="400"/>
        <v>T012N -Reset Allarmi Telecamera</v>
      </c>
      <c r="U2823" t="str">
        <f t="shared" si="401"/>
        <v>Comando</v>
      </c>
      <c r="V2823" t="str">
        <f t="shared" si="402"/>
        <v>GALLERIA</v>
      </c>
      <c r="W2823" t="str">
        <f t="shared" si="403"/>
        <v>GALLERIA CASOLA</v>
      </c>
      <c r="Z2823" t="str">
        <f t="shared" si="404"/>
        <v>10.220.80.16</v>
      </c>
    </row>
    <row r="2824" spans="1:26" x14ac:dyDescent="0.25">
      <c r="A2824" t="s">
        <v>10</v>
      </c>
      <c r="B2824" t="s">
        <v>1206</v>
      </c>
      <c r="C2824" t="s">
        <v>2173</v>
      </c>
      <c r="D2824" t="s">
        <v>1619</v>
      </c>
      <c r="E2824" t="s">
        <v>2641</v>
      </c>
      <c r="F2824" t="s">
        <v>2577</v>
      </c>
      <c r="G2824" t="s">
        <v>2531</v>
      </c>
      <c r="H2824" t="s">
        <v>22</v>
      </c>
      <c r="I2824">
        <v>356</v>
      </c>
      <c r="J2824" t="s">
        <v>2642</v>
      </c>
      <c r="K2824">
        <f t="shared" si="396"/>
        <v>356</v>
      </c>
      <c r="N2824" t="str">
        <f t="shared" si="397"/>
        <v>Coil</v>
      </c>
      <c r="O2824" t="str">
        <f t="shared" si="398"/>
        <v>BOOL</v>
      </c>
      <c r="P2824" t="str">
        <f t="shared" si="399"/>
        <v xml:space="preserve">TELECAMERA T13N </v>
      </c>
      <c r="R2824" t="str">
        <f t="shared" si="400"/>
        <v>T13N -Escludi Allarmi Telecamera</v>
      </c>
      <c r="U2824" t="str">
        <f t="shared" si="401"/>
        <v>Comando</v>
      </c>
      <c r="V2824" t="str">
        <f t="shared" si="402"/>
        <v>GALLERIA</v>
      </c>
      <c r="W2824" t="str">
        <f t="shared" si="403"/>
        <v>GALLERIA CASOLA</v>
      </c>
      <c r="Z2824" t="str">
        <f t="shared" si="404"/>
        <v>10.220.80.16</v>
      </c>
    </row>
    <row r="2825" spans="1:26" x14ac:dyDescent="0.25">
      <c r="A2825" t="s">
        <v>10</v>
      </c>
      <c r="B2825" t="s">
        <v>1206</v>
      </c>
      <c r="C2825" t="s">
        <v>2173</v>
      </c>
      <c r="D2825" t="s">
        <v>1619</v>
      </c>
      <c r="E2825" t="s">
        <v>2641</v>
      </c>
      <c r="F2825" t="s">
        <v>2577</v>
      </c>
      <c r="G2825" t="s">
        <v>2531</v>
      </c>
      <c r="H2825" t="s">
        <v>22</v>
      </c>
      <c r="I2825">
        <v>357</v>
      </c>
      <c r="J2825" t="s">
        <v>2643</v>
      </c>
      <c r="K2825">
        <f t="shared" si="396"/>
        <v>357</v>
      </c>
      <c r="N2825" t="str">
        <f t="shared" si="397"/>
        <v>Coil</v>
      </c>
      <c r="O2825" t="str">
        <f t="shared" si="398"/>
        <v>BOOL</v>
      </c>
      <c r="P2825" t="str">
        <f t="shared" si="399"/>
        <v xml:space="preserve">TELECAMERA T13N </v>
      </c>
      <c r="R2825" t="str">
        <f t="shared" si="400"/>
        <v>T13N -Includi Allarmi Telecamera</v>
      </c>
      <c r="U2825" t="str">
        <f t="shared" si="401"/>
        <v>Comando</v>
      </c>
      <c r="V2825" t="str">
        <f t="shared" si="402"/>
        <v>GALLERIA</v>
      </c>
      <c r="W2825" t="str">
        <f t="shared" si="403"/>
        <v>GALLERIA CASOLA</v>
      </c>
      <c r="Z2825" t="str">
        <f t="shared" si="404"/>
        <v>10.220.80.16</v>
      </c>
    </row>
    <row r="2826" spans="1:26" x14ac:dyDescent="0.25">
      <c r="A2826" t="s">
        <v>10</v>
      </c>
      <c r="B2826" t="s">
        <v>1206</v>
      </c>
      <c r="C2826" t="s">
        <v>2173</v>
      </c>
      <c r="D2826" t="s">
        <v>1619</v>
      </c>
      <c r="E2826" t="s">
        <v>2641</v>
      </c>
      <c r="F2826" t="s">
        <v>2577</v>
      </c>
      <c r="G2826" t="s">
        <v>2531</v>
      </c>
      <c r="H2826" t="s">
        <v>22</v>
      </c>
      <c r="I2826">
        <v>358</v>
      </c>
      <c r="J2826" t="s">
        <v>2644</v>
      </c>
      <c r="K2826">
        <f t="shared" si="396"/>
        <v>358</v>
      </c>
      <c r="N2826" t="str">
        <f t="shared" si="397"/>
        <v>Coil</v>
      </c>
      <c r="O2826" t="str">
        <f t="shared" si="398"/>
        <v>BOOL</v>
      </c>
      <c r="P2826" t="str">
        <f t="shared" si="399"/>
        <v xml:space="preserve">TELECAMERA T13N </v>
      </c>
      <c r="R2826" t="str">
        <f t="shared" si="400"/>
        <v>T13N -Escludi Allarme Fumo</v>
      </c>
      <c r="U2826" t="str">
        <f t="shared" si="401"/>
        <v>Comando</v>
      </c>
      <c r="V2826" t="str">
        <f t="shared" si="402"/>
        <v>GALLERIA</v>
      </c>
      <c r="W2826" t="str">
        <f t="shared" si="403"/>
        <v>GALLERIA CASOLA</v>
      </c>
      <c r="Z2826" t="str">
        <f t="shared" si="404"/>
        <v>10.220.80.16</v>
      </c>
    </row>
    <row r="2827" spans="1:26" x14ac:dyDescent="0.25">
      <c r="A2827" t="s">
        <v>10</v>
      </c>
      <c r="B2827" t="s">
        <v>1206</v>
      </c>
      <c r="C2827" t="s">
        <v>2173</v>
      </c>
      <c r="D2827" t="s">
        <v>1619</v>
      </c>
      <c r="E2827" t="s">
        <v>2641</v>
      </c>
      <c r="F2827" t="s">
        <v>2577</v>
      </c>
      <c r="G2827" t="s">
        <v>2531</v>
      </c>
      <c r="H2827" t="s">
        <v>22</v>
      </c>
      <c r="I2827">
        <v>359</v>
      </c>
      <c r="J2827" t="s">
        <v>2645</v>
      </c>
      <c r="K2827">
        <f t="shared" si="396"/>
        <v>359</v>
      </c>
      <c r="N2827" t="str">
        <f t="shared" si="397"/>
        <v>Coil</v>
      </c>
      <c r="O2827" t="str">
        <f t="shared" si="398"/>
        <v>BOOL</v>
      </c>
      <c r="P2827" t="str">
        <f t="shared" si="399"/>
        <v xml:space="preserve">TELECAMERA T13N </v>
      </c>
      <c r="R2827" t="str">
        <f t="shared" si="400"/>
        <v>T13N -Includi Allarme Fumo</v>
      </c>
      <c r="U2827" t="str">
        <f t="shared" si="401"/>
        <v>Comando</v>
      </c>
      <c r="V2827" t="str">
        <f t="shared" si="402"/>
        <v>GALLERIA</v>
      </c>
      <c r="W2827" t="str">
        <f t="shared" si="403"/>
        <v>GALLERIA CASOLA</v>
      </c>
      <c r="Z2827" t="str">
        <f t="shared" si="404"/>
        <v>10.220.80.16</v>
      </c>
    </row>
    <row r="2828" spans="1:26" x14ac:dyDescent="0.25">
      <c r="A2828" t="s">
        <v>10</v>
      </c>
      <c r="B2828" t="s">
        <v>1206</v>
      </c>
      <c r="C2828" t="s">
        <v>2173</v>
      </c>
      <c r="D2828" t="s">
        <v>1619</v>
      </c>
      <c r="E2828" t="s">
        <v>2641</v>
      </c>
      <c r="F2828" t="s">
        <v>2577</v>
      </c>
      <c r="G2828" t="s">
        <v>2531</v>
      </c>
      <c r="H2828" t="s">
        <v>22</v>
      </c>
      <c r="I2828">
        <v>360</v>
      </c>
      <c r="J2828" t="s">
        <v>2646</v>
      </c>
      <c r="K2828">
        <f t="shared" si="396"/>
        <v>360</v>
      </c>
      <c r="N2828" t="str">
        <f t="shared" si="397"/>
        <v>Coil</v>
      </c>
      <c r="O2828" t="str">
        <f t="shared" si="398"/>
        <v>BOOL</v>
      </c>
      <c r="P2828" t="str">
        <f t="shared" si="399"/>
        <v xml:space="preserve">TELECAMERA T13N </v>
      </c>
      <c r="R2828" t="str">
        <f t="shared" si="400"/>
        <v>T13N -EScludi Allarmi Traffico</v>
      </c>
      <c r="U2828" t="str">
        <f t="shared" si="401"/>
        <v>Comando</v>
      </c>
      <c r="V2828" t="str">
        <f t="shared" si="402"/>
        <v>GALLERIA</v>
      </c>
      <c r="W2828" t="str">
        <f t="shared" si="403"/>
        <v>GALLERIA CASOLA</v>
      </c>
      <c r="Z2828" t="str">
        <f t="shared" si="404"/>
        <v>10.220.80.16</v>
      </c>
    </row>
    <row r="2829" spans="1:26" x14ac:dyDescent="0.25">
      <c r="A2829" t="s">
        <v>10</v>
      </c>
      <c r="B2829" t="s">
        <v>1206</v>
      </c>
      <c r="C2829" t="s">
        <v>2173</v>
      </c>
      <c r="D2829" t="s">
        <v>1619</v>
      </c>
      <c r="E2829" t="s">
        <v>2641</v>
      </c>
      <c r="F2829" t="s">
        <v>2577</v>
      </c>
      <c r="G2829" t="s">
        <v>2531</v>
      </c>
      <c r="H2829" t="s">
        <v>22</v>
      </c>
      <c r="I2829">
        <v>361</v>
      </c>
      <c r="J2829" t="s">
        <v>2647</v>
      </c>
      <c r="K2829">
        <f t="shared" si="396"/>
        <v>361</v>
      </c>
      <c r="N2829" t="str">
        <f t="shared" si="397"/>
        <v>Coil</v>
      </c>
      <c r="O2829" t="str">
        <f t="shared" si="398"/>
        <v>BOOL</v>
      </c>
      <c r="P2829" t="str">
        <f t="shared" si="399"/>
        <v xml:space="preserve">TELECAMERA T13N </v>
      </c>
      <c r="R2829" t="str">
        <f t="shared" si="400"/>
        <v>T13N -Includi Allarmi Traffico</v>
      </c>
      <c r="U2829" t="str">
        <f t="shared" si="401"/>
        <v>Comando</v>
      </c>
      <c r="V2829" t="str">
        <f t="shared" si="402"/>
        <v>GALLERIA</v>
      </c>
      <c r="W2829" t="str">
        <f t="shared" si="403"/>
        <v>GALLERIA CASOLA</v>
      </c>
      <c r="Z2829" t="str">
        <f t="shared" si="404"/>
        <v>10.220.80.16</v>
      </c>
    </row>
    <row r="2830" spans="1:26" x14ac:dyDescent="0.25">
      <c r="A2830" t="s">
        <v>10</v>
      </c>
      <c r="B2830" t="s">
        <v>1206</v>
      </c>
      <c r="C2830" t="s">
        <v>2173</v>
      </c>
      <c r="D2830" t="s">
        <v>1619</v>
      </c>
      <c r="E2830" t="s">
        <v>2641</v>
      </c>
      <c r="F2830" t="s">
        <v>2577</v>
      </c>
      <c r="G2830" t="s">
        <v>2531</v>
      </c>
      <c r="H2830" t="s">
        <v>22</v>
      </c>
      <c r="I2830">
        <v>362</v>
      </c>
      <c r="J2830" t="s">
        <v>2648</v>
      </c>
      <c r="K2830">
        <f t="shared" si="396"/>
        <v>362</v>
      </c>
      <c r="N2830" t="str">
        <f t="shared" si="397"/>
        <v>Coil</v>
      </c>
      <c r="O2830" t="str">
        <f t="shared" si="398"/>
        <v>BOOL</v>
      </c>
      <c r="P2830" t="str">
        <f t="shared" si="399"/>
        <v xml:space="preserve">TELECAMERA T13N </v>
      </c>
      <c r="R2830" t="str">
        <f t="shared" si="400"/>
        <v>T13N -Reset Allarmi Telecamera</v>
      </c>
      <c r="U2830" t="str">
        <f t="shared" si="401"/>
        <v>Comando</v>
      </c>
      <c r="V2830" t="str">
        <f t="shared" si="402"/>
        <v>GALLERIA</v>
      </c>
      <c r="W2830" t="str">
        <f t="shared" si="403"/>
        <v>GALLERIA CASOLA</v>
      </c>
      <c r="Z2830" t="str">
        <f t="shared" si="404"/>
        <v>10.220.80.16</v>
      </c>
    </row>
    <row r="2831" spans="1:26" x14ac:dyDescent="0.25">
      <c r="A2831" t="s">
        <v>10</v>
      </c>
      <c r="B2831" t="s">
        <v>1206</v>
      </c>
      <c r="C2831" t="s">
        <v>2173</v>
      </c>
      <c r="D2831" t="s">
        <v>1619</v>
      </c>
      <c r="E2831" t="s">
        <v>2649</v>
      </c>
      <c r="F2831" t="s">
        <v>2577</v>
      </c>
      <c r="G2831" t="s">
        <v>2531</v>
      </c>
      <c r="H2831" t="s">
        <v>22</v>
      </c>
      <c r="I2831">
        <v>363</v>
      </c>
      <c r="J2831" t="s">
        <v>2650</v>
      </c>
      <c r="K2831">
        <f t="shared" si="396"/>
        <v>363</v>
      </c>
      <c r="N2831" t="str">
        <f t="shared" si="397"/>
        <v>Coil</v>
      </c>
      <c r="O2831" t="str">
        <f t="shared" si="398"/>
        <v>BOOL</v>
      </c>
      <c r="P2831" t="str">
        <f t="shared" si="399"/>
        <v xml:space="preserve">TELECAMERA T14N </v>
      </c>
      <c r="R2831" t="str">
        <f t="shared" si="400"/>
        <v>T14N -Escludi Allarmi Telecamera</v>
      </c>
      <c r="U2831" t="str">
        <f t="shared" si="401"/>
        <v>Comando</v>
      </c>
      <c r="V2831" t="str">
        <f t="shared" si="402"/>
        <v>GALLERIA</v>
      </c>
      <c r="W2831" t="str">
        <f t="shared" si="403"/>
        <v>GALLERIA CASOLA</v>
      </c>
      <c r="Z2831" t="str">
        <f t="shared" si="404"/>
        <v>10.220.80.16</v>
      </c>
    </row>
    <row r="2832" spans="1:26" x14ac:dyDescent="0.25">
      <c r="A2832" t="s">
        <v>10</v>
      </c>
      <c r="B2832" t="s">
        <v>1206</v>
      </c>
      <c r="C2832" t="s">
        <v>2173</v>
      </c>
      <c r="D2832" t="s">
        <v>1619</v>
      </c>
      <c r="E2832" t="s">
        <v>2649</v>
      </c>
      <c r="F2832" t="s">
        <v>2577</v>
      </c>
      <c r="G2832" t="s">
        <v>2531</v>
      </c>
      <c r="H2832" t="s">
        <v>22</v>
      </c>
      <c r="I2832">
        <v>364</v>
      </c>
      <c r="J2832" t="s">
        <v>2651</v>
      </c>
      <c r="K2832">
        <f t="shared" si="396"/>
        <v>364</v>
      </c>
      <c r="N2832" t="str">
        <f t="shared" si="397"/>
        <v>Coil</v>
      </c>
      <c r="O2832" t="str">
        <f t="shared" si="398"/>
        <v>BOOL</v>
      </c>
      <c r="P2832" t="str">
        <f t="shared" si="399"/>
        <v xml:space="preserve">TELECAMERA T14N </v>
      </c>
      <c r="R2832" t="str">
        <f t="shared" si="400"/>
        <v>T14N -Includi Allarmi Telecamera</v>
      </c>
      <c r="U2832" t="str">
        <f t="shared" si="401"/>
        <v>Comando</v>
      </c>
      <c r="V2832" t="str">
        <f t="shared" si="402"/>
        <v>GALLERIA</v>
      </c>
      <c r="W2832" t="str">
        <f t="shared" si="403"/>
        <v>GALLERIA CASOLA</v>
      </c>
      <c r="Z2832" t="str">
        <f t="shared" si="404"/>
        <v>10.220.80.16</v>
      </c>
    </row>
    <row r="2833" spans="1:26" x14ac:dyDescent="0.25">
      <c r="A2833" t="s">
        <v>10</v>
      </c>
      <c r="B2833" t="s">
        <v>1206</v>
      </c>
      <c r="C2833" t="s">
        <v>2173</v>
      </c>
      <c r="D2833" t="s">
        <v>1619</v>
      </c>
      <c r="E2833" t="s">
        <v>2649</v>
      </c>
      <c r="F2833" t="s">
        <v>2577</v>
      </c>
      <c r="G2833" t="s">
        <v>2531</v>
      </c>
      <c r="H2833" t="s">
        <v>22</v>
      </c>
      <c r="I2833">
        <v>365</v>
      </c>
      <c r="J2833" t="s">
        <v>2652</v>
      </c>
      <c r="K2833">
        <f t="shared" si="396"/>
        <v>365</v>
      </c>
      <c r="N2833" t="str">
        <f t="shared" si="397"/>
        <v>Coil</v>
      </c>
      <c r="O2833" t="str">
        <f t="shared" si="398"/>
        <v>BOOL</v>
      </c>
      <c r="P2833" t="str">
        <f t="shared" si="399"/>
        <v xml:space="preserve">TELECAMERA T14N </v>
      </c>
      <c r="R2833" t="str">
        <f t="shared" si="400"/>
        <v>T14N -Escludi Allarme Fumo</v>
      </c>
      <c r="U2833" t="str">
        <f t="shared" si="401"/>
        <v>Comando</v>
      </c>
      <c r="V2833" t="str">
        <f t="shared" si="402"/>
        <v>GALLERIA</v>
      </c>
      <c r="W2833" t="str">
        <f t="shared" si="403"/>
        <v>GALLERIA CASOLA</v>
      </c>
      <c r="Z2833" t="str">
        <f t="shared" si="404"/>
        <v>10.220.80.16</v>
      </c>
    </row>
    <row r="2834" spans="1:26" x14ac:dyDescent="0.25">
      <c r="A2834" t="s">
        <v>10</v>
      </c>
      <c r="B2834" t="s">
        <v>1206</v>
      </c>
      <c r="C2834" t="s">
        <v>2173</v>
      </c>
      <c r="D2834" t="s">
        <v>1619</v>
      </c>
      <c r="E2834" t="s">
        <v>2649</v>
      </c>
      <c r="F2834" t="s">
        <v>2577</v>
      </c>
      <c r="G2834" t="s">
        <v>2531</v>
      </c>
      <c r="H2834" t="s">
        <v>22</v>
      </c>
      <c r="I2834">
        <v>366</v>
      </c>
      <c r="J2834" t="s">
        <v>2653</v>
      </c>
      <c r="K2834">
        <f t="shared" si="396"/>
        <v>366</v>
      </c>
      <c r="N2834" t="str">
        <f t="shared" si="397"/>
        <v>Coil</v>
      </c>
      <c r="O2834" t="str">
        <f t="shared" si="398"/>
        <v>BOOL</v>
      </c>
      <c r="P2834" t="str">
        <f t="shared" si="399"/>
        <v xml:space="preserve">TELECAMERA T14N </v>
      </c>
      <c r="R2834" t="str">
        <f t="shared" si="400"/>
        <v>T14N -Includi Allarme Fumo</v>
      </c>
      <c r="U2834" t="str">
        <f t="shared" si="401"/>
        <v>Comando</v>
      </c>
      <c r="V2834" t="str">
        <f t="shared" si="402"/>
        <v>GALLERIA</v>
      </c>
      <c r="W2834" t="str">
        <f t="shared" si="403"/>
        <v>GALLERIA CASOLA</v>
      </c>
      <c r="Z2834" t="str">
        <f t="shared" si="404"/>
        <v>10.220.80.16</v>
      </c>
    </row>
    <row r="2835" spans="1:26" x14ac:dyDescent="0.25">
      <c r="A2835" t="s">
        <v>10</v>
      </c>
      <c r="B2835" t="s">
        <v>1206</v>
      </c>
      <c r="C2835" t="s">
        <v>2173</v>
      </c>
      <c r="D2835" t="s">
        <v>1619</v>
      </c>
      <c r="E2835" t="s">
        <v>2649</v>
      </c>
      <c r="F2835" t="s">
        <v>2577</v>
      </c>
      <c r="G2835" t="s">
        <v>2531</v>
      </c>
      <c r="H2835" t="s">
        <v>22</v>
      </c>
      <c r="I2835">
        <v>367</v>
      </c>
      <c r="J2835" t="s">
        <v>2654</v>
      </c>
      <c r="K2835">
        <f t="shared" si="396"/>
        <v>367</v>
      </c>
      <c r="N2835" t="str">
        <f t="shared" si="397"/>
        <v>Coil</v>
      </c>
      <c r="O2835" t="str">
        <f t="shared" si="398"/>
        <v>BOOL</v>
      </c>
      <c r="P2835" t="str">
        <f t="shared" si="399"/>
        <v xml:space="preserve">TELECAMERA T14N </v>
      </c>
      <c r="R2835" t="str">
        <f t="shared" si="400"/>
        <v>T14N -EScludi Allarmi Traffico</v>
      </c>
      <c r="U2835" t="str">
        <f t="shared" si="401"/>
        <v>Comando</v>
      </c>
      <c r="V2835" t="str">
        <f t="shared" si="402"/>
        <v>GALLERIA</v>
      </c>
      <c r="W2835" t="str">
        <f t="shared" si="403"/>
        <v>GALLERIA CASOLA</v>
      </c>
      <c r="Z2835" t="str">
        <f t="shared" si="404"/>
        <v>10.220.80.16</v>
      </c>
    </row>
    <row r="2836" spans="1:26" x14ac:dyDescent="0.25">
      <c r="A2836" t="s">
        <v>10</v>
      </c>
      <c r="B2836" t="s">
        <v>1206</v>
      </c>
      <c r="C2836" t="s">
        <v>2173</v>
      </c>
      <c r="D2836" t="s">
        <v>1619</v>
      </c>
      <c r="E2836" t="s">
        <v>2649</v>
      </c>
      <c r="F2836" t="s">
        <v>2577</v>
      </c>
      <c r="G2836" t="s">
        <v>2531</v>
      </c>
      <c r="H2836" t="s">
        <v>22</v>
      </c>
      <c r="I2836">
        <v>368</v>
      </c>
      <c r="J2836" t="s">
        <v>2655</v>
      </c>
      <c r="K2836">
        <f t="shared" si="396"/>
        <v>368</v>
      </c>
      <c r="N2836" t="str">
        <f t="shared" si="397"/>
        <v>Coil</v>
      </c>
      <c r="O2836" t="str">
        <f t="shared" si="398"/>
        <v>BOOL</v>
      </c>
      <c r="P2836" t="str">
        <f t="shared" si="399"/>
        <v xml:space="preserve">TELECAMERA T14N </v>
      </c>
      <c r="R2836" t="str">
        <f t="shared" si="400"/>
        <v>T14N -Includi Allarmi Traffico</v>
      </c>
      <c r="U2836" t="str">
        <f t="shared" si="401"/>
        <v>Comando</v>
      </c>
      <c r="V2836" t="str">
        <f t="shared" si="402"/>
        <v>GALLERIA</v>
      </c>
      <c r="W2836" t="str">
        <f t="shared" si="403"/>
        <v>GALLERIA CASOLA</v>
      </c>
      <c r="Z2836" t="str">
        <f t="shared" si="404"/>
        <v>10.220.80.16</v>
      </c>
    </row>
    <row r="2837" spans="1:26" x14ac:dyDescent="0.25">
      <c r="A2837" t="s">
        <v>10</v>
      </c>
      <c r="B2837" t="s">
        <v>1206</v>
      </c>
      <c r="C2837" t="s">
        <v>2173</v>
      </c>
      <c r="D2837" t="s">
        <v>1619</v>
      </c>
      <c r="E2837" t="s">
        <v>2649</v>
      </c>
      <c r="F2837" t="s">
        <v>2577</v>
      </c>
      <c r="G2837" t="s">
        <v>2531</v>
      </c>
      <c r="H2837" t="s">
        <v>22</v>
      </c>
      <c r="I2837">
        <v>369</v>
      </c>
      <c r="J2837" t="s">
        <v>2656</v>
      </c>
      <c r="K2837">
        <f t="shared" si="396"/>
        <v>369</v>
      </c>
      <c r="N2837" t="str">
        <f t="shared" si="397"/>
        <v>Coil</v>
      </c>
      <c r="O2837" t="str">
        <f t="shared" si="398"/>
        <v>BOOL</v>
      </c>
      <c r="P2837" t="str">
        <f t="shared" si="399"/>
        <v xml:space="preserve">TELECAMERA T14N </v>
      </c>
      <c r="R2837" t="str">
        <f t="shared" si="400"/>
        <v>T14N -Reset Allarmi Telecamera</v>
      </c>
      <c r="U2837" t="str">
        <f t="shared" si="401"/>
        <v>Comando</v>
      </c>
      <c r="V2837" t="str">
        <f t="shared" si="402"/>
        <v>GALLERIA</v>
      </c>
      <c r="W2837" t="str">
        <f t="shared" si="403"/>
        <v>GALLERIA CASOLA</v>
      </c>
      <c r="Z2837" t="str">
        <f t="shared" si="404"/>
        <v>10.220.80.16</v>
      </c>
    </row>
    <row r="2838" spans="1:26" x14ac:dyDescent="0.25">
      <c r="A2838" t="s">
        <v>10</v>
      </c>
      <c r="B2838" t="s">
        <v>1206</v>
      </c>
      <c r="C2838" t="s">
        <v>2173</v>
      </c>
      <c r="D2838" t="s">
        <v>1619</v>
      </c>
      <c r="E2838" t="s">
        <v>2657</v>
      </c>
      <c r="F2838" t="s">
        <v>2577</v>
      </c>
      <c r="G2838" t="s">
        <v>2531</v>
      </c>
      <c r="H2838" t="s">
        <v>22</v>
      </c>
      <c r="I2838">
        <v>370</v>
      </c>
      <c r="J2838" t="s">
        <v>2658</v>
      </c>
      <c r="K2838">
        <f t="shared" si="396"/>
        <v>370</v>
      </c>
      <c r="N2838" t="str">
        <f t="shared" si="397"/>
        <v>Coil</v>
      </c>
      <c r="O2838" t="str">
        <f t="shared" si="398"/>
        <v>BOOL</v>
      </c>
      <c r="P2838" t="str">
        <f t="shared" si="399"/>
        <v xml:space="preserve">TELECAMERA T15N </v>
      </c>
      <c r="R2838" t="str">
        <f t="shared" si="400"/>
        <v>T15N -Escludi Allarmi Telecamera</v>
      </c>
      <c r="U2838" t="str">
        <f t="shared" si="401"/>
        <v>Comando</v>
      </c>
      <c r="V2838" t="str">
        <f t="shared" si="402"/>
        <v>GALLERIA</v>
      </c>
      <c r="W2838" t="str">
        <f t="shared" si="403"/>
        <v>GALLERIA CASOLA</v>
      </c>
      <c r="Z2838" t="str">
        <f t="shared" si="404"/>
        <v>10.220.80.16</v>
      </c>
    </row>
    <row r="2839" spans="1:26" x14ac:dyDescent="0.25">
      <c r="A2839" t="s">
        <v>10</v>
      </c>
      <c r="B2839" t="s">
        <v>1206</v>
      </c>
      <c r="C2839" t="s">
        <v>2173</v>
      </c>
      <c r="D2839" t="s">
        <v>1619</v>
      </c>
      <c r="E2839" t="s">
        <v>2657</v>
      </c>
      <c r="F2839" t="s">
        <v>2577</v>
      </c>
      <c r="G2839" t="s">
        <v>2531</v>
      </c>
      <c r="H2839" t="s">
        <v>22</v>
      </c>
      <c r="I2839">
        <v>371</v>
      </c>
      <c r="J2839" t="s">
        <v>2659</v>
      </c>
      <c r="K2839">
        <f t="shared" si="396"/>
        <v>371</v>
      </c>
      <c r="N2839" t="str">
        <f t="shared" si="397"/>
        <v>Coil</v>
      </c>
      <c r="O2839" t="str">
        <f t="shared" si="398"/>
        <v>BOOL</v>
      </c>
      <c r="P2839" t="str">
        <f t="shared" si="399"/>
        <v xml:space="preserve">TELECAMERA T15N </v>
      </c>
      <c r="R2839" t="str">
        <f t="shared" si="400"/>
        <v>T15N -Includi Allarmi Telecamera</v>
      </c>
      <c r="U2839" t="str">
        <f t="shared" si="401"/>
        <v>Comando</v>
      </c>
      <c r="V2839" t="str">
        <f t="shared" si="402"/>
        <v>GALLERIA</v>
      </c>
      <c r="W2839" t="str">
        <f t="shared" si="403"/>
        <v>GALLERIA CASOLA</v>
      </c>
      <c r="Z2839" t="str">
        <f t="shared" si="404"/>
        <v>10.220.80.16</v>
      </c>
    </row>
    <row r="2840" spans="1:26" x14ac:dyDescent="0.25">
      <c r="A2840" t="s">
        <v>10</v>
      </c>
      <c r="B2840" t="s">
        <v>1206</v>
      </c>
      <c r="C2840" t="s">
        <v>2173</v>
      </c>
      <c r="D2840" t="s">
        <v>1619</v>
      </c>
      <c r="E2840" t="s">
        <v>2657</v>
      </c>
      <c r="F2840" t="s">
        <v>2577</v>
      </c>
      <c r="G2840" t="s">
        <v>2531</v>
      </c>
      <c r="H2840" t="s">
        <v>22</v>
      </c>
      <c r="I2840">
        <v>372</v>
      </c>
      <c r="J2840" t="s">
        <v>2660</v>
      </c>
      <c r="K2840">
        <f t="shared" si="396"/>
        <v>372</v>
      </c>
      <c r="N2840" t="str">
        <f t="shared" si="397"/>
        <v>Coil</v>
      </c>
      <c r="O2840" t="str">
        <f t="shared" si="398"/>
        <v>BOOL</v>
      </c>
      <c r="P2840" t="str">
        <f t="shared" si="399"/>
        <v xml:space="preserve">TELECAMERA T15N </v>
      </c>
      <c r="R2840" t="str">
        <f t="shared" si="400"/>
        <v>T15N -Escludi Allarme Fumo</v>
      </c>
      <c r="U2840" t="str">
        <f t="shared" si="401"/>
        <v>Comando</v>
      </c>
      <c r="V2840" t="str">
        <f t="shared" si="402"/>
        <v>GALLERIA</v>
      </c>
      <c r="W2840" t="str">
        <f t="shared" si="403"/>
        <v>GALLERIA CASOLA</v>
      </c>
      <c r="Z2840" t="str">
        <f t="shared" si="404"/>
        <v>10.220.80.16</v>
      </c>
    </row>
    <row r="2841" spans="1:26" x14ac:dyDescent="0.25">
      <c r="A2841" t="s">
        <v>10</v>
      </c>
      <c r="B2841" t="s">
        <v>1206</v>
      </c>
      <c r="C2841" t="s">
        <v>2173</v>
      </c>
      <c r="D2841" t="s">
        <v>1619</v>
      </c>
      <c r="E2841" t="s">
        <v>2657</v>
      </c>
      <c r="F2841" t="s">
        <v>2577</v>
      </c>
      <c r="G2841" t="s">
        <v>2531</v>
      </c>
      <c r="H2841" t="s">
        <v>22</v>
      </c>
      <c r="I2841">
        <v>373</v>
      </c>
      <c r="J2841" t="s">
        <v>2661</v>
      </c>
      <c r="K2841">
        <f t="shared" si="396"/>
        <v>373</v>
      </c>
      <c r="N2841" t="str">
        <f t="shared" si="397"/>
        <v>Coil</v>
      </c>
      <c r="O2841" t="str">
        <f t="shared" si="398"/>
        <v>BOOL</v>
      </c>
      <c r="P2841" t="str">
        <f t="shared" si="399"/>
        <v xml:space="preserve">TELECAMERA T15N </v>
      </c>
      <c r="R2841" t="str">
        <f t="shared" si="400"/>
        <v>T15N -Includi Allarme Fumo</v>
      </c>
      <c r="U2841" t="str">
        <f t="shared" si="401"/>
        <v>Comando</v>
      </c>
      <c r="V2841" t="str">
        <f t="shared" si="402"/>
        <v>GALLERIA</v>
      </c>
      <c r="W2841" t="str">
        <f t="shared" si="403"/>
        <v>GALLERIA CASOLA</v>
      </c>
      <c r="Z2841" t="str">
        <f t="shared" si="404"/>
        <v>10.220.80.16</v>
      </c>
    </row>
    <row r="2842" spans="1:26" x14ac:dyDescent="0.25">
      <c r="A2842" t="s">
        <v>10</v>
      </c>
      <c r="B2842" t="s">
        <v>1206</v>
      </c>
      <c r="C2842" t="s">
        <v>2173</v>
      </c>
      <c r="D2842" t="s">
        <v>1619</v>
      </c>
      <c r="E2842" t="s">
        <v>2657</v>
      </c>
      <c r="F2842" t="s">
        <v>2577</v>
      </c>
      <c r="G2842" t="s">
        <v>2531</v>
      </c>
      <c r="H2842" t="s">
        <v>22</v>
      </c>
      <c r="I2842">
        <v>374</v>
      </c>
      <c r="J2842" t="s">
        <v>2662</v>
      </c>
      <c r="K2842">
        <f t="shared" si="396"/>
        <v>374</v>
      </c>
      <c r="N2842" t="str">
        <f t="shared" si="397"/>
        <v>Coil</v>
      </c>
      <c r="O2842" t="str">
        <f t="shared" si="398"/>
        <v>BOOL</v>
      </c>
      <c r="P2842" t="str">
        <f t="shared" si="399"/>
        <v xml:space="preserve">TELECAMERA T15N </v>
      </c>
      <c r="R2842" t="str">
        <f t="shared" si="400"/>
        <v>T15N -EScludi Allarmi Traffico</v>
      </c>
      <c r="U2842" t="str">
        <f t="shared" si="401"/>
        <v>Comando</v>
      </c>
      <c r="V2842" t="str">
        <f t="shared" si="402"/>
        <v>GALLERIA</v>
      </c>
      <c r="W2842" t="str">
        <f t="shared" si="403"/>
        <v>GALLERIA CASOLA</v>
      </c>
      <c r="Z2842" t="str">
        <f t="shared" si="404"/>
        <v>10.220.80.16</v>
      </c>
    </row>
    <row r="2843" spans="1:26" x14ac:dyDescent="0.25">
      <c r="A2843" t="s">
        <v>10</v>
      </c>
      <c r="B2843" t="s">
        <v>1206</v>
      </c>
      <c r="C2843" t="s">
        <v>2173</v>
      </c>
      <c r="D2843" t="s">
        <v>1619</v>
      </c>
      <c r="E2843" t="s">
        <v>2657</v>
      </c>
      <c r="F2843" t="s">
        <v>2577</v>
      </c>
      <c r="G2843" t="s">
        <v>2531</v>
      </c>
      <c r="H2843" t="s">
        <v>22</v>
      </c>
      <c r="I2843">
        <v>375</v>
      </c>
      <c r="J2843" t="s">
        <v>2663</v>
      </c>
      <c r="K2843">
        <f t="shared" si="396"/>
        <v>375</v>
      </c>
      <c r="N2843" t="str">
        <f t="shared" si="397"/>
        <v>Coil</v>
      </c>
      <c r="O2843" t="str">
        <f t="shared" si="398"/>
        <v>BOOL</v>
      </c>
      <c r="P2843" t="str">
        <f t="shared" si="399"/>
        <v xml:space="preserve">TELECAMERA T15N </v>
      </c>
      <c r="R2843" t="str">
        <f t="shared" si="400"/>
        <v>T15N -Includi Allarmi Traffico</v>
      </c>
      <c r="U2843" t="str">
        <f t="shared" si="401"/>
        <v>Comando</v>
      </c>
      <c r="V2843" t="str">
        <f t="shared" si="402"/>
        <v>GALLERIA</v>
      </c>
      <c r="W2843" t="str">
        <f t="shared" si="403"/>
        <v>GALLERIA CASOLA</v>
      </c>
      <c r="Z2843" t="str">
        <f t="shared" si="404"/>
        <v>10.220.80.16</v>
      </c>
    </row>
    <row r="2844" spans="1:26" x14ac:dyDescent="0.25">
      <c r="A2844" t="s">
        <v>10</v>
      </c>
      <c r="B2844" t="s">
        <v>1206</v>
      </c>
      <c r="C2844" t="s">
        <v>2173</v>
      </c>
      <c r="D2844" t="s">
        <v>1619</v>
      </c>
      <c r="E2844" t="s">
        <v>2657</v>
      </c>
      <c r="F2844" t="s">
        <v>2577</v>
      </c>
      <c r="G2844" t="s">
        <v>2531</v>
      </c>
      <c r="H2844" t="s">
        <v>22</v>
      </c>
      <c r="I2844">
        <v>376</v>
      </c>
      <c r="J2844" t="s">
        <v>2664</v>
      </c>
      <c r="K2844">
        <f t="shared" si="396"/>
        <v>376</v>
      </c>
      <c r="N2844" t="str">
        <f t="shared" si="397"/>
        <v>Coil</v>
      </c>
      <c r="O2844" t="str">
        <f t="shared" si="398"/>
        <v>BOOL</v>
      </c>
      <c r="P2844" t="str">
        <f t="shared" si="399"/>
        <v xml:space="preserve">TELECAMERA T15N </v>
      </c>
      <c r="R2844" t="str">
        <f t="shared" si="400"/>
        <v>T15N -Reset Allarmi Telecamera</v>
      </c>
      <c r="U2844" t="str">
        <f t="shared" si="401"/>
        <v>Comando</v>
      </c>
      <c r="V2844" t="str">
        <f t="shared" si="402"/>
        <v>GALLERIA</v>
      </c>
      <c r="W2844" t="str">
        <f t="shared" si="403"/>
        <v>GALLERIA CASOLA</v>
      </c>
      <c r="Z2844" t="str">
        <f t="shared" si="404"/>
        <v>10.220.80.16</v>
      </c>
    </row>
    <row r="2845" spans="1:26" x14ac:dyDescent="0.25">
      <c r="A2845" t="s">
        <v>10</v>
      </c>
      <c r="B2845" t="s">
        <v>1206</v>
      </c>
      <c r="C2845" t="s">
        <v>2173</v>
      </c>
      <c r="D2845" t="s">
        <v>1619</v>
      </c>
      <c r="E2845" t="s">
        <v>2665</v>
      </c>
      <c r="F2845" t="s">
        <v>2577</v>
      </c>
      <c r="G2845" t="s">
        <v>2531</v>
      </c>
      <c r="H2845" t="s">
        <v>22</v>
      </c>
      <c r="I2845">
        <v>377</v>
      </c>
      <c r="J2845" t="s">
        <v>2666</v>
      </c>
      <c r="K2845">
        <f t="shared" si="396"/>
        <v>377</v>
      </c>
      <c r="N2845" t="str">
        <f t="shared" si="397"/>
        <v>Coil</v>
      </c>
      <c r="O2845" t="str">
        <f t="shared" si="398"/>
        <v>BOOL</v>
      </c>
      <c r="P2845" t="str">
        <f t="shared" si="399"/>
        <v xml:space="preserve">TELECAMERA T16N </v>
      </c>
      <c r="R2845" t="str">
        <f t="shared" si="400"/>
        <v>T16N -Escludi Allarmi Telecamera</v>
      </c>
      <c r="U2845" t="str">
        <f t="shared" si="401"/>
        <v>Comando</v>
      </c>
      <c r="V2845" t="str">
        <f t="shared" si="402"/>
        <v>GALLERIA</v>
      </c>
      <c r="W2845" t="str">
        <f t="shared" si="403"/>
        <v>GALLERIA CASOLA</v>
      </c>
      <c r="Z2845" t="str">
        <f t="shared" si="404"/>
        <v>10.220.80.16</v>
      </c>
    </row>
    <row r="2846" spans="1:26" x14ac:dyDescent="0.25">
      <c r="A2846" t="s">
        <v>10</v>
      </c>
      <c r="B2846" t="s">
        <v>1206</v>
      </c>
      <c r="C2846" t="s">
        <v>2173</v>
      </c>
      <c r="D2846" t="s">
        <v>1619</v>
      </c>
      <c r="E2846" t="s">
        <v>2665</v>
      </c>
      <c r="F2846" t="s">
        <v>2577</v>
      </c>
      <c r="G2846" t="s">
        <v>2531</v>
      </c>
      <c r="H2846" t="s">
        <v>22</v>
      </c>
      <c r="I2846">
        <v>378</v>
      </c>
      <c r="J2846" t="s">
        <v>2667</v>
      </c>
      <c r="K2846">
        <f t="shared" si="396"/>
        <v>378</v>
      </c>
      <c r="N2846" t="str">
        <f t="shared" si="397"/>
        <v>Coil</v>
      </c>
      <c r="O2846" t="str">
        <f t="shared" si="398"/>
        <v>BOOL</v>
      </c>
      <c r="P2846" t="str">
        <f t="shared" si="399"/>
        <v xml:space="preserve">TELECAMERA T16N </v>
      </c>
      <c r="R2846" t="str">
        <f t="shared" si="400"/>
        <v>T16N -Includi Allarmi Telecamera</v>
      </c>
      <c r="U2846" t="str">
        <f t="shared" si="401"/>
        <v>Comando</v>
      </c>
      <c r="V2846" t="str">
        <f t="shared" si="402"/>
        <v>GALLERIA</v>
      </c>
      <c r="W2846" t="str">
        <f t="shared" si="403"/>
        <v>GALLERIA CASOLA</v>
      </c>
      <c r="Z2846" t="str">
        <f t="shared" si="404"/>
        <v>10.220.80.16</v>
      </c>
    </row>
    <row r="2847" spans="1:26" x14ac:dyDescent="0.25">
      <c r="A2847" t="s">
        <v>10</v>
      </c>
      <c r="B2847" t="s">
        <v>1206</v>
      </c>
      <c r="C2847" t="s">
        <v>2173</v>
      </c>
      <c r="D2847" t="s">
        <v>1619</v>
      </c>
      <c r="E2847" t="s">
        <v>2665</v>
      </c>
      <c r="F2847" t="s">
        <v>2577</v>
      </c>
      <c r="G2847" t="s">
        <v>2531</v>
      </c>
      <c r="H2847" t="s">
        <v>22</v>
      </c>
      <c r="I2847">
        <v>379</v>
      </c>
      <c r="J2847" t="s">
        <v>2668</v>
      </c>
      <c r="K2847">
        <f t="shared" si="396"/>
        <v>379</v>
      </c>
      <c r="N2847" t="str">
        <f t="shared" si="397"/>
        <v>Coil</v>
      </c>
      <c r="O2847" t="str">
        <f t="shared" si="398"/>
        <v>BOOL</v>
      </c>
      <c r="P2847" t="str">
        <f t="shared" si="399"/>
        <v xml:space="preserve">TELECAMERA T16N </v>
      </c>
      <c r="R2847" t="str">
        <f t="shared" si="400"/>
        <v>T16N -Escludi Allarme Fumo</v>
      </c>
      <c r="U2847" t="str">
        <f t="shared" si="401"/>
        <v>Comando</v>
      </c>
      <c r="V2847" t="str">
        <f t="shared" si="402"/>
        <v>GALLERIA</v>
      </c>
      <c r="W2847" t="str">
        <f t="shared" si="403"/>
        <v>GALLERIA CASOLA</v>
      </c>
      <c r="Z2847" t="str">
        <f t="shared" si="404"/>
        <v>10.220.80.16</v>
      </c>
    </row>
    <row r="2848" spans="1:26" x14ac:dyDescent="0.25">
      <c r="A2848" t="s">
        <v>10</v>
      </c>
      <c r="B2848" t="s">
        <v>1206</v>
      </c>
      <c r="C2848" t="s">
        <v>2173</v>
      </c>
      <c r="D2848" t="s">
        <v>1619</v>
      </c>
      <c r="E2848" t="s">
        <v>2665</v>
      </c>
      <c r="F2848" t="s">
        <v>2577</v>
      </c>
      <c r="G2848" t="s">
        <v>2531</v>
      </c>
      <c r="H2848" t="s">
        <v>22</v>
      </c>
      <c r="I2848">
        <v>380</v>
      </c>
      <c r="J2848" t="s">
        <v>2669</v>
      </c>
      <c r="K2848">
        <f t="shared" si="396"/>
        <v>380</v>
      </c>
      <c r="N2848" t="str">
        <f t="shared" si="397"/>
        <v>Coil</v>
      </c>
      <c r="O2848" t="str">
        <f t="shared" si="398"/>
        <v>BOOL</v>
      </c>
      <c r="P2848" t="str">
        <f t="shared" si="399"/>
        <v xml:space="preserve">TELECAMERA T16N </v>
      </c>
      <c r="R2848" t="str">
        <f t="shared" si="400"/>
        <v>T16N -Includi Allarme Fumo</v>
      </c>
      <c r="U2848" t="str">
        <f t="shared" si="401"/>
        <v>Comando</v>
      </c>
      <c r="V2848" t="str">
        <f t="shared" si="402"/>
        <v>GALLERIA</v>
      </c>
      <c r="W2848" t="str">
        <f t="shared" si="403"/>
        <v>GALLERIA CASOLA</v>
      </c>
      <c r="Z2848" t="str">
        <f t="shared" si="404"/>
        <v>10.220.80.16</v>
      </c>
    </row>
    <row r="2849" spans="1:26" x14ac:dyDescent="0.25">
      <c r="A2849" t="s">
        <v>10</v>
      </c>
      <c r="B2849" t="s">
        <v>1206</v>
      </c>
      <c r="C2849" t="s">
        <v>2173</v>
      </c>
      <c r="D2849" t="s">
        <v>1619</v>
      </c>
      <c r="E2849" t="s">
        <v>2665</v>
      </c>
      <c r="F2849" t="s">
        <v>2577</v>
      </c>
      <c r="G2849" t="s">
        <v>2531</v>
      </c>
      <c r="H2849" t="s">
        <v>22</v>
      </c>
      <c r="I2849">
        <v>381</v>
      </c>
      <c r="J2849" t="s">
        <v>2670</v>
      </c>
      <c r="K2849">
        <f t="shared" si="396"/>
        <v>381</v>
      </c>
      <c r="N2849" t="str">
        <f t="shared" si="397"/>
        <v>Coil</v>
      </c>
      <c r="O2849" t="str">
        <f t="shared" si="398"/>
        <v>BOOL</v>
      </c>
      <c r="P2849" t="str">
        <f t="shared" si="399"/>
        <v xml:space="preserve">TELECAMERA T16N </v>
      </c>
      <c r="R2849" t="str">
        <f t="shared" si="400"/>
        <v>T16N -EScludi Allarmi Traffico</v>
      </c>
      <c r="U2849" t="str">
        <f t="shared" si="401"/>
        <v>Comando</v>
      </c>
      <c r="V2849" t="str">
        <f t="shared" si="402"/>
        <v>GALLERIA</v>
      </c>
      <c r="W2849" t="str">
        <f t="shared" si="403"/>
        <v>GALLERIA CASOLA</v>
      </c>
      <c r="Z2849" t="str">
        <f t="shared" si="404"/>
        <v>10.220.80.16</v>
      </c>
    </row>
    <row r="2850" spans="1:26" x14ac:dyDescent="0.25">
      <c r="A2850" t="s">
        <v>10</v>
      </c>
      <c r="B2850" t="s">
        <v>1206</v>
      </c>
      <c r="C2850" t="s">
        <v>2173</v>
      </c>
      <c r="D2850" t="s">
        <v>1619</v>
      </c>
      <c r="E2850" t="s">
        <v>2665</v>
      </c>
      <c r="F2850" t="s">
        <v>2577</v>
      </c>
      <c r="G2850" t="s">
        <v>2531</v>
      </c>
      <c r="H2850" t="s">
        <v>22</v>
      </c>
      <c r="I2850">
        <v>382</v>
      </c>
      <c r="J2850" t="s">
        <v>2671</v>
      </c>
      <c r="K2850">
        <f t="shared" si="396"/>
        <v>382</v>
      </c>
      <c r="N2850" t="str">
        <f t="shared" si="397"/>
        <v>Coil</v>
      </c>
      <c r="O2850" t="str">
        <f t="shared" si="398"/>
        <v>BOOL</v>
      </c>
      <c r="P2850" t="str">
        <f t="shared" si="399"/>
        <v xml:space="preserve">TELECAMERA T16N </v>
      </c>
      <c r="R2850" t="str">
        <f t="shared" si="400"/>
        <v>T16N -Includi Allarmi Traffico</v>
      </c>
      <c r="U2850" t="str">
        <f t="shared" si="401"/>
        <v>Comando</v>
      </c>
      <c r="V2850" t="str">
        <f t="shared" si="402"/>
        <v>GALLERIA</v>
      </c>
      <c r="W2850" t="str">
        <f t="shared" si="403"/>
        <v>GALLERIA CASOLA</v>
      </c>
      <c r="Z2850" t="str">
        <f t="shared" si="404"/>
        <v>10.220.80.16</v>
      </c>
    </row>
    <row r="2851" spans="1:26" x14ac:dyDescent="0.25">
      <c r="A2851" t="s">
        <v>10</v>
      </c>
      <c r="B2851" t="s">
        <v>1206</v>
      </c>
      <c r="C2851" t="s">
        <v>2173</v>
      </c>
      <c r="D2851" t="s">
        <v>1619</v>
      </c>
      <c r="E2851" t="s">
        <v>2665</v>
      </c>
      <c r="F2851" t="s">
        <v>2577</v>
      </c>
      <c r="G2851" t="s">
        <v>2531</v>
      </c>
      <c r="H2851" t="s">
        <v>22</v>
      </c>
      <c r="I2851">
        <v>383</v>
      </c>
      <c r="J2851" t="s">
        <v>2672</v>
      </c>
      <c r="K2851">
        <f t="shared" si="396"/>
        <v>383</v>
      </c>
      <c r="N2851" t="str">
        <f t="shared" si="397"/>
        <v>Coil</v>
      </c>
      <c r="O2851" t="str">
        <f t="shared" si="398"/>
        <v>BOOL</v>
      </c>
      <c r="P2851" t="str">
        <f t="shared" si="399"/>
        <v xml:space="preserve">TELECAMERA T16N </v>
      </c>
      <c r="R2851" t="str">
        <f t="shared" si="400"/>
        <v>T16N -Reset Allarmi Telecamera</v>
      </c>
      <c r="U2851" t="str">
        <f t="shared" si="401"/>
        <v>Comando</v>
      </c>
      <c r="V2851" t="str">
        <f t="shared" si="402"/>
        <v>GALLERIA</v>
      </c>
      <c r="W2851" t="str">
        <f t="shared" si="403"/>
        <v>GALLERIA CASOLA</v>
      </c>
      <c r="Z2851" t="str">
        <f t="shared" si="404"/>
        <v>10.220.80.16</v>
      </c>
    </row>
    <row r="2852" spans="1:26" x14ac:dyDescent="0.25">
      <c r="A2852" t="s">
        <v>10</v>
      </c>
      <c r="B2852" t="s">
        <v>1206</v>
      </c>
      <c r="C2852" t="s">
        <v>2173</v>
      </c>
      <c r="D2852" t="s">
        <v>2174</v>
      </c>
      <c r="E2852" t="s">
        <v>2175</v>
      </c>
      <c r="F2852" t="s">
        <v>14</v>
      </c>
      <c r="G2852" t="s">
        <v>2531</v>
      </c>
      <c r="H2852" t="s">
        <v>16</v>
      </c>
      <c r="I2852">
        <v>12001</v>
      </c>
      <c r="J2852" t="s">
        <v>2705</v>
      </c>
      <c r="K2852">
        <f t="shared" si="396"/>
        <v>12001</v>
      </c>
      <c r="N2852" t="str">
        <f t="shared" si="397"/>
        <v>HOLDING REGISTER</v>
      </c>
      <c r="O2852" t="str">
        <f t="shared" si="398"/>
        <v>INT</v>
      </c>
      <c r="P2852" t="str">
        <f t="shared" si="399"/>
        <v>JETFAN V1DX</v>
      </c>
      <c r="R2852" t="str">
        <f t="shared" si="400"/>
        <v>COD. 2= COMANDI MAN: accettato solo se in modalità comandi auto da "QVE" su quadro CABINA per singolo ventilatore e "REMOTO" Quadro "QVFF".</v>
      </c>
      <c r="U2852" t="str">
        <f t="shared" si="401"/>
        <v>Comando</v>
      </c>
      <c r="V2852" t="str">
        <f t="shared" si="402"/>
        <v>GALLERIA</v>
      </c>
      <c r="W2852" t="str">
        <f t="shared" si="403"/>
        <v>GALLERIA CASOLA</v>
      </c>
      <c r="Z2852" t="str">
        <f t="shared" si="404"/>
        <v>10.220.80.16</v>
      </c>
    </row>
    <row r="2853" spans="1:26" x14ac:dyDescent="0.25">
      <c r="A2853" t="s">
        <v>10</v>
      </c>
      <c r="B2853" t="s">
        <v>1206</v>
      </c>
      <c r="C2853" t="s">
        <v>2173</v>
      </c>
      <c r="D2853" t="s">
        <v>2174</v>
      </c>
      <c r="E2853" t="s">
        <v>2175</v>
      </c>
      <c r="F2853" t="s">
        <v>14</v>
      </c>
      <c r="G2853" t="s">
        <v>2531</v>
      </c>
      <c r="H2853" t="s">
        <v>16</v>
      </c>
      <c r="I2853">
        <v>12001</v>
      </c>
      <c r="J2853" t="s">
        <v>2706</v>
      </c>
      <c r="K2853">
        <f t="shared" si="396"/>
        <v>12001</v>
      </c>
      <c r="N2853" t="str">
        <f t="shared" si="397"/>
        <v>HOLDING REGISTER</v>
      </c>
      <c r="O2853" t="str">
        <f t="shared" si="398"/>
        <v>INT</v>
      </c>
      <c r="P2853" t="str">
        <f t="shared" si="399"/>
        <v>JETFAN V1DX</v>
      </c>
      <c r="R2853" t="str">
        <f t="shared" si="400"/>
        <v>COD. 3= COMANDI AUTO: accettato solo se in modalità comandi auto da "QVE" su quadro CABINA per singolo ventilatore e "REMOTO" Quadro "QVFF".</v>
      </c>
      <c r="U2853" t="str">
        <f t="shared" si="401"/>
        <v>Comando</v>
      </c>
      <c r="V2853" t="str">
        <f t="shared" si="402"/>
        <v>GALLERIA</v>
      </c>
      <c r="W2853" t="str">
        <f t="shared" si="403"/>
        <v>GALLERIA CASOLA</v>
      </c>
      <c r="Z2853" t="str">
        <f t="shared" si="404"/>
        <v>10.220.80.16</v>
      </c>
    </row>
    <row r="2854" spans="1:26" x14ac:dyDescent="0.25">
      <c r="A2854" t="s">
        <v>10</v>
      </c>
      <c r="B2854" t="s">
        <v>1206</v>
      </c>
      <c r="C2854" t="s">
        <v>2173</v>
      </c>
      <c r="D2854" t="s">
        <v>2174</v>
      </c>
      <c r="E2854" t="s">
        <v>2175</v>
      </c>
      <c r="F2854" t="s">
        <v>14</v>
      </c>
      <c r="G2854" t="s">
        <v>2531</v>
      </c>
      <c r="H2854" t="s">
        <v>16</v>
      </c>
      <c r="I2854">
        <v>12001</v>
      </c>
      <c r="J2854" t="s">
        <v>2707</v>
      </c>
      <c r="K2854">
        <f t="shared" si="396"/>
        <v>12001</v>
      </c>
      <c r="N2854" t="str">
        <f t="shared" si="397"/>
        <v>HOLDING REGISTER</v>
      </c>
      <c r="O2854" t="str">
        <f t="shared" si="398"/>
        <v>INT</v>
      </c>
      <c r="P2854" t="str">
        <f t="shared" si="399"/>
        <v>JETFAN V1DX</v>
      </c>
      <c r="R2854" t="str">
        <f t="shared" si="400"/>
        <v>COD. 4 =ESCLUDI</v>
      </c>
      <c r="U2854" t="str">
        <f t="shared" si="401"/>
        <v>Comando</v>
      </c>
      <c r="V2854" t="str">
        <f t="shared" si="402"/>
        <v>GALLERIA</v>
      </c>
      <c r="W2854" t="str">
        <f t="shared" si="403"/>
        <v>GALLERIA CASOLA</v>
      </c>
      <c r="Z2854" t="str">
        <f t="shared" si="404"/>
        <v>10.220.80.16</v>
      </c>
    </row>
    <row r="2855" spans="1:26" x14ac:dyDescent="0.25">
      <c r="A2855" t="s">
        <v>10</v>
      </c>
      <c r="B2855" t="s">
        <v>1206</v>
      </c>
      <c r="C2855" t="s">
        <v>2173</v>
      </c>
      <c r="D2855" t="s">
        <v>2174</v>
      </c>
      <c r="E2855" t="s">
        <v>2175</v>
      </c>
      <c r="F2855" t="s">
        <v>14</v>
      </c>
      <c r="G2855" t="s">
        <v>2531</v>
      </c>
      <c r="H2855" t="s">
        <v>16</v>
      </c>
      <c r="I2855">
        <v>12001</v>
      </c>
      <c r="J2855" t="s">
        <v>2708</v>
      </c>
      <c r="K2855">
        <f t="shared" si="396"/>
        <v>12001</v>
      </c>
      <c r="N2855" t="str">
        <f t="shared" si="397"/>
        <v>HOLDING REGISTER</v>
      </c>
      <c r="O2855" t="str">
        <f t="shared" si="398"/>
        <v>INT</v>
      </c>
      <c r="P2855" t="str">
        <f t="shared" si="399"/>
        <v>JETFAN V1DX</v>
      </c>
      <c r="R2855" t="str">
        <f t="shared" si="400"/>
        <v>COD. 5 =INCLUDI</v>
      </c>
      <c r="U2855" t="str">
        <f t="shared" si="401"/>
        <v>Comando</v>
      </c>
      <c r="V2855" t="str">
        <f t="shared" si="402"/>
        <v>GALLERIA</v>
      </c>
      <c r="W2855" t="str">
        <f t="shared" si="403"/>
        <v>GALLERIA CASOLA</v>
      </c>
      <c r="Z2855" t="str">
        <f t="shared" si="404"/>
        <v>10.220.80.16</v>
      </c>
    </row>
    <row r="2856" spans="1:26" x14ac:dyDescent="0.25">
      <c r="A2856" t="s">
        <v>10</v>
      </c>
      <c r="B2856" t="s">
        <v>1206</v>
      </c>
      <c r="C2856" t="s">
        <v>2173</v>
      </c>
      <c r="D2856" t="s">
        <v>2174</v>
      </c>
      <c r="E2856" t="s">
        <v>2175</v>
      </c>
      <c r="F2856" t="s">
        <v>14</v>
      </c>
      <c r="G2856" t="s">
        <v>2531</v>
      </c>
      <c r="H2856" t="s">
        <v>16</v>
      </c>
      <c r="I2856">
        <v>12001</v>
      </c>
      <c r="J2856" t="s">
        <v>2709</v>
      </c>
      <c r="K2856">
        <f t="shared" si="396"/>
        <v>12001</v>
      </c>
      <c r="N2856" t="str">
        <f t="shared" si="397"/>
        <v>HOLDING REGISTER</v>
      </c>
      <c r="O2856" t="str">
        <f t="shared" si="398"/>
        <v>INT</v>
      </c>
      <c r="P2856" t="str">
        <f t="shared" si="399"/>
        <v>JETFAN V1DX</v>
      </c>
      <c r="R2856" t="str">
        <f t="shared" si="400"/>
        <v>COD. 16 =CMD MARCIA DIR. NORD (*Valido solo se in modalità MAN da SCADA*)</v>
      </c>
      <c r="U2856" t="str">
        <f t="shared" si="401"/>
        <v>Comando</v>
      </c>
      <c r="V2856" t="str">
        <f t="shared" si="402"/>
        <v>GALLERIA</v>
      </c>
      <c r="W2856" t="str">
        <f t="shared" si="403"/>
        <v>GALLERIA CASOLA</v>
      </c>
      <c r="Z2856" t="str">
        <f t="shared" si="404"/>
        <v>10.220.80.16</v>
      </c>
    </row>
    <row r="2857" spans="1:26" x14ac:dyDescent="0.25">
      <c r="A2857" t="s">
        <v>10</v>
      </c>
      <c r="B2857" t="s">
        <v>1206</v>
      </c>
      <c r="C2857" t="s">
        <v>2173</v>
      </c>
      <c r="D2857" t="s">
        <v>2174</v>
      </c>
      <c r="E2857" t="s">
        <v>2175</v>
      </c>
      <c r="F2857" t="s">
        <v>14</v>
      </c>
      <c r="G2857" t="s">
        <v>2531</v>
      </c>
      <c r="H2857" t="s">
        <v>16</v>
      </c>
      <c r="I2857">
        <v>12001</v>
      </c>
      <c r="J2857" t="s">
        <v>2710</v>
      </c>
      <c r="K2857">
        <f t="shared" si="396"/>
        <v>12001</v>
      </c>
      <c r="N2857" t="str">
        <f t="shared" si="397"/>
        <v>HOLDING REGISTER</v>
      </c>
      <c r="O2857" t="str">
        <f t="shared" si="398"/>
        <v>INT</v>
      </c>
      <c r="P2857" t="str">
        <f t="shared" si="399"/>
        <v>JETFAN V1DX</v>
      </c>
      <c r="R2857" t="str">
        <f t="shared" si="400"/>
        <v>COD. 17 =CMD MARCIA DIR. SUD (*Valido solo se in modalità MAN da SCADA*)</v>
      </c>
      <c r="U2857" t="str">
        <f t="shared" si="401"/>
        <v>Comando</v>
      </c>
      <c r="V2857" t="str">
        <f t="shared" si="402"/>
        <v>GALLERIA</v>
      </c>
      <c r="W2857" t="str">
        <f t="shared" si="403"/>
        <v>GALLERIA CASOLA</v>
      </c>
      <c r="Z2857" t="str">
        <f t="shared" si="404"/>
        <v>10.220.80.16</v>
      </c>
    </row>
    <row r="2858" spans="1:26" x14ac:dyDescent="0.25">
      <c r="A2858" t="s">
        <v>10</v>
      </c>
      <c r="B2858" t="s">
        <v>1206</v>
      </c>
      <c r="C2858" t="s">
        <v>2173</v>
      </c>
      <c r="D2858" t="s">
        <v>2174</v>
      </c>
      <c r="E2858" t="s">
        <v>2175</v>
      </c>
      <c r="F2858" t="s">
        <v>14</v>
      </c>
      <c r="G2858" t="s">
        <v>2531</v>
      </c>
      <c r="H2858" t="s">
        <v>16</v>
      </c>
      <c r="I2858">
        <v>12001</v>
      </c>
      <c r="J2858" t="s">
        <v>2711</v>
      </c>
      <c r="K2858">
        <f t="shared" si="396"/>
        <v>12001</v>
      </c>
      <c r="N2858" t="str">
        <f t="shared" si="397"/>
        <v>HOLDING REGISTER</v>
      </c>
      <c r="O2858" t="str">
        <f t="shared" si="398"/>
        <v>INT</v>
      </c>
      <c r="P2858" t="str">
        <f t="shared" si="399"/>
        <v>JETFAN V1DX</v>
      </c>
      <c r="R2858" t="str">
        <f t="shared" si="400"/>
        <v>COD. 18 =CMD arresto (*Valido solo se in modalità MAN da SCADA*)</v>
      </c>
      <c r="U2858" t="str">
        <f t="shared" si="401"/>
        <v>Comando</v>
      </c>
      <c r="V2858" t="str">
        <f t="shared" si="402"/>
        <v>GALLERIA</v>
      </c>
      <c r="W2858" t="str">
        <f t="shared" si="403"/>
        <v>GALLERIA CASOLA</v>
      </c>
      <c r="Z2858" t="str">
        <f t="shared" si="404"/>
        <v>10.220.80.16</v>
      </c>
    </row>
    <row r="2859" spans="1:26" x14ac:dyDescent="0.25">
      <c r="A2859" t="s">
        <v>10</v>
      </c>
      <c r="B2859" t="s">
        <v>1206</v>
      </c>
      <c r="C2859" t="s">
        <v>2173</v>
      </c>
      <c r="D2859" t="s">
        <v>2174</v>
      </c>
      <c r="E2859" t="s">
        <v>2175</v>
      </c>
      <c r="F2859" t="s">
        <v>14</v>
      </c>
      <c r="G2859" t="s">
        <v>2531</v>
      </c>
      <c r="H2859" t="s">
        <v>16</v>
      </c>
      <c r="I2859">
        <v>12001</v>
      </c>
      <c r="J2859" t="s">
        <v>2712</v>
      </c>
      <c r="K2859">
        <f t="shared" si="396"/>
        <v>12001</v>
      </c>
      <c r="N2859" t="str">
        <f t="shared" si="397"/>
        <v>HOLDING REGISTER</v>
      </c>
      <c r="O2859" t="str">
        <f t="shared" si="398"/>
        <v>INT</v>
      </c>
      <c r="P2859" t="str">
        <f t="shared" si="399"/>
        <v>JETFAN V1DX</v>
      </c>
      <c r="R2859" t="str">
        <f t="shared" si="400"/>
        <v>COD. 33 =Comando Reset Allarmi</v>
      </c>
      <c r="U2859" t="str">
        <f t="shared" si="401"/>
        <v>Comando</v>
      </c>
      <c r="V2859" t="str">
        <f t="shared" si="402"/>
        <v>GALLERIA</v>
      </c>
      <c r="W2859" t="str">
        <f t="shared" si="403"/>
        <v>GALLERIA CASOLA</v>
      </c>
      <c r="Z2859" t="str">
        <f t="shared" si="404"/>
        <v>10.220.80.16</v>
      </c>
    </row>
    <row r="2860" spans="1:26" x14ac:dyDescent="0.25">
      <c r="A2860" t="s">
        <v>10</v>
      </c>
      <c r="B2860" t="s">
        <v>1206</v>
      </c>
      <c r="C2860" t="s">
        <v>2173</v>
      </c>
      <c r="D2860" t="s">
        <v>2174</v>
      </c>
      <c r="E2860" t="s">
        <v>2204</v>
      </c>
      <c r="F2860" t="s">
        <v>14</v>
      </c>
      <c r="G2860" t="s">
        <v>2531</v>
      </c>
      <c r="H2860" t="s">
        <v>16</v>
      </c>
      <c r="I2860">
        <v>12002</v>
      </c>
      <c r="J2860" t="s">
        <v>2705</v>
      </c>
      <c r="K2860">
        <f t="shared" si="396"/>
        <v>12002</v>
      </c>
      <c r="N2860" t="str">
        <f t="shared" si="397"/>
        <v>HOLDING REGISTER</v>
      </c>
      <c r="O2860" t="str">
        <f t="shared" si="398"/>
        <v>INT</v>
      </c>
      <c r="P2860" t="str">
        <f t="shared" si="399"/>
        <v>JETFAN V1SX</v>
      </c>
      <c r="R2860" t="str">
        <f t="shared" si="400"/>
        <v>COD. 2= COMANDI MAN: accettato solo se in modalità comandi auto da "QVE" su quadro CABINA per singolo ventilatore e "REMOTO" Quadro "QVFF".</v>
      </c>
      <c r="U2860" t="str">
        <f t="shared" si="401"/>
        <v>Comando</v>
      </c>
      <c r="V2860" t="str">
        <f t="shared" si="402"/>
        <v>GALLERIA</v>
      </c>
      <c r="W2860" t="str">
        <f t="shared" si="403"/>
        <v>GALLERIA CASOLA</v>
      </c>
      <c r="Z2860" t="str">
        <f t="shared" si="404"/>
        <v>10.220.80.16</v>
      </c>
    </row>
    <row r="2861" spans="1:26" x14ac:dyDescent="0.25">
      <c r="A2861" t="s">
        <v>10</v>
      </c>
      <c r="B2861" t="s">
        <v>1206</v>
      </c>
      <c r="C2861" t="s">
        <v>2173</v>
      </c>
      <c r="D2861" t="s">
        <v>2174</v>
      </c>
      <c r="E2861" t="s">
        <v>2204</v>
      </c>
      <c r="F2861" t="s">
        <v>14</v>
      </c>
      <c r="G2861" t="s">
        <v>2531</v>
      </c>
      <c r="H2861" t="s">
        <v>16</v>
      </c>
      <c r="I2861">
        <v>12002</v>
      </c>
      <c r="J2861" t="s">
        <v>2706</v>
      </c>
      <c r="K2861">
        <f t="shared" si="396"/>
        <v>12002</v>
      </c>
      <c r="N2861" t="str">
        <f t="shared" si="397"/>
        <v>HOLDING REGISTER</v>
      </c>
      <c r="O2861" t="str">
        <f t="shared" si="398"/>
        <v>INT</v>
      </c>
      <c r="P2861" t="str">
        <f t="shared" si="399"/>
        <v>JETFAN V1SX</v>
      </c>
      <c r="R2861" t="str">
        <f t="shared" si="400"/>
        <v>COD. 3= COMANDI AUTO: accettato solo se in modalità comandi auto da "QVE" su quadro CABINA per singolo ventilatore e "REMOTO" Quadro "QVFF".</v>
      </c>
      <c r="U2861" t="str">
        <f t="shared" si="401"/>
        <v>Comando</v>
      </c>
      <c r="V2861" t="str">
        <f t="shared" si="402"/>
        <v>GALLERIA</v>
      </c>
      <c r="W2861" t="str">
        <f t="shared" si="403"/>
        <v>GALLERIA CASOLA</v>
      </c>
      <c r="Z2861" t="str">
        <f t="shared" si="404"/>
        <v>10.220.80.16</v>
      </c>
    </row>
    <row r="2862" spans="1:26" x14ac:dyDescent="0.25">
      <c r="A2862" t="s">
        <v>10</v>
      </c>
      <c r="B2862" t="s">
        <v>1206</v>
      </c>
      <c r="C2862" t="s">
        <v>2173</v>
      </c>
      <c r="D2862" t="s">
        <v>2174</v>
      </c>
      <c r="E2862" t="s">
        <v>2204</v>
      </c>
      <c r="F2862" t="s">
        <v>14</v>
      </c>
      <c r="G2862" t="s">
        <v>2531</v>
      </c>
      <c r="H2862" t="s">
        <v>16</v>
      </c>
      <c r="I2862">
        <v>12002</v>
      </c>
      <c r="J2862" t="s">
        <v>2707</v>
      </c>
      <c r="K2862">
        <f t="shared" si="396"/>
        <v>12002</v>
      </c>
      <c r="N2862" t="str">
        <f t="shared" si="397"/>
        <v>HOLDING REGISTER</v>
      </c>
      <c r="O2862" t="str">
        <f t="shared" si="398"/>
        <v>INT</v>
      </c>
      <c r="P2862" t="str">
        <f t="shared" si="399"/>
        <v>JETFAN V1SX</v>
      </c>
      <c r="R2862" t="str">
        <f t="shared" si="400"/>
        <v>COD. 4 =ESCLUDI</v>
      </c>
      <c r="U2862" t="str">
        <f t="shared" si="401"/>
        <v>Comando</v>
      </c>
      <c r="V2862" t="str">
        <f t="shared" si="402"/>
        <v>GALLERIA</v>
      </c>
      <c r="W2862" t="str">
        <f t="shared" si="403"/>
        <v>GALLERIA CASOLA</v>
      </c>
      <c r="Z2862" t="str">
        <f t="shared" si="404"/>
        <v>10.220.80.16</v>
      </c>
    </row>
    <row r="2863" spans="1:26" x14ac:dyDescent="0.25">
      <c r="A2863" t="s">
        <v>10</v>
      </c>
      <c r="B2863" t="s">
        <v>1206</v>
      </c>
      <c r="C2863" t="s">
        <v>2173</v>
      </c>
      <c r="D2863" t="s">
        <v>2174</v>
      </c>
      <c r="E2863" t="s">
        <v>2204</v>
      </c>
      <c r="F2863" t="s">
        <v>14</v>
      </c>
      <c r="G2863" t="s">
        <v>2531</v>
      </c>
      <c r="H2863" t="s">
        <v>16</v>
      </c>
      <c r="I2863">
        <v>12002</v>
      </c>
      <c r="J2863" t="s">
        <v>2708</v>
      </c>
      <c r="K2863">
        <f t="shared" si="396"/>
        <v>12002</v>
      </c>
      <c r="N2863" t="str">
        <f t="shared" si="397"/>
        <v>HOLDING REGISTER</v>
      </c>
      <c r="O2863" t="str">
        <f t="shared" si="398"/>
        <v>INT</v>
      </c>
      <c r="P2863" t="str">
        <f t="shared" si="399"/>
        <v>JETFAN V1SX</v>
      </c>
      <c r="R2863" t="str">
        <f t="shared" si="400"/>
        <v>COD. 5 =INCLUDI</v>
      </c>
      <c r="U2863" t="str">
        <f t="shared" si="401"/>
        <v>Comando</v>
      </c>
      <c r="V2863" t="str">
        <f t="shared" si="402"/>
        <v>GALLERIA</v>
      </c>
      <c r="W2863" t="str">
        <f t="shared" si="403"/>
        <v>GALLERIA CASOLA</v>
      </c>
      <c r="Z2863" t="str">
        <f t="shared" si="404"/>
        <v>10.220.80.16</v>
      </c>
    </row>
    <row r="2864" spans="1:26" x14ac:dyDescent="0.25">
      <c r="A2864" t="s">
        <v>10</v>
      </c>
      <c r="B2864" t="s">
        <v>1206</v>
      </c>
      <c r="C2864" t="s">
        <v>2173</v>
      </c>
      <c r="D2864" t="s">
        <v>2174</v>
      </c>
      <c r="E2864" t="s">
        <v>2204</v>
      </c>
      <c r="F2864" t="s">
        <v>14</v>
      </c>
      <c r="G2864" t="s">
        <v>2531</v>
      </c>
      <c r="H2864" t="s">
        <v>16</v>
      </c>
      <c r="I2864">
        <v>12002</v>
      </c>
      <c r="J2864" t="s">
        <v>2709</v>
      </c>
      <c r="K2864">
        <f t="shared" si="396"/>
        <v>12002</v>
      </c>
      <c r="N2864" t="str">
        <f t="shared" si="397"/>
        <v>HOLDING REGISTER</v>
      </c>
      <c r="O2864" t="str">
        <f t="shared" si="398"/>
        <v>INT</v>
      </c>
      <c r="P2864" t="str">
        <f t="shared" si="399"/>
        <v>JETFAN V1SX</v>
      </c>
      <c r="R2864" t="str">
        <f t="shared" si="400"/>
        <v>COD. 16 =CMD MARCIA DIR. NORD (*Valido solo se in modalità MAN da SCADA*)</v>
      </c>
      <c r="U2864" t="str">
        <f t="shared" si="401"/>
        <v>Comando</v>
      </c>
      <c r="V2864" t="str">
        <f t="shared" si="402"/>
        <v>GALLERIA</v>
      </c>
      <c r="W2864" t="str">
        <f t="shared" si="403"/>
        <v>GALLERIA CASOLA</v>
      </c>
      <c r="Z2864" t="str">
        <f t="shared" si="404"/>
        <v>10.220.80.16</v>
      </c>
    </row>
    <row r="2865" spans="1:26" x14ac:dyDescent="0.25">
      <c r="A2865" t="s">
        <v>10</v>
      </c>
      <c r="B2865" t="s">
        <v>1206</v>
      </c>
      <c r="C2865" t="s">
        <v>2173</v>
      </c>
      <c r="D2865" t="s">
        <v>2174</v>
      </c>
      <c r="E2865" t="s">
        <v>2204</v>
      </c>
      <c r="F2865" t="s">
        <v>14</v>
      </c>
      <c r="G2865" t="s">
        <v>2531</v>
      </c>
      <c r="H2865" t="s">
        <v>16</v>
      </c>
      <c r="I2865">
        <v>12002</v>
      </c>
      <c r="J2865" t="s">
        <v>2710</v>
      </c>
      <c r="K2865">
        <f t="shared" si="396"/>
        <v>12002</v>
      </c>
      <c r="N2865" t="str">
        <f t="shared" si="397"/>
        <v>HOLDING REGISTER</v>
      </c>
      <c r="O2865" t="str">
        <f t="shared" si="398"/>
        <v>INT</v>
      </c>
      <c r="P2865" t="str">
        <f t="shared" si="399"/>
        <v>JETFAN V1SX</v>
      </c>
      <c r="R2865" t="str">
        <f t="shared" si="400"/>
        <v>COD. 17 =CMD MARCIA DIR. SUD (*Valido solo se in modalità MAN da SCADA*)</v>
      </c>
      <c r="U2865" t="str">
        <f t="shared" si="401"/>
        <v>Comando</v>
      </c>
      <c r="V2865" t="str">
        <f t="shared" si="402"/>
        <v>GALLERIA</v>
      </c>
      <c r="W2865" t="str">
        <f t="shared" si="403"/>
        <v>GALLERIA CASOLA</v>
      </c>
      <c r="Z2865" t="str">
        <f t="shared" si="404"/>
        <v>10.220.80.16</v>
      </c>
    </row>
    <row r="2866" spans="1:26" x14ac:dyDescent="0.25">
      <c r="A2866" t="s">
        <v>10</v>
      </c>
      <c r="B2866" t="s">
        <v>1206</v>
      </c>
      <c r="C2866" t="s">
        <v>2173</v>
      </c>
      <c r="D2866" t="s">
        <v>2174</v>
      </c>
      <c r="E2866" t="s">
        <v>2204</v>
      </c>
      <c r="F2866" t="s">
        <v>14</v>
      </c>
      <c r="G2866" t="s">
        <v>2531</v>
      </c>
      <c r="H2866" t="s">
        <v>16</v>
      </c>
      <c r="I2866">
        <v>12002</v>
      </c>
      <c r="J2866" t="s">
        <v>2711</v>
      </c>
      <c r="K2866">
        <f t="shared" si="396"/>
        <v>12002</v>
      </c>
      <c r="N2866" t="str">
        <f t="shared" si="397"/>
        <v>HOLDING REGISTER</v>
      </c>
      <c r="O2866" t="str">
        <f t="shared" si="398"/>
        <v>INT</v>
      </c>
      <c r="P2866" t="str">
        <f t="shared" si="399"/>
        <v>JETFAN V1SX</v>
      </c>
      <c r="R2866" t="str">
        <f t="shared" si="400"/>
        <v>COD. 18 =CMD arresto (*Valido solo se in modalità MAN da SCADA*)</v>
      </c>
      <c r="U2866" t="str">
        <f t="shared" si="401"/>
        <v>Comando</v>
      </c>
      <c r="V2866" t="str">
        <f t="shared" si="402"/>
        <v>GALLERIA</v>
      </c>
      <c r="W2866" t="str">
        <f t="shared" si="403"/>
        <v>GALLERIA CASOLA</v>
      </c>
      <c r="Z2866" t="str">
        <f t="shared" si="404"/>
        <v>10.220.80.16</v>
      </c>
    </row>
    <row r="2867" spans="1:26" x14ac:dyDescent="0.25">
      <c r="A2867" t="s">
        <v>10</v>
      </c>
      <c r="B2867" t="s">
        <v>1206</v>
      </c>
      <c r="C2867" t="s">
        <v>2173</v>
      </c>
      <c r="D2867" t="s">
        <v>2174</v>
      </c>
      <c r="E2867" t="s">
        <v>2204</v>
      </c>
      <c r="F2867" t="s">
        <v>14</v>
      </c>
      <c r="G2867" t="s">
        <v>2531</v>
      </c>
      <c r="H2867" t="s">
        <v>16</v>
      </c>
      <c r="I2867">
        <v>12002</v>
      </c>
      <c r="J2867" t="s">
        <v>2712</v>
      </c>
      <c r="K2867">
        <f t="shared" si="396"/>
        <v>12002</v>
      </c>
      <c r="N2867" t="str">
        <f t="shared" si="397"/>
        <v>HOLDING REGISTER</v>
      </c>
      <c r="O2867" t="str">
        <f t="shared" si="398"/>
        <v>INT</v>
      </c>
      <c r="P2867" t="str">
        <f t="shared" si="399"/>
        <v>JETFAN V1SX</v>
      </c>
      <c r="R2867" t="str">
        <f t="shared" si="400"/>
        <v>COD. 33 =Comando Reset Allarmi</v>
      </c>
      <c r="U2867" t="str">
        <f t="shared" si="401"/>
        <v>Comando</v>
      </c>
      <c r="V2867" t="str">
        <f t="shared" si="402"/>
        <v>GALLERIA</v>
      </c>
      <c r="W2867" t="str">
        <f t="shared" si="403"/>
        <v>GALLERIA CASOLA</v>
      </c>
      <c r="Z2867" t="str">
        <f t="shared" si="404"/>
        <v>10.220.80.16</v>
      </c>
    </row>
    <row r="2868" spans="1:26" x14ac:dyDescent="0.25">
      <c r="A2868" t="s">
        <v>10</v>
      </c>
      <c r="B2868" t="s">
        <v>1206</v>
      </c>
      <c r="C2868" t="s">
        <v>2173</v>
      </c>
      <c r="D2868" t="s">
        <v>2174</v>
      </c>
      <c r="E2868" t="s">
        <v>2219</v>
      </c>
      <c r="F2868" t="s">
        <v>14</v>
      </c>
      <c r="G2868" t="s">
        <v>2531</v>
      </c>
      <c r="H2868" t="s">
        <v>16</v>
      </c>
      <c r="I2868">
        <v>12003</v>
      </c>
      <c r="J2868" t="s">
        <v>2705</v>
      </c>
      <c r="K2868">
        <f t="shared" si="396"/>
        <v>12003</v>
      </c>
      <c r="N2868" t="str">
        <f t="shared" si="397"/>
        <v>HOLDING REGISTER</v>
      </c>
      <c r="O2868" t="str">
        <f t="shared" si="398"/>
        <v>INT</v>
      </c>
      <c r="P2868" t="str">
        <f t="shared" si="399"/>
        <v>JETFAN V2DX</v>
      </c>
      <c r="R2868" t="str">
        <f t="shared" si="400"/>
        <v>COD. 2= COMANDI MAN: accettato solo se in modalità comandi auto da "QVE" su quadro CABINA per singolo ventilatore e "REMOTO" Quadro "QVFF".</v>
      </c>
      <c r="U2868" t="str">
        <f t="shared" si="401"/>
        <v>Comando</v>
      </c>
      <c r="V2868" t="str">
        <f t="shared" si="402"/>
        <v>GALLERIA</v>
      </c>
      <c r="W2868" t="str">
        <f t="shared" si="403"/>
        <v>GALLERIA CASOLA</v>
      </c>
      <c r="Z2868" t="str">
        <f t="shared" si="404"/>
        <v>10.220.80.16</v>
      </c>
    </row>
    <row r="2869" spans="1:26" x14ac:dyDescent="0.25">
      <c r="A2869" t="s">
        <v>10</v>
      </c>
      <c r="B2869" t="s">
        <v>1206</v>
      </c>
      <c r="C2869" t="s">
        <v>2173</v>
      </c>
      <c r="D2869" t="s">
        <v>2174</v>
      </c>
      <c r="E2869" t="s">
        <v>2219</v>
      </c>
      <c r="F2869" t="s">
        <v>14</v>
      </c>
      <c r="G2869" t="s">
        <v>2531</v>
      </c>
      <c r="H2869" t="s">
        <v>16</v>
      </c>
      <c r="I2869">
        <v>12003</v>
      </c>
      <c r="J2869" t="s">
        <v>2706</v>
      </c>
      <c r="K2869">
        <f t="shared" si="396"/>
        <v>12003</v>
      </c>
      <c r="N2869" t="str">
        <f t="shared" si="397"/>
        <v>HOLDING REGISTER</v>
      </c>
      <c r="O2869" t="str">
        <f t="shared" si="398"/>
        <v>INT</v>
      </c>
      <c r="P2869" t="str">
        <f t="shared" si="399"/>
        <v>JETFAN V2DX</v>
      </c>
      <c r="R2869" t="str">
        <f t="shared" si="400"/>
        <v>COD. 3= COMANDI AUTO: accettato solo se in modalità comandi auto da "QVE" su quadro CABINA per singolo ventilatore e "REMOTO" Quadro "QVFF".</v>
      </c>
      <c r="U2869" t="str">
        <f t="shared" si="401"/>
        <v>Comando</v>
      </c>
      <c r="V2869" t="str">
        <f t="shared" si="402"/>
        <v>GALLERIA</v>
      </c>
      <c r="W2869" t="str">
        <f t="shared" si="403"/>
        <v>GALLERIA CASOLA</v>
      </c>
      <c r="Z2869" t="str">
        <f t="shared" si="404"/>
        <v>10.220.80.16</v>
      </c>
    </row>
    <row r="2870" spans="1:26" x14ac:dyDescent="0.25">
      <c r="A2870" t="s">
        <v>10</v>
      </c>
      <c r="B2870" t="s">
        <v>1206</v>
      </c>
      <c r="C2870" t="s">
        <v>2173</v>
      </c>
      <c r="D2870" t="s">
        <v>2174</v>
      </c>
      <c r="E2870" t="s">
        <v>2219</v>
      </c>
      <c r="F2870" t="s">
        <v>14</v>
      </c>
      <c r="G2870" t="s">
        <v>2531</v>
      </c>
      <c r="H2870" t="s">
        <v>16</v>
      </c>
      <c r="I2870">
        <v>12003</v>
      </c>
      <c r="J2870" t="s">
        <v>2707</v>
      </c>
      <c r="K2870">
        <f t="shared" si="396"/>
        <v>12003</v>
      </c>
      <c r="N2870" t="str">
        <f t="shared" si="397"/>
        <v>HOLDING REGISTER</v>
      </c>
      <c r="O2870" t="str">
        <f t="shared" si="398"/>
        <v>INT</v>
      </c>
      <c r="P2870" t="str">
        <f t="shared" si="399"/>
        <v>JETFAN V2DX</v>
      </c>
      <c r="R2870" t="str">
        <f t="shared" si="400"/>
        <v>COD. 4 =ESCLUDI</v>
      </c>
      <c r="U2870" t="str">
        <f t="shared" si="401"/>
        <v>Comando</v>
      </c>
      <c r="V2870" t="str">
        <f t="shared" si="402"/>
        <v>GALLERIA</v>
      </c>
      <c r="W2870" t="str">
        <f t="shared" si="403"/>
        <v>GALLERIA CASOLA</v>
      </c>
      <c r="Z2870" t="str">
        <f t="shared" si="404"/>
        <v>10.220.80.16</v>
      </c>
    </row>
    <row r="2871" spans="1:26" x14ac:dyDescent="0.25">
      <c r="A2871" t="s">
        <v>10</v>
      </c>
      <c r="B2871" t="s">
        <v>1206</v>
      </c>
      <c r="C2871" t="s">
        <v>2173</v>
      </c>
      <c r="D2871" t="s">
        <v>2174</v>
      </c>
      <c r="E2871" t="s">
        <v>2219</v>
      </c>
      <c r="F2871" t="s">
        <v>14</v>
      </c>
      <c r="G2871" t="s">
        <v>2531</v>
      </c>
      <c r="H2871" t="s">
        <v>16</v>
      </c>
      <c r="I2871">
        <v>12003</v>
      </c>
      <c r="J2871" t="s">
        <v>2708</v>
      </c>
      <c r="K2871">
        <f t="shared" si="396"/>
        <v>12003</v>
      </c>
      <c r="N2871" t="str">
        <f t="shared" si="397"/>
        <v>HOLDING REGISTER</v>
      </c>
      <c r="O2871" t="str">
        <f t="shared" si="398"/>
        <v>INT</v>
      </c>
      <c r="P2871" t="str">
        <f t="shared" si="399"/>
        <v>JETFAN V2DX</v>
      </c>
      <c r="R2871" t="str">
        <f t="shared" si="400"/>
        <v>COD. 5 =INCLUDI</v>
      </c>
      <c r="U2871" t="str">
        <f t="shared" si="401"/>
        <v>Comando</v>
      </c>
      <c r="V2871" t="str">
        <f t="shared" si="402"/>
        <v>GALLERIA</v>
      </c>
      <c r="W2871" t="str">
        <f t="shared" si="403"/>
        <v>GALLERIA CASOLA</v>
      </c>
      <c r="Z2871" t="str">
        <f t="shared" si="404"/>
        <v>10.220.80.16</v>
      </c>
    </row>
    <row r="2872" spans="1:26" x14ac:dyDescent="0.25">
      <c r="A2872" t="s">
        <v>10</v>
      </c>
      <c r="B2872" t="s">
        <v>1206</v>
      </c>
      <c r="C2872" t="s">
        <v>2173</v>
      </c>
      <c r="D2872" t="s">
        <v>2174</v>
      </c>
      <c r="E2872" t="s">
        <v>2219</v>
      </c>
      <c r="F2872" t="s">
        <v>14</v>
      </c>
      <c r="G2872" t="s">
        <v>2531</v>
      </c>
      <c r="H2872" t="s">
        <v>16</v>
      </c>
      <c r="I2872">
        <v>12003</v>
      </c>
      <c r="J2872" t="s">
        <v>2709</v>
      </c>
      <c r="K2872">
        <f t="shared" si="396"/>
        <v>12003</v>
      </c>
      <c r="N2872" t="str">
        <f t="shared" si="397"/>
        <v>HOLDING REGISTER</v>
      </c>
      <c r="O2872" t="str">
        <f t="shared" si="398"/>
        <v>INT</v>
      </c>
      <c r="P2872" t="str">
        <f t="shared" si="399"/>
        <v>JETFAN V2DX</v>
      </c>
      <c r="R2872" t="str">
        <f t="shared" si="400"/>
        <v>COD. 16 =CMD MARCIA DIR. NORD (*Valido solo se in modalità MAN da SCADA*)</v>
      </c>
      <c r="U2872" t="str">
        <f t="shared" si="401"/>
        <v>Comando</v>
      </c>
      <c r="V2872" t="str">
        <f t="shared" si="402"/>
        <v>GALLERIA</v>
      </c>
      <c r="W2872" t="str">
        <f t="shared" si="403"/>
        <v>GALLERIA CASOLA</v>
      </c>
      <c r="Z2872" t="str">
        <f t="shared" si="404"/>
        <v>10.220.80.16</v>
      </c>
    </row>
    <row r="2873" spans="1:26" x14ac:dyDescent="0.25">
      <c r="A2873" t="s">
        <v>10</v>
      </c>
      <c r="B2873" t="s">
        <v>1206</v>
      </c>
      <c r="C2873" t="s">
        <v>2173</v>
      </c>
      <c r="D2873" t="s">
        <v>2174</v>
      </c>
      <c r="E2873" t="s">
        <v>2219</v>
      </c>
      <c r="F2873" t="s">
        <v>14</v>
      </c>
      <c r="G2873" t="s">
        <v>2531</v>
      </c>
      <c r="H2873" t="s">
        <v>16</v>
      </c>
      <c r="I2873">
        <v>12003</v>
      </c>
      <c r="J2873" t="s">
        <v>2710</v>
      </c>
      <c r="K2873">
        <f t="shared" si="396"/>
        <v>12003</v>
      </c>
      <c r="N2873" t="str">
        <f t="shared" si="397"/>
        <v>HOLDING REGISTER</v>
      </c>
      <c r="O2873" t="str">
        <f t="shared" si="398"/>
        <v>INT</v>
      </c>
      <c r="P2873" t="str">
        <f t="shared" si="399"/>
        <v>JETFAN V2DX</v>
      </c>
      <c r="R2873" t="str">
        <f t="shared" si="400"/>
        <v>COD. 17 =CMD MARCIA DIR. SUD (*Valido solo se in modalità MAN da SCADA*)</v>
      </c>
      <c r="U2873" t="str">
        <f t="shared" si="401"/>
        <v>Comando</v>
      </c>
      <c r="V2873" t="str">
        <f t="shared" si="402"/>
        <v>GALLERIA</v>
      </c>
      <c r="W2873" t="str">
        <f t="shared" si="403"/>
        <v>GALLERIA CASOLA</v>
      </c>
      <c r="Z2873" t="str">
        <f t="shared" si="404"/>
        <v>10.220.80.16</v>
      </c>
    </row>
    <row r="2874" spans="1:26" x14ac:dyDescent="0.25">
      <c r="A2874" t="s">
        <v>10</v>
      </c>
      <c r="B2874" t="s">
        <v>1206</v>
      </c>
      <c r="C2874" t="s">
        <v>2173</v>
      </c>
      <c r="D2874" t="s">
        <v>2174</v>
      </c>
      <c r="E2874" t="s">
        <v>2219</v>
      </c>
      <c r="F2874" t="s">
        <v>14</v>
      </c>
      <c r="G2874" t="s">
        <v>2531</v>
      </c>
      <c r="H2874" t="s">
        <v>16</v>
      </c>
      <c r="I2874">
        <v>12003</v>
      </c>
      <c r="J2874" t="s">
        <v>2711</v>
      </c>
      <c r="K2874">
        <f t="shared" si="396"/>
        <v>12003</v>
      </c>
      <c r="N2874" t="str">
        <f t="shared" si="397"/>
        <v>HOLDING REGISTER</v>
      </c>
      <c r="O2874" t="str">
        <f t="shared" si="398"/>
        <v>INT</v>
      </c>
      <c r="P2874" t="str">
        <f t="shared" si="399"/>
        <v>JETFAN V2DX</v>
      </c>
      <c r="R2874" t="str">
        <f t="shared" si="400"/>
        <v>COD. 18 =CMD arresto (*Valido solo se in modalità MAN da SCADA*)</v>
      </c>
      <c r="U2874" t="str">
        <f t="shared" si="401"/>
        <v>Comando</v>
      </c>
      <c r="V2874" t="str">
        <f t="shared" si="402"/>
        <v>GALLERIA</v>
      </c>
      <c r="W2874" t="str">
        <f t="shared" si="403"/>
        <v>GALLERIA CASOLA</v>
      </c>
      <c r="Z2874" t="str">
        <f t="shared" si="404"/>
        <v>10.220.80.16</v>
      </c>
    </row>
    <row r="2875" spans="1:26" x14ac:dyDescent="0.25">
      <c r="A2875" t="s">
        <v>10</v>
      </c>
      <c r="B2875" t="s">
        <v>1206</v>
      </c>
      <c r="C2875" t="s">
        <v>2173</v>
      </c>
      <c r="D2875" t="s">
        <v>2174</v>
      </c>
      <c r="E2875" t="s">
        <v>2219</v>
      </c>
      <c r="F2875" t="s">
        <v>14</v>
      </c>
      <c r="G2875" t="s">
        <v>2531</v>
      </c>
      <c r="H2875" t="s">
        <v>16</v>
      </c>
      <c r="I2875">
        <v>12003</v>
      </c>
      <c r="J2875" t="s">
        <v>2712</v>
      </c>
      <c r="K2875">
        <f t="shared" si="396"/>
        <v>12003</v>
      </c>
      <c r="N2875" t="str">
        <f t="shared" si="397"/>
        <v>HOLDING REGISTER</v>
      </c>
      <c r="O2875" t="str">
        <f t="shared" si="398"/>
        <v>INT</v>
      </c>
      <c r="P2875" t="str">
        <f t="shared" si="399"/>
        <v>JETFAN V2DX</v>
      </c>
      <c r="R2875" t="str">
        <f t="shared" si="400"/>
        <v>COD. 33 =Comando Reset Allarmi</v>
      </c>
      <c r="U2875" t="str">
        <f t="shared" si="401"/>
        <v>Comando</v>
      </c>
      <c r="V2875" t="str">
        <f t="shared" si="402"/>
        <v>GALLERIA</v>
      </c>
      <c r="W2875" t="str">
        <f t="shared" si="403"/>
        <v>GALLERIA CASOLA</v>
      </c>
      <c r="Z2875" t="str">
        <f t="shared" si="404"/>
        <v>10.220.80.16</v>
      </c>
    </row>
    <row r="2876" spans="1:26" x14ac:dyDescent="0.25">
      <c r="A2876" t="s">
        <v>10</v>
      </c>
      <c r="B2876" t="s">
        <v>1206</v>
      </c>
      <c r="C2876" t="s">
        <v>2173</v>
      </c>
      <c r="D2876" t="s">
        <v>2174</v>
      </c>
      <c r="E2876" t="s">
        <v>2234</v>
      </c>
      <c r="F2876" t="s">
        <v>14</v>
      </c>
      <c r="G2876" t="s">
        <v>2531</v>
      </c>
      <c r="H2876" t="s">
        <v>16</v>
      </c>
      <c r="I2876">
        <v>12004</v>
      </c>
      <c r="J2876" t="s">
        <v>2705</v>
      </c>
      <c r="K2876">
        <f t="shared" si="396"/>
        <v>12004</v>
      </c>
      <c r="N2876" t="str">
        <f t="shared" si="397"/>
        <v>HOLDING REGISTER</v>
      </c>
      <c r="O2876" t="str">
        <f t="shared" si="398"/>
        <v>INT</v>
      </c>
      <c r="P2876" t="str">
        <f t="shared" si="399"/>
        <v>JETFAN V2SX</v>
      </c>
      <c r="R2876" t="str">
        <f t="shared" si="400"/>
        <v>COD. 2= COMANDI MAN: accettato solo se in modalità comandi auto da "QVE" su quadro CABINA per singolo ventilatore e "REMOTO" Quadro "QVFF".</v>
      </c>
      <c r="U2876" t="str">
        <f t="shared" si="401"/>
        <v>Comando</v>
      </c>
      <c r="V2876" t="str">
        <f t="shared" si="402"/>
        <v>GALLERIA</v>
      </c>
      <c r="W2876" t="str">
        <f t="shared" si="403"/>
        <v>GALLERIA CASOLA</v>
      </c>
      <c r="Z2876" t="str">
        <f t="shared" si="404"/>
        <v>10.220.80.16</v>
      </c>
    </row>
    <row r="2877" spans="1:26" x14ac:dyDescent="0.25">
      <c r="A2877" t="s">
        <v>10</v>
      </c>
      <c r="B2877" t="s">
        <v>1206</v>
      </c>
      <c r="C2877" t="s">
        <v>2173</v>
      </c>
      <c r="D2877" t="s">
        <v>2174</v>
      </c>
      <c r="E2877" t="s">
        <v>2234</v>
      </c>
      <c r="F2877" t="s">
        <v>14</v>
      </c>
      <c r="G2877" t="s">
        <v>2531</v>
      </c>
      <c r="H2877" t="s">
        <v>16</v>
      </c>
      <c r="I2877">
        <v>12004</v>
      </c>
      <c r="J2877" t="s">
        <v>2706</v>
      </c>
      <c r="K2877">
        <f t="shared" si="396"/>
        <v>12004</v>
      </c>
      <c r="N2877" t="str">
        <f t="shared" si="397"/>
        <v>HOLDING REGISTER</v>
      </c>
      <c r="O2877" t="str">
        <f t="shared" si="398"/>
        <v>INT</v>
      </c>
      <c r="P2877" t="str">
        <f t="shared" si="399"/>
        <v>JETFAN V2SX</v>
      </c>
      <c r="R2877" t="str">
        <f t="shared" si="400"/>
        <v>COD. 3= COMANDI AUTO: accettato solo se in modalità comandi auto da "QVE" su quadro CABINA per singolo ventilatore e "REMOTO" Quadro "QVFF".</v>
      </c>
      <c r="U2877" t="str">
        <f t="shared" si="401"/>
        <v>Comando</v>
      </c>
      <c r="V2877" t="str">
        <f t="shared" si="402"/>
        <v>GALLERIA</v>
      </c>
      <c r="W2877" t="str">
        <f t="shared" si="403"/>
        <v>GALLERIA CASOLA</v>
      </c>
      <c r="Z2877" t="str">
        <f t="shared" si="404"/>
        <v>10.220.80.16</v>
      </c>
    </row>
    <row r="2878" spans="1:26" x14ac:dyDescent="0.25">
      <c r="A2878" t="s">
        <v>10</v>
      </c>
      <c r="B2878" t="s">
        <v>1206</v>
      </c>
      <c r="C2878" t="s">
        <v>2173</v>
      </c>
      <c r="D2878" t="s">
        <v>2174</v>
      </c>
      <c r="E2878" t="s">
        <v>2234</v>
      </c>
      <c r="F2878" t="s">
        <v>14</v>
      </c>
      <c r="G2878" t="s">
        <v>2531</v>
      </c>
      <c r="H2878" t="s">
        <v>16</v>
      </c>
      <c r="I2878">
        <v>12004</v>
      </c>
      <c r="J2878" t="s">
        <v>2707</v>
      </c>
      <c r="K2878">
        <f t="shared" si="396"/>
        <v>12004</v>
      </c>
      <c r="N2878" t="str">
        <f t="shared" si="397"/>
        <v>HOLDING REGISTER</v>
      </c>
      <c r="O2878" t="str">
        <f t="shared" si="398"/>
        <v>INT</v>
      </c>
      <c r="P2878" t="str">
        <f t="shared" si="399"/>
        <v>JETFAN V2SX</v>
      </c>
      <c r="R2878" t="str">
        <f t="shared" si="400"/>
        <v>COD. 4 =ESCLUDI</v>
      </c>
      <c r="U2878" t="str">
        <f t="shared" si="401"/>
        <v>Comando</v>
      </c>
      <c r="V2878" t="str">
        <f t="shared" si="402"/>
        <v>GALLERIA</v>
      </c>
      <c r="W2878" t="str">
        <f t="shared" si="403"/>
        <v>GALLERIA CASOLA</v>
      </c>
      <c r="Z2878" t="str">
        <f t="shared" si="404"/>
        <v>10.220.80.16</v>
      </c>
    </row>
    <row r="2879" spans="1:26" x14ac:dyDescent="0.25">
      <c r="A2879" t="s">
        <v>10</v>
      </c>
      <c r="B2879" t="s">
        <v>1206</v>
      </c>
      <c r="C2879" t="s">
        <v>2173</v>
      </c>
      <c r="D2879" t="s">
        <v>2174</v>
      </c>
      <c r="E2879" t="s">
        <v>2234</v>
      </c>
      <c r="F2879" t="s">
        <v>14</v>
      </c>
      <c r="G2879" t="s">
        <v>2531</v>
      </c>
      <c r="H2879" t="s">
        <v>16</v>
      </c>
      <c r="I2879">
        <v>12004</v>
      </c>
      <c r="J2879" t="s">
        <v>2708</v>
      </c>
      <c r="K2879">
        <f t="shared" si="396"/>
        <v>12004</v>
      </c>
      <c r="N2879" t="str">
        <f t="shared" si="397"/>
        <v>HOLDING REGISTER</v>
      </c>
      <c r="O2879" t="str">
        <f t="shared" si="398"/>
        <v>INT</v>
      </c>
      <c r="P2879" t="str">
        <f t="shared" si="399"/>
        <v>JETFAN V2SX</v>
      </c>
      <c r="R2879" t="str">
        <f t="shared" si="400"/>
        <v>COD. 5 =INCLUDI</v>
      </c>
      <c r="U2879" t="str">
        <f t="shared" si="401"/>
        <v>Comando</v>
      </c>
      <c r="V2879" t="str">
        <f t="shared" si="402"/>
        <v>GALLERIA</v>
      </c>
      <c r="W2879" t="str">
        <f t="shared" si="403"/>
        <v>GALLERIA CASOLA</v>
      </c>
      <c r="Z2879" t="str">
        <f t="shared" si="404"/>
        <v>10.220.80.16</v>
      </c>
    </row>
    <row r="2880" spans="1:26" x14ac:dyDescent="0.25">
      <c r="A2880" t="s">
        <v>10</v>
      </c>
      <c r="B2880" t="s">
        <v>1206</v>
      </c>
      <c r="C2880" t="s">
        <v>2173</v>
      </c>
      <c r="D2880" t="s">
        <v>2174</v>
      </c>
      <c r="E2880" t="s">
        <v>2234</v>
      </c>
      <c r="F2880" t="s">
        <v>14</v>
      </c>
      <c r="G2880" t="s">
        <v>2531</v>
      </c>
      <c r="H2880" t="s">
        <v>16</v>
      </c>
      <c r="I2880">
        <v>12004</v>
      </c>
      <c r="J2880" t="s">
        <v>2709</v>
      </c>
      <c r="K2880">
        <f t="shared" si="396"/>
        <v>12004</v>
      </c>
      <c r="N2880" t="str">
        <f t="shared" si="397"/>
        <v>HOLDING REGISTER</v>
      </c>
      <c r="O2880" t="str">
        <f t="shared" si="398"/>
        <v>INT</v>
      </c>
      <c r="P2880" t="str">
        <f t="shared" si="399"/>
        <v>JETFAN V2SX</v>
      </c>
      <c r="R2880" t="str">
        <f t="shared" si="400"/>
        <v>COD. 16 =CMD MARCIA DIR. NORD (*Valido solo se in modalità MAN da SCADA*)</v>
      </c>
      <c r="U2880" t="str">
        <f t="shared" si="401"/>
        <v>Comando</v>
      </c>
      <c r="V2880" t="str">
        <f t="shared" si="402"/>
        <v>GALLERIA</v>
      </c>
      <c r="W2880" t="str">
        <f t="shared" si="403"/>
        <v>GALLERIA CASOLA</v>
      </c>
      <c r="Z2880" t="str">
        <f t="shared" si="404"/>
        <v>10.220.80.16</v>
      </c>
    </row>
    <row r="2881" spans="1:26" x14ac:dyDescent="0.25">
      <c r="A2881" t="s">
        <v>10</v>
      </c>
      <c r="B2881" t="s">
        <v>1206</v>
      </c>
      <c r="C2881" t="s">
        <v>2173</v>
      </c>
      <c r="D2881" t="s">
        <v>2174</v>
      </c>
      <c r="E2881" t="s">
        <v>2234</v>
      </c>
      <c r="F2881" t="s">
        <v>14</v>
      </c>
      <c r="G2881" t="s">
        <v>2531</v>
      </c>
      <c r="H2881" t="s">
        <v>16</v>
      </c>
      <c r="I2881">
        <v>12004</v>
      </c>
      <c r="J2881" t="s">
        <v>2710</v>
      </c>
      <c r="K2881">
        <f t="shared" si="396"/>
        <v>12004</v>
      </c>
      <c r="N2881" t="str">
        <f t="shared" si="397"/>
        <v>HOLDING REGISTER</v>
      </c>
      <c r="O2881" t="str">
        <f t="shared" si="398"/>
        <v>INT</v>
      </c>
      <c r="P2881" t="str">
        <f t="shared" si="399"/>
        <v>JETFAN V2SX</v>
      </c>
      <c r="R2881" t="str">
        <f t="shared" si="400"/>
        <v>COD. 17 =CMD MARCIA DIR. SUD (*Valido solo se in modalità MAN da SCADA*)</v>
      </c>
      <c r="U2881" t="str">
        <f t="shared" si="401"/>
        <v>Comando</v>
      </c>
      <c r="V2881" t="str">
        <f t="shared" si="402"/>
        <v>GALLERIA</v>
      </c>
      <c r="W2881" t="str">
        <f t="shared" si="403"/>
        <v>GALLERIA CASOLA</v>
      </c>
      <c r="Z2881" t="str">
        <f t="shared" si="404"/>
        <v>10.220.80.16</v>
      </c>
    </row>
    <row r="2882" spans="1:26" x14ac:dyDescent="0.25">
      <c r="A2882" t="s">
        <v>10</v>
      </c>
      <c r="B2882" t="s">
        <v>1206</v>
      </c>
      <c r="C2882" t="s">
        <v>2173</v>
      </c>
      <c r="D2882" t="s">
        <v>2174</v>
      </c>
      <c r="E2882" t="s">
        <v>2234</v>
      </c>
      <c r="F2882" t="s">
        <v>14</v>
      </c>
      <c r="G2882" t="s">
        <v>2531</v>
      </c>
      <c r="H2882" t="s">
        <v>16</v>
      </c>
      <c r="I2882">
        <v>12004</v>
      </c>
      <c r="J2882" t="s">
        <v>2711</v>
      </c>
      <c r="K2882">
        <f t="shared" si="396"/>
        <v>12004</v>
      </c>
      <c r="N2882" t="str">
        <f t="shared" si="397"/>
        <v>HOLDING REGISTER</v>
      </c>
      <c r="O2882" t="str">
        <f t="shared" si="398"/>
        <v>INT</v>
      </c>
      <c r="P2882" t="str">
        <f t="shared" si="399"/>
        <v>JETFAN V2SX</v>
      </c>
      <c r="R2882" t="str">
        <f t="shared" si="400"/>
        <v>COD. 18 =CMD arresto (*Valido solo se in modalità MAN da SCADA*)</v>
      </c>
      <c r="U2882" t="str">
        <f t="shared" si="401"/>
        <v>Comando</v>
      </c>
      <c r="V2882" t="str">
        <f t="shared" si="402"/>
        <v>GALLERIA</v>
      </c>
      <c r="W2882" t="str">
        <f t="shared" si="403"/>
        <v>GALLERIA CASOLA</v>
      </c>
      <c r="Z2882" t="str">
        <f t="shared" si="404"/>
        <v>10.220.80.16</v>
      </c>
    </row>
    <row r="2883" spans="1:26" x14ac:dyDescent="0.25">
      <c r="A2883" t="s">
        <v>10</v>
      </c>
      <c r="B2883" t="s">
        <v>1206</v>
      </c>
      <c r="C2883" t="s">
        <v>2173</v>
      </c>
      <c r="D2883" t="s">
        <v>2174</v>
      </c>
      <c r="E2883" t="s">
        <v>2234</v>
      </c>
      <c r="F2883" t="s">
        <v>14</v>
      </c>
      <c r="G2883" t="s">
        <v>2531</v>
      </c>
      <c r="H2883" t="s">
        <v>16</v>
      </c>
      <c r="I2883">
        <v>12004</v>
      </c>
      <c r="J2883" t="s">
        <v>2712</v>
      </c>
      <c r="K2883">
        <f t="shared" ref="K2883:K2946" si="405">IF(I2883="","",I2883)</f>
        <v>12004</v>
      </c>
      <c r="N2883" t="str">
        <f t="shared" ref="N2883:N2946" si="406">IF(F2883="","",F2883)</f>
        <v>HOLDING REGISTER</v>
      </c>
      <c r="O2883" t="str">
        <f t="shared" ref="O2883:O2946" si="407">IF(H2883="","",H2883)</f>
        <v>INT</v>
      </c>
      <c r="P2883" t="str">
        <f t="shared" ref="P2883:P2946" si="408">_xlfn.CONCAT(D2883," ",E2883)</f>
        <v>JETFAN V2SX</v>
      </c>
      <c r="R2883" t="str">
        <f t="shared" ref="R2883:R2946" si="409">IF(J2883="","",J2883)</f>
        <v>COD. 33 =Comando Reset Allarmi</v>
      </c>
      <c r="U2883" t="str">
        <f t="shared" ref="U2883:U2946" si="410">IF(G2883="","",G2883)</f>
        <v>Comando</v>
      </c>
      <c r="V2883" t="str">
        <f t="shared" ref="V2883:V2946" si="411">IF(C2883="","",C2883)</f>
        <v>GALLERIA</v>
      </c>
      <c r="W2883" t="str">
        <f t="shared" ref="W2883:W2946" si="412">IF(B2883="","",B2883)</f>
        <v>GALLERIA CASOLA</v>
      </c>
      <c r="Z2883" t="str">
        <f t="shared" ref="Z2883:Z2946" si="413">IF(A2883="","",A2883)</f>
        <v>10.220.80.16</v>
      </c>
    </row>
    <row r="2884" spans="1:26" x14ac:dyDescent="0.25">
      <c r="A2884" t="s">
        <v>10</v>
      </c>
      <c r="B2884" t="s">
        <v>1206</v>
      </c>
      <c r="C2884" t="s">
        <v>2173</v>
      </c>
      <c r="D2884" t="s">
        <v>2174</v>
      </c>
      <c r="E2884" t="s">
        <v>2249</v>
      </c>
      <c r="F2884" t="s">
        <v>14</v>
      </c>
      <c r="G2884" t="s">
        <v>2531</v>
      </c>
      <c r="H2884" t="s">
        <v>16</v>
      </c>
      <c r="I2884">
        <v>12005</v>
      </c>
      <c r="J2884" t="s">
        <v>2705</v>
      </c>
      <c r="K2884">
        <f t="shared" si="405"/>
        <v>12005</v>
      </c>
      <c r="N2884" t="str">
        <f t="shared" si="406"/>
        <v>HOLDING REGISTER</v>
      </c>
      <c r="O2884" t="str">
        <f t="shared" si="407"/>
        <v>INT</v>
      </c>
      <c r="P2884" t="str">
        <f t="shared" si="408"/>
        <v>JETFAN V3DX</v>
      </c>
      <c r="R2884" t="str">
        <f t="shared" si="409"/>
        <v>COD. 2= COMANDI MAN: accettato solo se in modalità comandi auto da "QVE" su quadro CABINA per singolo ventilatore e "REMOTO" Quadro "QVFF".</v>
      </c>
      <c r="U2884" t="str">
        <f t="shared" si="410"/>
        <v>Comando</v>
      </c>
      <c r="V2884" t="str">
        <f t="shared" si="411"/>
        <v>GALLERIA</v>
      </c>
      <c r="W2884" t="str">
        <f t="shared" si="412"/>
        <v>GALLERIA CASOLA</v>
      </c>
      <c r="Z2884" t="str">
        <f t="shared" si="413"/>
        <v>10.220.80.16</v>
      </c>
    </row>
    <row r="2885" spans="1:26" x14ac:dyDescent="0.25">
      <c r="A2885" t="s">
        <v>10</v>
      </c>
      <c r="B2885" t="s">
        <v>1206</v>
      </c>
      <c r="C2885" t="s">
        <v>2173</v>
      </c>
      <c r="D2885" t="s">
        <v>2174</v>
      </c>
      <c r="E2885" t="s">
        <v>2249</v>
      </c>
      <c r="F2885" t="s">
        <v>14</v>
      </c>
      <c r="G2885" t="s">
        <v>2531</v>
      </c>
      <c r="H2885" t="s">
        <v>16</v>
      </c>
      <c r="I2885">
        <v>12005</v>
      </c>
      <c r="J2885" t="s">
        <v>2706</v>
      </c>
      <c r="K2885">
        <f t="shared" si="405"/>
        <v>12005</v>
      </c>
      <c r="N2885" t="str">
        <f t="shared" si="406"/>
        <v>HOLDING REGISTER</v>
      </c>
      <c r="O2885" t="str">
        <f t="shared" si="407"/>
        <v>INT</v>
      </c>
      <c r="P2885" t="str">
        <f t="shared" si="408"/>
        <v>JETFAN V3DX</v>
      </c>
      <c r="R2885" t="str">
        <f t="shared" si="409"/>
        <v>COD. 3= COMANDI AUTO: accettato solo se in modalità comandi auto da "QVE" su quadro CABINA per singolo ventilatore e "REMOTO" Quadro "QVFF".</v>
      </c>
      <c r="U2885" t="str">
        <f t="shared" si="410"/>
        <v>Comando</v>
      </c>
      <c r="V2885" t="str">
        <f t="shared" si="411"/>
        <v>GALLERIA</v>
      </c>
      <c r="W2885" t="str">
        <f t="shared" si="412"/>
        <v>GALLERIA CASOLA</v>
      </c>
      <c r="Z2885" t="str">
        <f t="shared" si="413"/>
        <v>10.220.80.16</v>
      </c>
    </row>
    <row r="2886" spans="1:26" x14ac:dyDescent="0.25">
      <c r="A2886" t="s">
        <v>10</v>
      </c>
      <c r="B2886" t="s">
        <v>1206</v>
      </c>
      <c r="C2886" t="s">
        <v>2173</v>
      </c>
      <c r="D2886" t="s">
        <v>2174</v>
      </c>
      <c r="E2886" t="s">
        <v>2249</v>
      </c>
      <c r="F2886" t="s">
        <v>14</v>
      </c>
      <c r="G2886" t="s">
        <v>2531</v>
      </c>
      <c r="H2886" t="s">
        <v>16</v>
      </c>
      <c r="I2886">
        <v>12005</v>
      </c>
      <c r="J2886" t="s">
        <v>2707</v>
      </c>
      <c r="K2886">
        <f t="shared" si="405"/>
        <v>12005</v>
      </c>
      <c r="N2886" t="str">
        <f t="shared" si="406"/>
        <v>HOLDING REGISTER</v>
      </c>
      <c r="O2886" t="str">
        <f t="shared" si="407"/>
        <v>INT</v>
      </c>
      <c r="P2886" t="str">
        <f t="shared" si="408"/>
        <v>JETFAN V3DX</v>
      </c>
      <c r="R2886" t="str">
        <f t="shared" si="409"/>
        <v>COD. 4 =ESCLUDI</v>
      </c>
      <c r="U2886" t="str">
        <f t="shared" si="410"/>
        <v>Comando</v>
      </c>
      <c r="V2886" t="str">
        <f t="shared" si="411"/>
        <v>GALLERIA</v>
      </c>
      <c r="W2886" t="str">
        <f t="shared" si="412"/>
        <v>GALLERIA CASOLA</v>
      </c>
      <c r="Z2886" t="str">
        <f t="shared" si="413"/>
        <v>10.220.80.16</v>
      </c>
    </row>
    <row r="2887" spans="1:26" x14ac:dyDescent="0.25">
      <c r="A2887" t="s">
        <v>10</v>
      </c>
      <c r="B2887" t="s">
        <v>1206</v>
      </c>
      <c r="C2887" t="s">
        <v>2173</v>
      </c>
      <c r="D2887" t="s">
        <v>2174</v>
      </c>
      <c r="E2887" t="s">
        <v>2249</v>
      </c>
      <c r="F2887" t="s">
        <v>14</v>
      </c>
      <c r="G2887" t="s">
        <v>2531</v>
      </c>
      <c r="H2887" t="s">
        <v>16</v>
      </c>
      <c r="I2887">
        <v>12005</v>
      </c>
      <c r="J2887" t="s">
        <v>2708</v>
      </c>
      <c r="K2887">
        <f t="shared" si="405"/>
        <v>12005</v>
      </c>
      <c r="N2887" t="str">
        <f t="shared" si="406"/>
        <v>HOLDING REGISTER</v>
      </c>
      <c r="O2887" t="str">
        <f t="shared" si="407"/>
        <v>INT</v>
      </c>
      <c r="P2887" t="str">
        <f t="shared" si="408"/>
        <v>JETFAN V3DX</v>
      </c>
      <c r="R2887" t="str">
        <f t="shared" si="409"/>
        <v>COD. 5 =INCLUDI</v>
      </c>
      <c r="U2887" t="str">
        <f t="shared" si="410"/>
        <v>Comando</v>
      </c>
      <c r="V2887" t="str">
        <f t="shared" si="411"/>
        <v>GALLERIA</v>
      </c>
      <c r="W2887" t="str">
        <f t="shared" si="412"/>
        <v>GALLERIA CASOLA</v>
      </c>
      <c r="Z2887" t="str">
        <f t="shared" si="413"/>
        <v>10.220.80.16</v>
      </c>
    </row>
    <row r="2888" spans="1:26" x14ac:dyDescent="0.25">
      <c r="A2888" t="s">
        <v>10</v>
      </c>
      <c r="B2888" t="s">
        <v>1206</v>
      </c>
      <c r="C2888" t="s">
        <v>2173</v>
      </c>
      <c r="D2888" t="s">
        <v>2174</v>
      </c>
      <c r="E2888" t="s">
        <v>2249</v>
      </c>
      <c r="F2888" t="s">
        <v>14</v>
      </c>
      <c r="G2888" t="s">
        <v>2531</v>
      </c>
      <c r="H2888" t="s">
        <v>16</v>
      </c>
      <c r="I2888">
        <v>12005</v>
      </c>
      <c r="J2888" t="s">
        <v>2709</v>
      </c>
      <c r="K2888">
        <f t="shared" si="405"/>
        <v>12005</v>
      </c>
      <c r="N2888" t="str">
        <f t="shared" si="406"/>
        <v>HOLDING REGISTER</v>
      </c>
      <c r="O2888" t="str">
        <f t="shared" si="407"/>
        <v>INT</v>
      </c>
      <c r="P2888" t="str">
        <f t="shared" si="408"/>
        <v>JETFAN V3DX</v>
      </c>
      <c r="R2888" t="str">
        <f t="shared" si="409"/>
        <v>COD. 16 =CMD MARCIA DIR. NORD (*Valido solo se in modalità MAN da SCADA*)</v>
      </c>
      <c r="U2888" t="str">
        <f t="shared" si="410"/>
        <v>Comando</v>
      </c>
      <c r="V2888" t="str">
        <f t="shared" si="411"/>
        <v>GALLERIA</v>
      </c>
      <c r="W2888" t="str">
        <f t="shared" si="412"/>
        <v>GALLERIA CASOLA</v>
      </c>
      <c r="Z2888" t="str">
        <f t="shared" si="413"/>
        <v>10.220.80.16</v>
      </c>
    </row>
    <row r="2889" spans="1:26" x14ac:dyDescent="0.25">
      <c r="A2889" t="s">
        <v>10</v>
      </c>
      <c r="B2889" t="s">
        <v>1206</v>
      </c>
      <c r="C2889" t="s">
        <v>2173</v>
      </c>
      <c r="D2889" t="s">
        <v>2174</v>
      </c>
      <c r="E2889" t="s">
        <v>2249</v>
      </c>
      <c r="F2889" t="s">
        <v>14</v>
      </c>
      <c r="G2889" t="s">
        <v>2531</v>
      </c>
      <c r="H2889" t="s">
        <v>16</v>
      </c>
      <c r="I2889">
        <v>12005</v>
      </c>
      <c r="J2889" t="s">
        <v>2710</v>
      </c>
      <c r="K2889">
        <f t="shared" si="405"/>
        <v>12005</v>
      </c>
      <c r="N2889" t="str">
        <f t="shared" si="406"/>
        <v>HOLDING REGISTER</v>
      </c>
      <c r="O2889" t="str">
        <f t="shared" si="407"/>
        <v>INT</v>
      </c>
      <c r="P2889" t="str">
        <f t="shared" si="408"/>
        <v>JETFAN V3DX</v>
      </c>
      <c r="R2889" t="str">
        <f t="shared" si="409"/>
        <v>COD. 17 =CMD MARCIA DIR. SUD (*Valido solo se in modalità MAN da SCADA*)</v>
      </c>
      <c r="U2889" t="str">
        <f t="shared" si="410"/>
        <v>Comando</v>
      </c>
      <c r="V2889" t="str">
        <f t="shared" si="411"/>
        <v>GALLERIA</v>
      </c>
      <c r="W2889" t="str">
        <f t="shared" si="412"/>
        <v>GALLERIA CASOLA</v>
      </c>
      <c r="Z2889" t="str">
        <f t="shared" si="413"/>
        <v>10.220.80.16</v>
      </c>
    </row>
    <row r="2890" spans="1:26" x14ac:dyDescent="0.25">
      <c r="A2890" t="s">
        <v>10</v>
      </c>
      <c r="B2890" t="s">
        <v>1206</v>
      </c>
      <c r="C2890" t="s">
        <v>2173</v>
      </c>
      <c r="D2890" t="s">
        <v>2174</v>
      </c>
      <c r="E2890" t="s">
        <v>2249</v>
      </c>
      <c r="F2890" t="s">
        <v>14</v>
      </c>
      <c r="G2890" t="s">
        <v>2531</v>
      </c>
      <c r="H2890" t="s">
        <v>16</v>
      </c>
      <c r="I2890">
        <v>12005</v>
      </c>
      <c r="J2890" t="s">
        <v>2711</v>
      </c>
      <c r="K2890">
        <f t="shared" si="405"/>
        <v>12005</v>
      </c>
      <c r="N2890" t="str">
        <f t="shared" si="406"/>
        <v>HOLDING REGISTER</v>
      </c>
      <c r="O2890" t="str">
        <f t="shared" si="407"/>
        <v>INT</v>
      </c>
      <c r="P2890" t="str">
        <f t="shared" si="408"/>
        <v>JETFAN V3DX</v>
      </c>
      <c r="R2890" t="str">
        <f t="shared" si="409"/>
        <v>COD. 18 =CMD arresto (*Valido solo se in modalità MAN da SCADA*)</v>
      </c>
      <c r="U2890" t="str">
        <f t="shared" si="410"/>
        <v>Comando</v>
      </c>
      <c r="V2890" t="str">
        <f t="shared" si="411"/>
        <v>GALLERIA</v>
      </c>
      <c r="W2890" t="str">
        <f t="shared" si="412"/>
        <v>GALLERIA CASOLA</v>
      </c>
      <c r="Z2890" t="str">
        <f t="shared" si="413"/>
        <v>10.220.80.16</v>
      </c>
    </row>
    <row r="2891" spans="1:26" x14ac:dyDescent="0.25">
      <c r="A2891" t="s">
        <v>10</v>
      </c>
      <c r="B2891" t="s">
        <v>1206</v>
      </c>
      <c r="C2891" t="s">
        <v>2173</v>
      </c>
      <c r="D2891" t="s">
        <v>2174</v>
      </c>
      <c r="E2891" t="s">
        <v>2249</v>
      </c>
      <c r="F2891" t="s">
        <v>14</v>
      </c>
      <c r="G2891" t="s">
        <v>2531</v>
      </c>
      <c r="H2891" t="s">
        <v>16</v>
      </c>
      <c r="I2891">
        <v>12005</v>
      </c>
      <c r="J2891" t="s">
        <v>2712</v>
      </c>
      <c r="K2891">
        <f t="shared" si="405"/>
        <v>12005</v>
      </c>
      <c r="N2891" t="str">
        <f t="shared" si="406"/>
        <v>HOLDING REGISTER</v>
      </c>
      <c r="O2891" t="str">
        <f t="shared" si="407"/>
        <v>INT</v>
      </c>
      <c r="P2891" t="str">
        <f t="shared" si="408"/>
        <v>JETFAN V3DX</v>
      </c>
      <c r="R2891" t="str">
        <f t="shared" si="409"/>
        <v>COD. 33 =Comando Reset Allarmi</v>
      </c>
      <c r="U2891" t="str">
        <f t="shared" si="410"/>
        <v>Comando</v>
      </c>
      <c r="V2891" t="str">
        <f t="shared" si="411"/>
        <v>GALLERIA</v>
      </c>
      <c r="W2891" t="str">
        <f t="shared" si="412"/>
        <v>GALLERIA CASOLA</v>
      </c>
      <c r="Z2891" t="str">
        <f t="shared" si="413"/>
        <v>10.220.80.16</v>
      </c>
    </row>
    <row r="2892" spans="1:26" x14ac:dyDescent="0.25">
      <c r="A2892" t="s">
        <v>10</v>
      </c>
      <c r="B2892" t="s">
        <v>1206</v>
      </c>
      <c r="C2892" t="s">
        <v>2173</v>
      </c>
      <c r="D2892" t="s">
        <v>2174</v>
      </c>
      <c r="E2892" t="s">
        <v>2264</v>
      </c>
      <c r="F2892" t="s">
        <v>14</v>
      </c>
      <c r="G2892" t="s">
        <v>2531</v>
      </c>
      <c r="H2892" t="s">
        <v>16</v>
      </c>
      <c r="I2892">
        <v>12006</v>
      </c>
      <c r="J2892" t="s">
        <v>2705</v>
      </c>
      <c r="K2892">
        <f t="shared" si="405"/>
        <v>12006</v>
      </c>
      <c r="N2892" t="str">
        <f t="shared" si="406"/>
        <v>HOLDING REGISTER</v>
      </c>
      <c r="O2892" t="str">
        <f t="shared" si="407"/>
        <v>INT</v>
      </c>
      <c r="P2892" t="str">
        <f t="shared" si="408"/>
        <v>JETFAN V3SX</v>
      </c>
      <c r="R2892" t="str">
        <f t="shared" si="409"/>
        <v>COD. 2= COMANDI MAN: accettato solo se in modalità comandi auto da "QVE" su quadro CABINA per singolo ventilatore e "REMOTO" Quadro "QVFF".</v>
      </c>
      <c r="U2892" t="str">
        <f t="shared" si="410"/>
        <v>Comando</v>
      </c>
      <c r="V2892" t="str">
        <f t="shared" si="411"/>
        <v>GALLERIA</v>
      </c>
      <c r="W2892" t="str">
        <f t="shared" si="412"/>
        <v>GALLERIA CASOLA</v>
      </c>
      <c r="Z2892" t="str">
        <f t="shared" si="413"/>
        <v>10.220.80.16</v>
      </c>
    </row>
    <row r="2893" spans="1:26" x14ac:dyDescent="0.25">
      <c r="A2893" t="s">
        <v>10</v>
      </c>
      <c r="B2893" t="s">
        <v>1206</v>
      </c>
      <c r="C2893" t="s">
        <v>2173</v>
      </c>
      <c r="D2893" t="s">
        <v>2174</v>
      </c>
      <c r="E2893" t="s">
        <v>2264</v>
      </c>
      <c r="F2893" t="s">
        <v>14</v>
      </c>
      <c r="G2893" t="s">
        <v>2531</v>
      </c>
      <c r="H2893" t="s">
        <v>16</v>
      </c>
      <c r="I2893">
        <v>12006</v>
      </c>
      <c r="J2893" t="s">
        <v>2706</v>
      </c>
      <c r="K2893">
        <f t="shared" si="405"/>
        <v>12006</v>
      </c>
      <c r="N2893" t="str">
        <f t="shared" si="406"/>
        <v>HOLDING REGISTER</v>
      </c>
      <c r="O2893" t="str">
        <f t="shared" si="407"/>
        <v>INT</v>
      </c>
      <c r="P2893" t="str">
        <f t="shared" si="408"/>
        <v>JETFAN V3SX</v>
      </c>
      <c r="R2893" t="str">
        <f t="shared" si="409"/>
        <v>COD. 3= COMANDI AUTO: accettato solo se in modalità comandi auto da "QVE" su quadro CABINA per singolo ventilatore e "REMOTO" Quadro "QVFF".</v>
      </c>
      <c r="U2893" t="str">
        <f t="shared" si="410"/>
        <v>Comando</v>
      </c>
      <c r="V2893" t="str">
        <f t="shared" si="411"/>
        <v>GALLERIA</v>
      </c>
      <c r="W2893" t="str">
        <f t="shared" si="412"/>
        <v>GALLERIA CASOLA</v>
      </c>
      <c r="Z2893" t="str">
        <f t="shared" si="413"/>
        <v>10.220.80.16</v>
      </c>
    </row>
    <row r="2894" spans="1:26" x14ac:dyDescent="0.25">
      <c r="A2894" t="s">
        <v>10</v>
      </c>
      <c r="B2894" t="s">
        <v>1206</v>
      </c>
      <c r="C2894" t="s">
        <v>2173</v>
      </c>
      <c r="D2894" t="s">
        <v>2174</v>
      </c>
      <c r="E2894" t="s">
        <v>2264</v>
      </c>
      <c r="F2894" t="s">
        <v>14</v>
      </c>
      <c r="G2894" t="s">
        <v>2531</v>
      </c>
      <c r="H2894" t="s">
        <v>16</v>
      </c>
      <c r="I2894">
        <v>12006</v>
      </c>
      <c r="J2894" t="s">
        <v>2707</v>
      </c>
      <c r="K2894">
        <f t="shared" si="405"/>
        <v>12006</v>
      </c>
      <c r="N2894" t="str">
        <f t="shared" si="406"/>
        <v>HOLDING REGISTER</v>
      </c>
      <c r="O2894" t="str">
        <f t="shared" si="407"/>
        <v>INT</v>
      </c>
      <c r="P2894" t="str">
        <f t="shared" si="408"/>
        <v>JETFAN V3SX</v>
      </c>
      <c r="R2894" t="str">
        <f t="shared" si="409"/>
        <v>COD. 4 =ESCLUDI</v>
      </c>
      <c r="U2894" t="str">
        <f t="shared" si="410"/>
        <v>Comando</v>
      </c>
      <c r="V2894" t="str">
        <f t="shared" si="411"/>
        <v>GALLERIA</v>
      </c>
      <c r="W2894" t="str">
        <f t="shared" si="412"/>
        <v>GALLERIA CASOLA</v>
      </c>
      <c r="Z2894" t="str">
        <f t="shared" si="413"/>
        <v>10.220.80.16</v>
      </c>
    </row>
    <row r="2895" spans="1:26" x14ac:dyDescent="0.25">
      <c r="A2895" t="s">
        <v>10</v>
      </c>
      <c r="B2895" t="s">
        <v>1206</v>
      </c>
      <c r="C2895" t="s">
        <v>2173</v>
      </c>
      <c r="D2895" t="s">
        <v>2174</v>
      </c>
      <c r="E2895" t="s">
        <v>2264</v>
      </c>
      <c r="F2895" t="s">
        <v>14</v>
      </c>
      <c r="G2895" t="s">
        <v>2531</v>
      </c>
      <c r="H2895" t="s">
        <v>16</v>
      </c>
      <c r="I2895">
        <v>12006</v>
      </c>
      <c r="J2895" t="s">
        <v>2708</v>
      </c>
      <c r="K2895">
        <f t="shared" si="405"/>
        <v>12006</v>
      </c>
      <c r="N2895" t="str">
        <f t="shared" si="406"/>
        <v>HOLDING REGISTER</v>
      </c>
      <c r="O2895" t="str">
        <f t="shared" si="407"/>
        <v>INT</v>
      </c>
      <c r="P2895" t="str">
        <f t="shared" si="408"/>
        <v>JETFAN V3SX</v>
      </c>
      <c r="R2895" t="str">
        <f t="shared" si="409"/>
        <v>COD. 5 =INCLUDI</v>
      </c>
      <c r="U2895" t="str">
        <f t="shared" si="410"/>
        <v>Comando</v>
      </c>
      <c r="V2895" t="str">
        <f t="shared" si="411"/>
        <v>GALLERIA</v>
      </c>
      <c r="W2895" t="str">
        <f t="shared" si="412"/>
        <v>GALLERIA CASOLA</v>
      </c>
      <c r="Z2895" t="str">
        <f t="shared" si="413"/>
        <v>10.220.80.16</v>
      </c>
    </row>
    <row r="2896" spans="1:26" x14ac:dyDescent="0.25">
      <c r="A2896" t="s">
        <v>10</v>
      </c>
      <c r="B2896" t="s">
        <v>1206</v>
      </c>
      <c r="C2896" t="s">
        <v>2173</v>
      </c>
      <c r="D2896" t="s">
        <v>2174</v>
      </c>
      <c r="E2896" t="s">
        <v>2264</v>
      </c>
      <c r="F2896" t="s">
        <v>14</v>
      </c>
      <c r="G2896" t="s">
        <v>2531</v>
      </c>
      <c r="H2896" t="s">
        <v>16</v>
      </c>
      <c r="I2896">
        <v>12006</v>
      </c>
      <c r="J2896" t="s">
        <v>2709</v>
      </c>
      <c r="K2896">
        <f t="shared" si="405"/>
        <v>12006</v>
      </c>
      <c r="N2896" t="str">
        <f t="shared" si="406"/>
        <v>HOLDING REGISTER</v>
      </c>
      <c r="O2896" t="str">
        <f t="shared" si="407"/>
        <v>INT</v>
      </c>
      <c r="P2896" t="str">
        <f t="shared" si="408"/>
        <v>JETFAN V3SX</v>
      </c>
      <c r="R2896" t="str">
        <f t="shared" si="409"/>
        <v>COD. 16 =CMD MARCIA DIR. NORD (*Valido solo se in modalità MAN da SCADA*)</v>
      </c>
      <c r="U2896" t="str">
        <f t="shared" si="410"/>
        <v>Comando</v>
      </c>
      <c r="V2896" t="str">
        <f t="shared" si="411"/>
        <v>GALLERIA</v>
      </c>
      <c r="W2896" t="str">
        <f t="shared" si="412"/>
        <v>GALLERIA CASOLA</v>
      </c>
      <c r="Z2896" t="str">
        <f t="shared" si="413"/>
        <v>10.220.80.16</v>
      </c>
    </row>
    <row r="2897" spans="1:26" x14ac:dyDescent="0.25">
      <c r="A2897" t="s">
        <v>10</v>
      </c>
      <c r="B2897" t="s">
        <v>1206</v>
      </c>
      <c r="C2897" t="s">
        <v>2173</v>
      </c>
      <c r="D2897" t="s">
        <v>2174</v>
      </c>
      <c r="E2897" t="s">
        <v>2264</v>
      </c>
      <c r="F2897" t="s">
        <v>14</v>
      </c>
      <c r="G2897" t="s">
        <v>2531</v>
      </c>
      <c r="H2897" t="s">
        <v>16</v>
      </c>
      <c r="I2897">
        <v>12006</v>
      </c>
      <c r="J2897" t="s">
        <v>2710</v>
      </c>
      <c r="K2897">
        <f t="shared" si="405"/>
        <v>12006</v>
      </c>
      <c r="N2897" t="str">
        <f t="shared" si="406"/>
        <v>HOLDING REGISTER</v>
      </c>
      <c r="O2897" t="str">
        <f t="shared" si="407"/>
        <v>INT</v>
      </c>
      <c r="P2897" t="str">
        <f t="shared" si="408"/>
        <v>JETFAN V3SX</v>
      </c>
      <c r="R2897" t="str">
        <f t="shared" si="409"/>
        <v>COD. 17 =CMD MARCIA DIR. SUD (*Valido solo se in modalità MAN da SCADA*)</v>
      </c>
      <c r="U2897" t="str">
        <f t="shared" si="410"/>
        <v>Comando</v>
      </c>
      <c r="V2897" t="str">
        <f t="shared" si="411"/>
        <v>GALLERIA</v>
      </c>
      <c r="W2897" t="str">
        <f t="shared" si="412"/>
        <v>GALLERIA CASOLA</v>
      </c>
      <c r="Z2897" t="str">
        <f t="shared" si="413"/>
        <v>10.220.80.16</v>
      </c>
    </row>
    <row r="2898" spans="1:26" x14ac:dyDescent="0.25">
      <c r="A2898" t="s">
        <v>10</v>
      </c>
      <c r="B2898" t="s">
        <v>1206</v>
      </c>
      <c r="C2898" t="s">
        <v>2173</v>
      </c>
      <c r="D2898" t="s">
        <v>2174</v>
      </c>
      <c r="E2898" t="s">
        <v>2264</v>
      </c>
      <c r="F2898" t="s">
        <v>14</v>
      </c>
      <c r="G2898" t="s">
        <v>2531</v>
      </c>
      <c r="H2898" t="s">
        <v>16</v>
      </c>
      <c r="I2898">
        <v>12006</v>
      </c>
      <c r="J2898" t="s">
        <v>2711</v>
      </c>
      <c r="K2898">
        <f t="shared" si="405"/>
        <v>12006</v>
      </c>
      <c r="N2898" t="str">
        <f t="shared" si="406"/>
        <v>HOLDING REGISTER</v>
      </c>
      <c r="O2898" t="str">
        <f t="shared" si="407"/>
        <v>INT</v>
      </c>
      <c r="P2898" t="str">
        <f t="shared" si="408"/>
        <v>JETFAN V3SX</v>
      </c>
      <c r="R2898" t="str">
        <f t="shared" si="409"/>
        <v>COD. 18 =CMD arresto (*Valido solo se in modalità MAN da SCADA*)</v>
      </c>
      <c r="U2898" t="str">
        <f t="shared" si="410"/>
        <v>Comando</v>
      </c>
      <c r="V2898" t="str">
        <f t="shared" si="411"/>
        <v>GALLERIA</v>
      </c>
      <c r="W2898" t="str">
        <f t="shared" si="412"/>
        <v>GALLERIA CASOLA</v>
      </c>
      <c r="Z2898" t="str">
        <f t="shared" si="413"/>
        <v>10.220.80.16</v>
      </c>
    </row>
    <row r="2899" spans="1:26" x14ac:dyDescent="0.25">
      <c r="A2899" t="s">
        <v>10</v>
      </c>
      <c r="B2899" t="s">
        <v>1206</v>
      </c>
      <c r="C2899" t="s">
        <v>2173</v>
      </c>
      <c r="D2899" t="s">
        <v>2174</v>
      </c>
      <c r="E2899" t="s">
        <v>2264</v>
      </c>
      <c r="F2899" t="s">
        <v>14</v>
      </c>
      <c r="G2899" t="s">
        <v>2531</v>
      </c>
      <c r="H2899" t="s">
        <v>16</v>
      </c>
      <c r="I2899">
        <v>12006</v>
      </c>
      <c r="J2899" t="s">
        <v>2712</v>
      </c>
      <c r="K2899">
        <f t="shared" si="405"/>
        <v>12006</v>
      </c>
      <c r="N2899" t="str">
        <f t="shared" si="406"/>
        <v>HOLDING REGISTER</v>
      </c>
      <c r="O2899" t="str">
        <f t="shared" si="407"/>
        <v>INT</v>
      </c>
      <c r="P2899" t="str">
        <f t="shared" si="408"/>
        <v>JETFAN V3SX</v>
      </c>
      <c r="R2899" t="str">
        <f t="shared" si="409"/>
        <v>COD. 33 =Comando Reset Allarmi</v>
      </c>
      <c r="U2899" t="str">
        <f t="shared" si="410"/>
        <v>Comando</v>
      </c>
      <c r="V2899" t="str">
        <f t="shared" si="411"/>
        <v>GALLERIA</v>
      </c>
      <c r="W2899" t="str">
        <f t="shared" si="412"/>
        <v>GALLERIA CASOLA</v>
      </c>
      <c r="Z2899" t="str">
        <f t="shared" si="413"/>
        <v>10.220.80.16</v>
      </c>
    </row>
    <row r="2900" spans="1:26" x14ac:dyDescent="0.25">
      <c r="A2900" t="s">
        <v>10</v>
      </c>
      <c r="B2900" t="s">
        <v>1206</v>
      </c>
      <c r="C2900" t="s">
        <v>2173</v>
      </c>
      <c r="D2900" t="s">
        <v>2713</v>
      </c>
      <c r="E2900" t="s">
        <v>2714</v>
      </c>
      <c r="F2900" t="s">
        <v>14</v>
      </c>
      <c r="G2900" t="s">
        <v>2531</v>
      </c>
      <c r="H2900" t="s">
        <v>22</v>
      </c>
      <c r="I2900" t="s">
        <v>3607</v>
      </c>
      <c r="J2900" t="s">
        <v>2716</v>
      </c>
      <c r="K2900" t="str">
        <f t="shared" si="405"/>
        <v>12007.0</v>
      </c>
      <c r="N2900" t="str">
        <f t="shared" si="406"/>
        <v>HOLDING REGISTER</v>
      </c>
      <c r="O2900" t="str">
        <f t="shared" si="407"/>
        <v>BOOL</v>
      </c>
      <c r="P2900" t="str">
        <f t="shared" si="408"/>
        <v>IMPOSTA SOGLIE GALLERIA SOGLIE CO-OP-TEMPI</v>
      </c>
      <c r="R2900" t="str">
        <f t="shared" si="409"/>
        <v>Abilita Impostazione Soglie CO-OP</v>
      </c>
      <c r="U2900" t="str">
        <f t="shared" si="410"/>
        <v>Comando</v>
      </c>
      <c r="V2900" t="str">
        <f t="shared" si="411"/>
        <v>GALLERIA</v>
      </c>
      <c r="W2900" t="str">
        <f t="shared" si="412"/>
        <v>GALLERIA CASOLA</v>
      </c>
      <c r="Z2900" t="str">
        <f t="shared" si="413"/>
        <v>10.220.80.16</v>
      </c>
    </row>
    <row r="2901" spans="1:26" x14ac:dyDescent="0.25">
      <c r="A2901" t="s">
        <v>10</v>
      </c>
      <c r="B2901" t="s">
        <v>1206</v>
      </c>
      <c r="C2901" t="s">
        <v>2173</v>
      </c>
      <c r="D2901" t="s">
        <v>2713</v>
      </c>
      <c r="E2901" t="s">
        <v>2717</v>
      </c>
      <c r="F2901" t="s">
        <v>14</v>
      </c>
      <c r="G2901" t="s">
        <v>2531</v>
      </c>
      <c r="H2901" t="s">
        <v>1295</v>
      </c>
      <c r="I2901">
        <v>12008</v>
      </c>
      <c r="J2901" t="s">
        <v>2718</v>
      </c>
      <c r="K2901">
        <f t="shared" si="405"/>
        <v>12008</v>
      </c>
      <c r="N2901" t="str">
        <f t="shared" si="406"/>
        <v>HOLDING REGISTER</v>
      </c>
      <c r="O2901" t="str">
        <f t="shared" si="407"/>
        <v>REAL</v>
      </c>
      <c r="P2901" t="str">
        <f t="shared" si="408"/>
        <v>IMPOSTA SOGLIE GALLERIA SOGLIE CO</v>
      </c>
      <c r="R2901" t="str">
        <f t="shared" si="409"/>
        <v>CO SOGLIA 1</v>
      </c>
      <c r="U2901" t="str">
        <f t="shared" si="410"/>
        <v>Comando</v>
      </c>
      <c r="V2901" t="str">
        <f t="shared" si="411"/>
        <v>GALLERIA</v>
      </c>
      <c r="W2901" t="str">
        <f t="shared" si="412"/>
        <v>GALLERIA CASOLA</v>
      </c>
      <c r="Z2901" t="str">
        <f t="shared" si="413"/>
        <v>10.220.80.16</v>
      </c>
    </row>
    <row r="2902" spans="1:26" x14ac:dyDescent="0.25">
      <c r="A2902" t="s">
        <v>10</v>
      </c>
      <c r="B2902" t="s">
        <v>1206</v>
      </c>
      <c r="C2902" t="s">
        <v>2173</v>
      </c>
      <c r="D2902" t="s">
        <v>2713</v>
      </c>
      <c r="E2902" t="s">
        <v>2717</v>
      </c>
      <c r="F2902" t="s">
        <v>14</v>
      </c>
      <c r="G2902" t="s">
        <v>2531</v>
      </c>
      <c r="H2902" t="s">
        <v>1295</v>
      </c>
      <c r="I2902">
        <v>12010</v>
      </c>
      <c r="J2902" t="s">
        <v>2719</v>
      </c>
      <c r="K2902">
        <f t="shared" si="405"/>
        <v>12010</v>
      </c>
      <c r="N2902" t="str">
        <f t="shared" si="406"/>
        <v>HOLDING REGISTER</v>
      </c>
      <c r="O2902" t="str">
        <f t="shared" si="407"/>
        <v>REAL</v>
      </c>
      <c r="P2902" t="str">
        <f t="shared" si="408"/>
        <v>IMPOSTA SOGLIE GALLERIA SOGLIE CO</v>
      </c>
      <c r="R2902" t="str">
        <f t="shared" si="409"/>
        <v>CO SOGLIA 2</v>
      </c>
      <c r="U2902" t="str">
        <f t="shared" si="410"/>
        <v>Comando</v>
      </c>
      <c r="V2902" t="str">
        <f t="shared" si="411"/>
        <v>GALLERIA</v>
      </c>
      <c r="W2902" t="str">
        <f t="shared" si="412"/>
        <v>GALLERIA CASOLA</v>
      </c>
      <c r="Z2902" t="str">
        <f t="shared" si="413"/>
        <v>10.220.80.16</v>
      </c>
    </row>
    <row r="2903" spans="1:26" x14ac:dyDescent="0.25">
      <c r="A2903" t="s">
        <v>10</v>
      </c>
      <c r="B2903" t="s">
        <v>1206</v>
      </c>
      <c r="C2903" t="s">
        <v>2173</v>
      </c>
      <c r="D2903" t="s">
        <v>2713</v>
      </c>
      <c r="E2903" t="s">
        <v>2717</v>
      </c>
      <c r="F2903" t="s">
        <v>14</v>
      </c>
      <c r="G2903" t="s">
        <v>2531</v>
      </c>
      <c r="H2903" t="s">
        <v>1295</v>
      </c>
      <c r="I2903">
        <v>12012</v>
      </c>
      <c r="J2903" t="s">
        <v>2720</v>
      </c>
      <c r="K2903">
        <f t="shared" si="405"/>
        <v>12012</v>
      </c>
      <c r="N2903" t="str">
        <f t="shared" si="406"/>
        <v>HOLDING REGISTER</v>
      </c>
      <c r="O2903" t="str">
        <f t="shared" si="407"/>
        <v>REAL</v>
      </c>
      <c r="P2903" t="str">
        <f t="shared" si="408"/>
        <v>IMPOSTA SOGLIE GALLERIA SOGLIE CO</v>
      </c>
      <c r="R2903" t="str">
        <f t="shared" si="409"/>
        <v>CO SOGLIA 3</v>
      </c>
      <c r="U2903" t="str">
        <f t="shared" si="410"/>
        <v>Comando</v>
      </c>
      <c r="V2903" t="str">
        <f t="shared" si="411"/>
        <v>GALLERIA</v>
      </c>
      <c r="W2903" t="str">
        <f t="shared" si="412"/>
        <v>GALLERIA CASOLA</v>
      </c>
      <c r="Z2903" t="str">
        <f t="shared" si="413"/>
        <v>10.220.80.16</v>
      </c>
    </row>
    <row r="2904" spans="1:26" x14ac:dyDescent="0.25">
      <c r="A2904" t="s">
        <v>10</v>
      </c>
      <c r="B2904" t="s">
        <v>1206</v>
      </c>
      <c r="C2904" t="s">
        <v>2173</v>
      </c>
      <c r="D2904" t="s">
        <v>2713</v>
      </c>
      <c r="E2904" t="s">
        <v>2721</v>
      </c>
      <c r="F2904" t="s">
        <v>14</v>
      </c>
      <c r="G2904" t="s">
        <v>2531</v>
      </c>
      <c r="H2904" t="s">
        <v>1295</v>
      </c>
      <c r="I2904">
        <v>12014</v>
      </c>
      <c r="J2904" t="s">
        <v>2722</v>
      </c>
      <c r="K2904">
        <f t="shared" si="405"/>
        <v>12014</v>
      </c>
      <c r="N2904" t="str">
        <f t="shared" si="406"/>
        <v>HOLDING REGISTER</v>
      </c>
      <c r="O2904" t="str">
        <f t="shared" si="407"/>
        <v>REAL</v>
      </c>
      <c r="P2904" t="str">
        <f t="shared" si="408"/>
        <v>IMPOSTA SOGLIE GALLERIA SOGLIE OP</v>
      </c>
      <c r="R2904" t="str">
        <f t="shared" si="409"/>
        <v>OP SOGLIA 1</v>
      </c>
      <c r="U2904" t="str">
        <f t="shared" si="410"/>
        <v>Comando</v>
      </c>
      <c r="V2904" t="str">
        <f t="shared" si="411"/>
        <v>GALLERIA</v>
      </c>
      <c r="W2904" t="str">
        <f t="shared" si="412"/>
        <v>GALLERIA CASOLA</v>
      </c>
      <c r="Z2904" t="str">
        <f t="shared" si="413"/>
        <v>10.220.80.16</v>
      </c>
    </row>
    <row r="2905" spans="1:26" x14ac:dyDescent="0.25">
      <c r="A2905" t="s">
        <v>10</v>
      </c>
      <c r="B2905" t="s">
        <v>1206</v>
      </c>
      <c r="C2905" t="s">
        <v>2173</v>
      </c>
      <c r="D2905" t="s">
        <v>2713</v>
      </c>
      <c r="E2905" t="s">
        <v>2721</v>
      </c>
      <c r="F2905" t="s">
        <v>14</v>
      </c>
      <c r="G2905" t="s">
        <v>2531</v>
      </c>
      <c r="H2905" t="s">
        <v>1295</v>
      </c>
      <c r="I2905">
        <v>12016</v>
      </c>
      <c r="J2905" t="s">
        <v>2723</v>
      </c>
      <c r="K2905">
        <f t="shared" si="405"/>
        <v>12016</v>
      </c>
      <c r="N2905" t="str">
        <f t="shared" si="406"/>
        <v>HOLDING REGISTER</v>
      </c>
      <c r="O2905" t="str">
        <f t="shared" si="407"/>
        <v>REAL</v>
      </c>
      <c r="P2905" t="str">
        <f t="shared" si="408"/>
        <v>IMPOSTA SOGLIE GALLERIA SOGLIE OP</v>
      </c>
      <c r="R2905" t="str">
        <f t="shared" si="409"/>
        <v>OP SOGLIA 2</v>
      </c>
      <c r="U2905" t="str">
        <f t="shared" si="410"/>
        <v>Comando</v>
      </c>
      <c r="V2905" t="str">
        <f t="shared" si="411"/>
        <v>GALLERIA</v>
      </c>
      <c r="W2905" t="str">
        <f t="shared" si="412"/>
        <v>GALLERIA CASOLA</v>
      </c>
      <c r="Z2905" t="str">
        <f t="shared" si="413"/>
        <v>10.220.80.16</v>
      </c>
    </row>
    <row r="2906" spans="1:26" x14ac:dyDescent="0.25">
      <c r="A2906" t="s">
        <v>10</v>
      </c>
      <c r="B2906" t="s">
        <v>1206</v>
      </c>
      <c r="C2906" t="s">
        <v>2173</v>
      </c>
      <c r="D2906" t="s">
        <v>2713</v>
      </c>
      <c r="E2906" t="s">
        <v>2721</v>
      </c>
      <c r="F2906" t="s">
        <v>14</v>
      </c>
      <c r="G2906" t="s">
        <v>2531</v>
      </c>
      <c r="H2906" t="s">
        <v>1295</v>
      </c>
      <c r="I2906">
        <v>12018</v>
      </c>
      <c r="J2906" t="s">
        <v>2724</v>
      </c>
      <c r="K2906">
        <f t="shared" si="405"/>
        <v>12018</v>
      </c>
      <c r="N2906" t="str">
        <f t="shared" si="406"/>
        <v>HOLDING REGISTER</v>
      </c>
      <c r="O2906" t="str">
        <f t="shared" si="407"/>
        <v>REAL</v>
      </c>
      <c r="P2906" t="str">
        <f t="shared" si="408"/>
        <v>IMPOSTA SOGLIE GALLERIA SOGLIE OP</v>
      </c>
      <c r="R2906" t="str">
        <f t="shared" si="409"/>
        <v>OP SOGLIA 3</v>
      </c>
      <c r="U2906" t="str">
        <f t="shared" si="410"/>
        <v>Comando</v>
      </c>
      <c r="V2906" t="str">
        <f t="shared" si="411"/>
        <v>GALLERIA</v>
      </c>
      <c r="W2906" t="str">
        <f t="shared" si="412"/>
        <v>GALLERIA CASOLA</v>
      </c>
      <c r="Z2906" t="str">
        <f t="shared" si="413"/>
        <v>10.220.80.16</v>
      </c>
    </row>
    <row r="2907" spans="1:26" x14ac:dyDescent="0.25">
      <c r="A2907" t="s">
        <v>10</v>
      </c>
      <c r="B2907" t="s">
        <v>1206</v>
      </c>
      <c r="C2907" t="s">
        <v>2173</v>
      </c>
      <c r="D2907" t="s">
        <v>2713</v>
      </c>
      <c r="E2907" t="s">
        <v>2725</v>
      </c>
      <c r="F2907" t="s">
        <v>14</v>
      </c>
      <c r="G2907" t="s">
        <v>2531</v>
      </c>
      <c r="H2907" t="s">
        <v>16</v>
      </c>
      <c r="I2907">
        <v>12020</v>
      </c>
      <c r="J2907" t="s">
        <v>2726</v>
      </c>
      <c r="K2907">
        <f t="shared" si="405"/>
        <v>12020</v>
      </c>
      <c r="N2907" t="str">
        <f t="shared" si="406"/>
        <v>HOLDING REGISTER</v>
      </c>
      <c r="O2907" t="str">
        <f t="shared" si="407"/>
        <v>INT</v>
      </c>
      <c r="P2907" t="str">
        <f t="shared" si="408"/>
        <v>IMPOSTA SOGLIE GALLERIA NUMERO VENTILATORI SOGLIA</v>
      </c>
      <c r="R2907" t="str">
        <f t="shared" si="409"/>
        <v>Soglia 1 N° Ventilatori</v>
      </c>
      <c r="U2907" t="str">
        <f t="shared" si="410"/>
        <v>Comando</v>
      </c>
      <c r="V2907" t="str">
        <f t="shared" si="411"/>
        <v>GALLERIA</v>
      </c>
      <c r="W2907" t="str">
        <f t="shared" si="412"/>
        <v>GALLERIA CASOLA</v>
      </c>
      <c r="Z2907" t="str">
        <f t="shared" si="413"/>
        <v>10.220.80.16</v>
      </c>
    </row>
    <row r="2908" spans="1:26" x14ac:dyDescent="0.25">
      <c r="A2908" t="s">
        <v>10</v>
      </c>
      <c r="B2908" t="s">
        <v>1206</v>
      </c>
      <c r="C2908" t="s">
        <v>2173</v>
      </c>
      <c r="D2908" t="s">
        <v>2713</v>
      </c>
      <c r="E2908" t="s">
        <v>2725</v>
      </c>
      <c r="F2908" t="s">
        <v>14</v>
      </c>
      <c r="G2908" t="s">
        <v>2531</v>
      </c>
      <c r="H2908" t="s">
        <v>16</v>
      </c>
      <c r="I2908">
        <v>12021</v>
      </c>
      <c r="J2908" t="s">
        <v>2727</v>
      </c>
      <c r="K2908">
        <f t="shared" si="405"/>
        <v>12021</v>
      </c>
      <c r="N2908" t="str">
        <f t="shared" si="406"/>
        <v>HOLDING REGISTER</v>
      </c>
      <c r="O2908" t="str">
        <f t="shared" si="407"/>
        <v>INT</v>
      </c>
      <c r="P2908" t="str">
        <f t="shared" si="408"/>
        <v>IMPOSTA SOGLIE GALLERIA NUMERO VENTILATORI SOGLIA</v>
      </c>
      <c r="R2908" t="str">
        <f t="shared" si="409"/>
        <v>Soglia 2 N° Ventilatori</v>
      </c>
      <c r="U2908" t="str">
        <f t="shared" si="410"/>
        <v>Comando</v>
      </c>
      <c r="V2908" t="str">
        <f t="shared" si="411"/>
        <v>GALLERIA</v>
      </c>
      <c r="W2908" t="str">
        <f t="shared" si="412"/>
        <v>GALLERIA CASOLA</v>
      </c>
      <c r="Z2908" t="str">
        <f t="shared" si="413"/>
        <v>10.220.80.16</v>
      </c>
    </row>
    <row r="2909" spans="1:26" x14ac:dyDescent="0.25">
      <c r="A2909" t="s">
        <v>10</v>
      </c>
      <c r="B2909" t="s">
        <v>1206</v>
      </c>
      <c r="C2909" t="s">
        <v>2173</v>
      </c>
      <c r="D2909" t="s">
        <v>2713</v>
      </c>
      <c r="E2909" t="s">
        <v>2725</v>
      </c>
      <c r="F2909" t="s">
        <v>14</v>
      </c>
      <c r="G2909" t="s">
        <v>2531</v>
      </c>
      <c r="H2909" t="s">
        <v>16</v>
      </c>
      <c r="I2909">
        <v>12022</v>
      </c>
      <c r="J2909" t="s">
        <v>2728</v>
      </c>
      <c r="K2909">
        <f t="shared" si="405"/>
        <v>12022</v>
      </c>
      <c r="N2909" t="str">
        <f t="shared" si="406"/>
        <v>HOLDING REGISTER</v>
      </c>
      <c r="O2909" t="str">
        <f t="shared" si="407"/>
        <v>INT</v>
      </c>
      <c r="P2909" t="str">
        <f t="shared" si="408"/>
        <v>IMPOSTA SOGLIE GALLERIA NUMERO VENTILATORI SOGLIA</v>
      </c>
      <c r="R2909" t="str">
        <f t="shared" si="409"/>
        <v>Soglia 3 N° Ventilatori</v>
      </c>
      <c r="U2909" t="str">
        <f t="shared" si="410"/>
        <v>Comando</v>
      </c>
      <c r="V2909" t="str">
        <f t="shared" si="411"/>
        <v>GALLERIA</v>
      </c>
      <c r="W2909" t="str">
        <f t="shared" si="412"/>
        <v>GALLERIA CASOLA</v>
      </c>
      <c r="Z2909" t="str">
        <f t="shared" si="413"/>
        <v>10.220.80.16</v>
      </c>
    </row>
    <row r="2910" spans="1:26" x14ac:dyDescent="0.25">
      <c r="A2910" t="s">
        <v>10</v>
      </c>
      <c r="B2910" t="s">
        <v>1206</v>
      </c>
      <c r="C2910" t="s">
        <v>2173</v>
      </c>
      <c r="D2910" t="s">
        <v>2713</v>
      </c>
      <c r="E2910" t="s">
        <v>2729</v>
      </c>
      <c r="F2910" t="s">
        <v>14</v>
      </c>
      <c r="G2910" t="s">
        <v>2531</v>
      </c>
      <c r="H2910" t="s">
        <v>16</v>
      </c>
      <c r="I2910">
        <v>12023</v>
      </c>
      <c r="J2910" t="s">
        <v>2730</v>
      </c>
      <c r="K2910">
        <f t="shared" si="405"/>
        <v>12023</v>
      </c>
      <c r="N2910" t="str">
        <f t="shared" si="406"/>
        <v>HOLDING REGISTER</v>
      </c>
      <c r="O2910" t="str">
        <f t="shared" si="407"/>
        <v>INT</v>
      </c>
      <c r="P2910" t="str">
        <f t="shared" si="408"/>
        <v>IMPOSTA SOGLIE GALLERIA TEMPI SOGLIE SENSORI</v>
      </c>
      <c r="R2910" t="str">
        <f t="shared" si="409"/>
        <v>Tempo Ritardo Attivazione</v>
      </c>
      <c r="U2910" t="str">
        <f t="shared" si="410"/>
        <v>Comando</v>
      </c>
      <c r="V2910" t="str">
        <f t="shared" si="411"/>
        <v>GALLERIA</v>
      </c>
      <c r="W2910" t="str">
        <f t="shared" si="412"/>
        <v>GALLERIA CASOLA</v>
      </c>
      <c r="Z2910" t="str">
        <f t="shared" si="413"/>
        <v>10.220.80.16</v>
      </c>
    </row>
    <row r="2911" spans="1:26" x14ac:dyDescent="0.25">
      <c r="A2911" t="s">
        <v>10</v>
      </c>
      <c r="B2911" t="s">
        <v>1206</v>
      </c>
      <c r="C2911" t="s">
        <v>2173</v>
      </c>
      <c r="D2911" t="s">
        <v>2713</v>
      </c>
      <c r="E2911" t="s">
        <v>2729</v>
      </c>
      <c r="F2911" t="s">
        <v>14</v>
      </c>
      <c r="G2911" t="s">
        <v>2531</v>
      </c>
      <c r="H2911" t="s">
        <v>16</v>
      </c>
      <c r="I2911">
        <v>12024</v>
      </c>
      <c r="J2911" t="s">
        <v>2731</v>
      </c>
      <c r="K2911">
        <f t="shared" si="405"/>
        <v>12024</v>
      </c>
      <c r="N2911" t="str">
        <f t="shared" si="406"/>
        <v>HOLDING REGISTER</v>
      </c>
      <c r="O2911" t="str">
        <f t="shared" si="407"/>
        <v>INT</v>
      </c>
      <c r="P2911" t="str">
        <f t="shared" si="408"/>
        <v>IMPOSTA SOGLIE GALLERIA TEMPI SOGLIE SENSORI</v>
      </c>
      <c r="R2911" t="str">
        <f t="shared" si="409"/>
        <v>Tempo Ritardo Rientro</v>
      </c>
      <c r="U2911" t="str">
        <f t="shared" si="410"/>
        <v>Comando</v>
      </c>
      <c r="V2911" t="str">
        <f t="shared" si="411"/>
        <v>GALLERIA</v>
      </c>
      <c r="W2911" t="str">
        <f t="shared" si="412"/>
        <v>GALLERIA CASOLA</v>
      </c>
      <c r="Z2911" t="str">
        <f t="shared" si="413"/>
        <v>10.220.80.16</v>
      </c>
    </row>
    <row r="2912" spans="1:26" x14ac:dyDescent="0.25">
      <c r="A2912" t="s">
        <v>10</v>
      </c>
      <c r="B2912" t="s">
        <v>1206</v>
      </c>
      <c r="C2912" t="s">
        <v>2173</v>
      </c>
      <c r="D2912" t="s">
        <v>2371</v>
      </c>
      <c r="E2912" t="s">
        <v>2372</v>
      </c>
      <c r="F2912" t="s">
        <v>14</v>
      </c>
      <c r="G2912" t="s">
        <v>2531</v>
      </c>
      <c r="H2912" t="s">
        <v>22</v>
      </c>
      <c r="I2912" t="s">
        <v>3608</v>
      </c>
      <c r="J2912" t="s">
        <v>2733</v>
      </c>
      <c r="K2912" t="str">
        <f t="shared" si="405"/>
        <v>12007.1</v>
      </c>
      <c r="N2912" t="str">
        <f t="shared" si="406"/>
        <v>HOLDING REGISTER</v>
      </c>
      <c r="O2912" t="str">
        <f t="shared" si="407"/>
        <v>BOOL</v>
      </c>
      <c r="P2912" t="str">
        <f t="shared" si="408"/>
        <v>SENSORE CO CO1</v>
      </c>
      <c r="R2912" t="str">
        <f t="shared" si="409"/>
        <v>CO1 -.Escludi</v>
      </c>
      <c r="U2912" t="str">
        <f t="shared" si="410"/>
        <v>Comando</v>
      </c>
      <c r="V2912" t="str">
        <f t="shared" si="411"/>
        <v>GALLERIA</v>
      </c>
      <c r="W2912" t="str">
        <f t="shared" si="412"/>
        <v>GALLERIA CASOLA</v>
      </c>
      <c r="Z2912" t="str">
        <f t="shared" si="413"/>
        <v>10.220.80.16</v>
      </c>
    </row>
    <row r="2913" spans="1:26" x14ac:dyDescent="0.25">
      <c r="A2913" t="s">
        <v>10</v>
      </c>
      <c r="B2913" t="s">
        <v>1206</v>
      </c>
      <c r="C2913" t="s">
        <v>2173</v>
      </c>
      <c r="D2913" t="s">
        <v>2371</v>
      </c>
      <c r="E2913" t="s">
        <v>2372</v>
      </c>
      <c r="F2913" t="s">
        <v>14</v>
      </c>
      <c r="G2913" t="s">
        <v>2531</v>
      </c>
      <c r="H2913" t="s">
        <v>22</v>
      </c>
      <c r="I2913" t="s">
        <v>3609</v>
      </c>
      <c r="J2913" t="s">
        <v>2735</v>
      </c>
      <c r="K2913" t="str">
        <f t="shared" si="405"/>
        <v>12007.2</v>
      </c>
      <c r="N2913" t="str">
        <f t="shared" si="406"/>
        <v>HOLDING REGISTER</v>
      </c>
      <c r="O2913" t="str">
        <f t="shared" si="407"/>
        <v>BOOL</v>
      </c>
      <c r="P2913" t="str">
        <f t="shared" si="408"/>
        <v>SENSORE CO CO1</v>
      </c>
      <c r="R2913" t="str">
        <f t="shared" si="409"/>
        <v>CO1 -.Includi</v>
      </c>
      <c r="U2913" t="str">
        <f t="shared" si="410"/>
        <v>Comando</v>
      </c>
      <c r="V2913" t="str">
        <f t="shared" si="411"/>
        <v>GALLERIA</v>
      </c>
      <c r="W2913" t="str">
        <f t="shared" si="412"/>
        <v>GALLERIA CASOLA</v>
      </c>
      <c r="Z2913" t="str">
        <f t="shared" si="413"/>
        <v>10.220.80.16</v>
      </c>
    </row>
    <row r="2914" spans="1:26" x14ac:dyDescent="0.25">
      <c r="A2914" t="s">
        <v>10</v>
      </c>
      <c r="B2914" t="s">
        <v>1206</v>
      </c>
      <c r="C2914" t="s">
        <v>2173</v>
      </c>
      <c r="D2914" t="s">
        <v>2375</v>
      </c>
      <c r="E2914" t="s">
        <v>2376</v>
      </c>
      <c r="F2914" t="s">
        <v>14</v>
      </c>
      <c r="G2914" t="s">
        <v>2531</v>
      </c>
      <c r="H2914" t="s">
        <v>22</v>
      </c>
      <c r="I2914" t="s">
        <v>3610</v>
      </c>
      <c r="J2914" t="s">
        <v>2737</v>
      </c>
      <c r="K2914" t="str">
        <f t="shared" si="405"/>
        <v>12007.3</v>
      </c>
      <c r="N2914" t="str">
        <f t="shared" si="406"/>
        <v>HOLDING REGISTER</v>
      </c>
      <c r="O2914" t="str">
        <f t="shared" si="407"/>
        <v>BOOL</v>
      </c>
      <c r="P2914" t="str">
        <f t="shared" si="408"/>
        <v>SENSORE OP OP1</v>
      </c>
      <c r="R2914" t="str">
        <f t="shared" si="409"/>
        <v>OP1 -.Escludi</v>
      </c>
      <c r="U2914" t="str">
        <f t="shared" si="410"/>
        <v>Comando</v>
      </c>
      <c r="V2914" t="str">
        <f t="shared" si="411"/>
        <v>GALLERIA</v>
      </c>
      <c r="W2914" t="str">
        <f t="shared" si="412"/>
        <v>GALLERIA CASOLA</v>
      </c>
      <c r="Z2914" t="str">
        <f t="shared" si="413"/>
        <v>10.220.80.16</v>
      </c>
    </row>
    <row r="2915" spans="1:26" x14ac:dyDescent="0.25">
      <c r="A2915" t="s">
        <v>10</v>
      </c>
      <c r="B2915" t="s">
        <v>1206</v>
      </c>
      <c r="C2915" t="s">
        <v>2173</v>
      </c>
      <c r="D2915" t="s">
        <v>2375</v>
      </c>
      <c r="E2915" t="s">
        <v>2376</v>
      </c>
      <c r="F2915" t="s">
        <v>14</v>
      </c>
      <c r="G2915" t="s">
        <v>2531</v>
      </c>
      <c r="H2915" t="s">
        <v>22</v>
      </c>
      <c r="I2915" t="s">
        <v>3611</v>
      </c>
      <c r="J2915" t="s">
        <v>2739</v>
      </c>
      <c r="K2915" t="str">
        <f t="shared" si="405"/>
        <v>12007.4</v>
      </c>
      <c r="N2915" t="str">
        <f t="shared" si="406"/>
        <v>HOLDING REGISTER</v>
      </c>
      <c r="O2915" t="str">
        <f t="shared" si="407"/>
        <v>BOOL</v>
      </c>
      <c r="P2915" t="str">
        <f t="shared" si="408"/>
        <v>SENSORE OP OP1</v>
      </c>
      <c r="R2915" t="str">
        <f t="shared" si="409"/>
        <v>OP1 -.Includi</v>
      </c>
      <c r="U2915" t="str">
        <f t="shared" si="410"/>
        <v>Comando</v>
      </c>
      <c r="V2915" t="str">
        <f t="shared" si="411"/>
        <v>GALLERIA</v>
      </c>
      <c r="W2915" t="str">
        <f t="shared" si="412"/>
        <v>GALLERIA CASOLA</v>
      </c>
      <c r="Z2915" t="str">
        <f t="shared" si="413"/>
        <v>10.220.80.16</v>
      </c>
    </row>
    <row r="2916" spans="1:26" x14ac:dyDescent="0.25">
      <c r="A2916" t="s">
        <v>10</v>
      </c>
      <c r="B2916" t="s">
        <v>1206</v>
      </c>
      <c r="C2916" t="s">
        <v>2388</v>
      </c>
      <c r="D2916" t="s">
        <v>2371</v>
      </c>
      <c r="E2916" t="s">
        <v>2372</v>
      </c>
      <c r="F2916" t="s">
        <v>14</v>
      </c>
      <c r="G2916" t="s">
        <v>2531</v>
      </c>
      <c r="H2916" t="s">
        <v>22</v>
      </c>
      <c r="I2916" t="s">
        <v>3612</v>
      </c>
      <c r="J2916" t="s">
        <v>2733</v>
      </c>
      <c r="K2916" t="str">
        <f t="shared" si="405"/>
        <v>12007.5</v>
      </c>
      <c r="N2916" t="str">
        <f t="shared" si="406"/>
        <v>HOLDING REGISTER</v>
      </c>
      <c r="O2916" t="str">
        <f t="shared" si="407"/>
        <v>BOOL</v>
      </c>
      <c r="P2916" t="str">
        <f t="shared" si="408"/>
        <v>SENSORE CO CO1</v>
      </c>
      <c r="R2916" t="str">
        <f t="shared" si="409"/>
        <v>CO1 -.Escludi</v>
      </c>
      <c r="U2916" t="str">
        <f t="shared" si="410"/>
        <v>Comando</v>
      </c>
      <c r="V2916" t="str">
        <f t="shared" si="411"/>
        <v>VIA ESODO</v>
      </c>
      <c r="W2916" t="str">
        <f t="shared" si="412"/>
        <v>GALLERIA CASOLA</v>
      </c>
      <c r="Z2916" t="str">
        <f t="shared" si="413"/>
        <v>10.220.80.16</v>
      </c>
    </row>
    <row r="2917" spans="1:26" x14ac:dyDescent="0.25">
      <c r="A2917" t="s">
        <v>10</v>
      </c>
      <c r="B2917" t="s">
        <v>1206</v>
      </c>
      <c r="C2917" t="s">
        <v>2388</v>
      </c>
      <c r="D2917" t="s">
        <v>2371</v>
      </c>
      <c r="E2917" t="s">
        <v>2372</v>
      </c>
      <c r="F2917" t="s">
        <v>14</v>
      </c>
      <c r="G2917" t="s">
        <v>2531</v>
      </c>
      <c r="H2917" t="s">
        <v>22</v>
      </c>
      <c r="I2917" t="s">
        <v>3613</v>
      </c>
      <c r="J2917" t="s">
        <v>2735</v>
      </c>
      <c r="K2917" t="str">
        <f t="shared" si="405"/>
        <v>12007.6</v>
      </c>
      <c r="N2917" t="str">
        <f t="shared" si="406"/>
        <v>HOLDING REGISTER</v>
      </c>
      <c r="O2917" t="str">
        <f t="shared" si="407"/>
        <v>BOOL</v>
      </c>
      <c r="P2917" t="str">
        <f t="shared" si="408"/>
        <v>SENSORE CO CO1</v>
      </c>
      <c r="R2917" t="str">
        <f t="shared" si="409"/>
        <v>CO1 -.Includi</v>
      </c>
      <c r="U2917" t="str">
        <f t="shared" si="410"/>
        <v>Comando</v>
      </c>
      <c r="V2917" t="str">
        <f t="shared" si="411"/>
        <v>VIA ESODO</v>
      </c>
      <c r="W2917" t="str">
        <f t="shared" si="412"/>
        <v>GALLERIA CASOLA</v>
      </c>
      <c r="Z2917" t="str">
        <f t="shared" si="413"/>
        <v>10.220.80.16</v>
      </c>
    </row>
    <row r="2918" spans="1:26" x14ac:dyDescent="0.25">
      <c r="A2918" t="s">
        <v>10</v>
      </c>
      <c r="B2918" t="s">
        <v>1206</v>
      </c>
      <c r="C2918" t="s">
        <v>2388</v>
      </c>
      <c r="D2918" t="s">
        <v>2375</v>
      </c>
      <c r="E2918" t="s">
        <v>2376</v>
      </c>
      <c r="F2918" t="s">
        <v>14</v>
      </c>
      <c r="G2918" t="s">
        <v>2531</v>
      </c>
      <c r="H2918" t="s">
        <v>22</v>
      </c>
      <c r="I2918" t="s">
        <v>3614</v>
      </c>
      <c r="J2918" t="s">
        <v>2737</v>
      </c>
      <c r="K2918" t="str">
        <f t="shared" si="405"/>
        <v>12007.7</v>
      </c>
      <c r="N2918" t="str">
        <f t="shared" si="406"/>
        <v>HOLDING REGISTER</v>
      </c>
      <c r="O2918" t="str">
        <f t="shared" si="407"/>
        <v>BOOL</v>
      </c>
      <c r="P2918" t="str">
        <f t="shared" si="408"/>
        <v>SENSORE OP OP1</v>
      </c>
      <c r="R2918" t="str">
        <f t="shared" si="409"/>
        <v>OP1 -.Escludi</v>
      </c>
      <c r="U2918" t="str">
        <f t="shared" si="410"/>
        <v>Comando</v>
      </c>
      <c r="V2918" t="str">
        <f t="shared" si="411"/>
        <v>VIA ESODO</v>
      </c>
      <c r="W2918" t="str">
        <f t="shared" si="412"/>
        <v>GALLERIA CASOLA</v>
      </c>
      <c r="Z2918" t="str">
        <f t="shared" si="413"/>
        <v>10.220.80.16</v>
      </c>
    </row>
    <row r="2919" spans="1:26" x14ac:dyDescent="0.25">
      <c r="A2919" t="s">
        <v>10</v>
      </c>
      <c r="B2919" t="s">
        <v>1206</v>
      </c>
      <c r="C2919" t="s">
        <v>2388</v>
      </c>
      <c r="D2919" t="s">
        <v>2375</v>
      </c>
      <c r="E2919" t="s">
        <v>2376</v>
      </c>
      <c r="F2919" t="s">
        <v>14</v>
      </c>
      <c r="G2919" t="s">
        <v>2531</v>
      </c>
      <c r="H2919" t="s">
        <v>22</v>
      </c>
      <c r="I2919" t="s">
        <v>3615</v>
      </c>
      <c r="J2919" t="s">
        <v>2739</v>
      </c>
      <c r="K2919" t="str">
        <f t="shared" si="405"/>
        <v>12007.8</v>
      </c>
      <c r="N2919" t="str">
        <f t="shared" si="406"/>
        <v>HOLDING REGISTER</v>
      </c>
      <c r="O2919" t="str">
        <f t="shared" si="407"/>
        <v>BOOL</v>
      </c>
      <c r="P2919" t="str">
        <f t="shared" si="408"/>
        <v>SENSORE OP OP1</v>
      </c>
      <c r="R2919" t="str">
        <f t="shared" si="409"/>
        <v>OP1 -.Includi</v>
      </c>
      <c r="U2919" t="str">
        <f t="shared" si="410"/>
        <v>Comando</v>
      </c>
      <c r="V2919" t="str">
        <f t="shared" si="411"/>
        <v>VIA ESODO</v>
      </c>
      <c r="W2919" t="str">
        <f t="shared" si="412"/>
        <v>GALLERIA CASOLA</v>
      </c>
      <c r="Z2919" t="str">
        <f t="shared" si="413"/>
        <v>10.220.80.16</v>
      </c>
    </row>
    <row r="2920" spans="1:26" x14ac:dyDescent="0.25">
      <c r="A2920" t="s">
        <v>10</v>
      </c>
      <c r="B2920" t="s">
        <v>1206</v>
      </c>
      <c r="C2920" t="s">
        <v>2173</v>
      </c>
      <c r="D2920" t="s">
        <v>2160</v>
      </c>
      <c r="E2920" t="s">
        <v>2744</v>
      </c>
      <c r="F2920" t="s">
        <v>14</v>
      </c>
      <c r="G2920" t="s">
        <v>2531</v>
      </c>
      <c r="H2920" t="s">
        <v>22</v>
      </c>
      <c r="I2920" t="s">
        <v>3616</v>
      </c>
      <c r="J2920" t="s">
        <v>2746</v>
      </c>
      <c r="K2920" t="str">
        <f t="shared" si="405"/>
        <v>12007.9</v>
      </c>
      <c r="N2920" t="str">
        <f t="shared" si="406"/>
        <v>HOLDING REGISTER</v>
      </c>
      <c r="O2920" t="str">
        <f t="shared" si="407"/>
        <v>BOOL</v>
      </c>
      <c r="P2920" t="str">
        <f t="shared" si="408"/>
        <v>CAVO TERMOSENSIBILE LDM -MARCIA NORD</v>
      </c>
      <c r="R2920" t="str">
        <f t="shared" si="409"/>
        <v>Reset</v>
      </c>
      <c r="U2920" t="str">
        <f t="shared" si="410"/>
        <v>Comando</v>
      </c>
      <c r="V2920" t="str">
        <f t="shared" si="411"/>
        <v>GALLERIA</v>
      </c>
      <c r="W2920" t="str">
        <f t="shared" si="412"/>
        <v>GALLERIA CASOLA</v>
      </c>
      <c r="Z2920" t="str">
        <f t="shared" si="413"/>
        <v>10.220.80.16</v>
      </c>
    </row>
    <row r="2921" spans="1:26" x14ac:dyDescent="0.25">
      <c r="A2921" t="s">
        <v>10</v>
      </c>
      <c r="B2921" t="s">
        <v>1206</v>
      </c>
      <c r="C2921" t="s">
        <v>2173</v>
      </c>
      <c r="D2921" t="s">
        <v>2160</v>
      </c>
      <c r="E2921" t="s">
        <v>2747</v>
      </c>
      <c r="F2921" t="s">
        <v>14</v>
      </c>
      <c r="G2921" t="s">
        <v>2531</v>
      </c>
      <c r="H2921" t="s">
        <v>22</v>
      </c>
      <c r="I2921" t="s">
        <v>3617</v>
      </c>
      <c r="J2921" t="s">
        <v>2746</v>
      </c>
      <c r="K2921" t="str">
        <f t="shared" si="405"/>
        <v>12007.10</v>
      </c>
      <c r="N2921" t="str">
        <f t="shared" si="406"/>
        <v>HOLDING REGISTER</v>
      </c>
      <c r="O2921" t="str">
        <f t="shared" si="407"/>
        <v>BOOL</v>
      </c>
      <c r="P2921" t="str">
        <f t="shared" si="408"/>
        <v>CAVO TERMOSENSIBILE LDM -MARCIA SUD</v>
      </c>
      <c r="R2921" t="str">
        <f t="shared" si="409"/>
        <v>Reset</v>
      </c>
      <c r="U2921" t="str">
        <f t="shared" si="410"/>
        <v>Comando</v>
      </c>
      <c r="V2921" t="str">
        <f t="shared" si="411"/>
        <v>GALLERIA</v>
      </c>
      <c r="W2921" t="str">
        <f t="shared" si="412"/>
        <v>GALLERIA CASOLA</v>
      </c>
      <c r="Z2921" t="str">
        <f t="shared" si="413"/>
        <v>10.220.80.16</v>
      </c>
    </row>
    <row r="2922" spans="1:26" x14ac:dyDescent="0.25">
      <c r="A2922" t="s">
        <v>10</v>
      </c>
      <c r="B2922" t="s">
        <v>1206</v>
      </c>
      <c r="C2922" t="s">
        <v>2173</v>
      </c>
      <c r="D2922" t="s">
        <v>3618</v>
      </c>
      <c r="E2922" t="s">
        <v>2522</v>
      </c>
      <c r="F2922" t="s">
        <v>14</v>
      </c>
      <c r="G2922" t="s">
        <v>2531</v>
      </c>
      <c r="H2922" t="s">
        <v>22</v>
      </c>
      <c r="I2922" t="s">
        <v>3619</v>
      </c>
      <c r="J2922" t="s">
        <v>2751</v>
      </c>
      <c r="K2922" t="str">
        <f t="shared" si="405"/>
        <v>12007.11</v>
      </c>
      <c r="N2922" t="str">
        <f t="shared" si="406"/>
        <v>HOLDING REGISTER</v>
      </c>
      <c r="O2922" t="str">
        <f t="shared" si="407"/>
        <v>BOOL</v>
      </c>
      <c r="P2922" t="str">
        <f t="shared" si="408"/>
        <v>SCENARI CASOLA Scenari Tutti</v>
      </c>
      <c r="R2922" t="str">
        <f t="shared" si="409"/>
        <v>Scenari -Abilita Impostazione Scenari</v>
      </c>
      <c r="U2922" t="str">
        <f t="shared" si="410"/>
        <v>Comando</v>
      </c>
      <c r="V2922" t="str">
        <f t="shared" si="411"/>
        <v>GALLERIA</v>
      </c>
      <c r="W2922" t="str">
        <f t="shared" si="412"/>
        <v>GALLERIA CASOLA</v>
      </c>
      <c r="Z2922" t="str">
        <f t="shared" si="413"/>
        <v>10.220.80.16</v>
      </c>
    </row>
    <row r="2923" spans="1:26" x14ac:dyDescent="0.25">
      <c r="A2923" t="s">
        <v>10</v>
      </c>
      <c r="B2923" t="s">
        <v>1206</v>
      </c>
      <c r="C2923" t="s">
        <v>2173</v>
      </c>
      <c r="D2923" t="s">
        <v>3618</v>
      </c>
      <c r="E2923" t="s">
        <v>2483</v>
      </c>
      <c r="F2923" t="s">
        <v>14</v>
      </c>
      <c r="G2923" t="s">
        <v>2531</v>
      </c>
      <c r="H2923" t="s">
        <v>22</v>
      </c>
      <c r="I2923" t="s">
        <v>3620</v>
      </c>
      <c r="J2923" t="s">
        <v>2485</v>
      </c>
      <c r="K2923" t="str">
        <f t="shared" si="405"/>
        <v>12025.0</v>
      </c>
      <c r="N2923" t="str">
        <f t="shared" si="406"/>
        <v>HOLDING REGISTER</v>
      </c>
      <c r="O2923" t="str">
        <f t="shared" si="407"/>
        <v>BOOL</v>
      </c>
      <c r="P2923" t="str">
        <f t="shared" si="408"/>
        <v>SCENARI CASOLA Scenario E2</v>
      </c>
      <c r="R2923" t="str">
        <f t="shared" si="409"/>
        <v>Scenari -Comando Manuale Scenario E2: ALLARME SOS</v>
      </c>
      <c r="U2923" t="str">
        <f t="shared" si="410"/>
        <v>Comando</v>
      </c>
      <c r="V2923" t="str">
        <f t="shared" si="411"/>
        <v>GALLERIA</v>
      </c>
      <c r="W2923" t="str">
        <f t="shared" si="412"/>
        <v>GALLERIA CASOLA</v>
      </c>
      <c r="Z2923" t="str">
        <f t="shared" si="413"/>
        <v>10.220.80.16</v>
      </c>
    </row>
    <row r="2924" spans="1:26" x14ac:dyDescent="0.25">
      <c r="A2924" t="s">
        <v>10</v>
      </c>
      <c r="B2924" t="s">
        <v>1206</v>
      </c>
      <c r="C2924" t="s">
        <v>2173</v>
      </c>
      <c r="D2924" t="s">
        <v>3618</v>
      </c>
      <c r="E2924" t="s">
        <v>2486</v>
      </c>
      <c r="F2924" t="s">
        <v>14</v>
      </c>
      <c r="G2924" t="s">
        <v>2531</v>
      </c>
      <c r="H2924" t="s">
        <v>22</v>
      </c>
      <c r="I2924" t="s">
        <v>3621</v>
      </c>
      <c r="J2924" t="s">
        <v>2488</v>
      </c>
      <c r="K2924" t="str">
        <f t="shared" si="405"/>
        <v>12025.1</v>
      </c>
      <c r="N2924" t="str">
        <f t="shared" si="406"/>
        <v>HOLDING REGISTER</v>
      </c>
      <c r="O2924" t="str">
        <f t="shared" si="407"/>
        <v>BOOL</v>
      </c>
      <c r="P2924" t="str">
        <f t="shared" si="408"/>
        <v>SCENARI CASOLA Scenario E3</v>
      </c>
      <c r="R2924" t="str">
        <f t="shared" si="409"/>
        <v>Scenari -Comando Manuale Scenario E3: PEDONE IN GALLERIA</v>
      </c>
      <c r="U2924" t="str">
        <f t="shared" si="410"/>
        <v>Comando</v>
      </c>
      <c r="V2924" t="str">
        <f t="shared" si="411"/>
        <v>GALLERIA</v>
      </c>
      <c r="W2924" t="str">
        <f t="shared" si="412"/>
        <v>GALLERIA CASOLA</v>
      </c>
      <c r="Z2924" t="str">
        <f t="shared" si="413"/>
        <v>10.220.80.16</v>
      </c>
    </row>
    <row r="2925" spans="1:26" x14ac:dyDescent="0.25">
      <c r="A2925" t="s">
        <v>10</v>
      </c>
      <c r="B2925" t="s">
        <v>1206</v>
      </c>
      <c r="C2925" t="s">
        <v>2173</v>
      </c>
      <c r="D2925" t="s">
        <v>3618</v>
      </c>
      <c r="E2925" t="s">
        <v>2489</v>
      </c>
      <c r="F2925" t="s">
        <v>14</v>
      </c>
      <c r="G2925" t="s">
        <v>2531</v>
      </c>
      <c r="H2925" t="s">
        <v>22</v>
      </c>
      <c r="I2925" t="s">
        <v>3622</v>
      </c>
      <c r="J2925" t="s">
        <v>2491</v>
      </c>
      <c r="K2925" t="str">
        <f t="shared" si="405"/>
        <v>12025.2</v>
      </c>
      <c r="N2925" t="str">
        <f t="shared" si="406"/>
        <v>HOLDING REGISTER</v>
      </c>
      <c r="O2925" t="str">
        <f t="shared" si="407"/>
        <v>BOOL</v>
      </c>
      <c r="P2925" t="str">
        <f t="shared" si="408"/>
        <v>SCENARI CASOLA Scenario E4</v>
      </c>
      <c r="R2925" t="str">
        <f t="shared" si="409"/>
        <v>Scenari -Comando Manuale Scenario E4: VE ICOLO FERMO/OSTACOLO</v>
      </c>
      <c r="U2925" t="str">
        <f t="shared" si="410"/>
        <v>Comando</v>
      </c>
      <c r="V2925" t="str">
        <f t="shared" si="411"/>
        <v>GALLERIA</v>
      </c>
      <c r="W2925" t="str">
        <f t="shared" si="412"/>
        <v>GALLERIA CASOLA</v>
      </c>
      <c r="Z2925" t="str">
        <f t="shared" si="413"/>
        <v>10.220.80.16</v>
      </c>
    </row>
    <row r="2926" spans="1:26" x14ac:dyDescent="0.25">
      <c r="A2926" t="s">
        <v>10</v>
      </c>
      <c r="B2926" t="s">
        <v>1206</v>
      </c>
      <c r="C2926" t="s">
        <v>2173</v>
      </c>
      <c r="D2926" t="s">
        <v>3618</v>
      </c>
      <c r="E2926" t="s">
        <v>2492</v>
      </c>
      <c r="F2926" t="s">
        <v>14</v>
      </c>
      <c r="G2926" t="s">
        <v>2531</v>
      </c>
      <c r="H2926" t="s">
        <v>22</v>
      </c>
      <c r="I2926" t="s">
        <v>3623</v>
      </c>
      <c r="J2926" t="s">
        <v>2494</v>
      </c>
      <c r="K2926" t="str">
        <f t="shared" si="405"/>
        <v>12025.3</v>
      </c>
      <c r="N2926" t="str">
        <f t="shared" si="406"/>
        <v>HOLDING REGISTER</v>
      </c>
      <c r="O2926" t="str">
        <f t="shared" si="407"/>
        <v>BOOL</v>
      </c>
      <c r="P2926" t="str">
        <f t="shared" si="408"/>
        <v>SCENARI CASOLA Scenario E5</v>
      </c>
      <c r="R2926" t="str">
        <f t="shared" si="409"/>
        <v>Scenari -Comando Manuale Scenario E5: INCIDENTE</v>
      </c>
      <c r="U2926" t="str">
        <f t="shared" si="410"/>
        <v>Comando</v>
      </c>
      <c r="V2926" t="str">
        <f t="shared" si="411"/>
        <v>GALLERIA</v>
      </c>
      <c r="W2926" t="str">
        <f t="shared" si="412"/>
        <v>GALLERIA CASOLA</v>
      </c>
      <c r="Z2926" t="str">
        <f t="shared" si="413"/>
        <v>10.220.80.16</v>
      </c>
    </row>
    <row r="2927" spans="1:26" x14ac:dyDescent="0.25">
      <c r="A2927" t="s">
        <v>10</v>
      </c>
      <c r="B2927" t="s">
        <v>1206</v>
      </c>
      <c r="C2927" t="s">
        <v>2173</v>
      </c>
      <c r="D2927" t="s">
        <v>3618</v>
      </c>
      <c r="E2927" t="s">
        <v>2495</v>
      </c>
      <c r="F2927" t="s">
        <v>14</v>
      </c>
      <c r="G2927" t="s">
        <v>2531</v>
      </c>
      <c r="H2927" t="s">
        <v>22</v>
      </c>
      <c r="I2927" t="s">
        <v>3624</v>
      </c>
      <c r="J2927" t="s">
        <v>2497</v>
      </c>
      <c r="K2927" t="str">
        <f t="shared" si="405"/>
        <v>12025.4</v>
      </c>
      <c r="N2927" t="str">
        <f t="shared" si="406"/>
        <v>HOLDING REGISTER</v>
      </c>
      <c r="O2927" t="str">
        <f t="shared" si="407"/>
        <v>BOOL</v>
      </c>
      <c r="P2927" t="str">
        <f t="shared" si="408"/>
        <v>SCENARI CASOLA Scenario E6</v>
      </c>
      <c r="R2927" t="str">
        <f t="shared" si="409"/>
        <v>Scenari -Comando Manuale Scenario E6: DISTACCO JETFAN</v>
      </c>
      <c r="U2927" t="str">
        <f t="shared" si="410"/>
        <v>Comando</v>
      </c>
      <c r="V2927" t="str">
        <f t="shared" si="411"/>
        <v>GALLERIA</v>
      </c>
      <c r="W2927" t="str">
        <f t="shared" si="412"/>
        <v>GALLERIA CASOLA</v>
      </c>
      <c r="Z2927" t="str">
        <f t="shared" si="413"/>
        <v>10.220.80.16</v>
      </c>
    </row>
    <row r="2928" spans="1:26" x14ac:dyDescent="0.25">
      <c r="A2928" t="s">
        <v>10</v>
      </c>
      <c r="B2928" t="s">
        <v>1206</v>
      </c>
      <c r="C2928" t="s">
        <v>2173</v>
      </c>
      <c r="D2928" t="s">
        <v>3618</v>
      </c>
      <c r="E2928" t="s">
        <v>2498</v>
      </c>
      <c r="F2928" t="s">
        <v>14</v>
      </c>
      <c r="G2928" t="s">
        <v>2531</v>
      </c>
      <c r="H2928" t="s">
        <v>22</v>
      </c>
      <c r="I2928" t="s">
        <v>3625</v>
      </c>
      <c r="J2928" t="s">
        <v>2500</v>
      </c>
      <c r="K2928" t="str">
        <f t="shared" si="405"/>
        <v>12025.5</v>
      </c>
      <c r="N2928" t="str">
        <f t="shared" si="406"/>
        <v>HOLDING REGISTER</v>
      </c>
      <c r="O2928" t="str">
        <f t="shared" si="407"/>
        <v>BOOL</v>
      </c>
      <c r="P2928" t="str">
        <f t="shared" si="408"/>
        <v>SCENARI CASOLA Scenario E7</v>
      </c>
      <c r="R2928" t="str">
        <f t="shared" si="409"/>
        <v>Scenari -Comando Manuale Scenario E7: GALLERIA INQUINATA</v>
      </c>
      <c r="U2928" t="str">
        <f t="shared" si="410"/>
        <v>Comando</v>
      </c>
      <c r="V2928" t="str">
        <f t="shared" si="411"/>
        <v>GALLERIA</v>
      </c>
      <c r="W2928" t="str">
        <f t="shared" si="412"/>
        <v>GALLERIA CASOLA</v>
      </c>
      <c r="Z2928" t="str">
        <f t="shared" si="413"/>
        <v>10.220.80.16</v>
      </c>
    </row>
    <row r="2929" spans="1:26" x14ac:dyDescent="0.25">
      <c r="A2929" t="s">
        <v>10</v>
      </c>
      <c r="B2929" t="s">
        <v>1206</v>
      </c>
      <c r="C2929" t="s">
        <v>2173</v>
      </c>
      <c r="D2929" t="s">
        <v>3618</v>
      </c>
      <c r="E2929" t="s">
        <v>2501</v>
      </c>
      <c r="F2929" t="s">
        <v>14</v>
      </c>
      <c r="G2929" t="s">
        <v>2531</v>
      </c>
      <c r="H2929" t="s">
        <v>22</v>
      </c>
      <c r="I2929" t="s">
        <v>3626</v>
      </c>
      <c r="J2929" t="s">
        <v>2503</v>
      </c>
      <c r="K2929" t="str">
        <f t="shared" si="405"/>
        <v>12025.6</v>
      </c>
      <c r="N2929" t="str">
        <f t="shared" si="406"/>
        <v>HOLDING REGISTER</v>
      </c>
      <c r="O2929" t="str">
        <f t="shared" si="407"/>
        <v>BOOL</v>
      </c>
      <c r="P2929" t="str">
        <f t="shared" si="408"/>
        <v>SCENARI CASOLA Scenario E8</v>
      </c>
      <c r="R2929" t="str">
        <f t="shared" si="409"/>
        <v>Scenari -Comando Manuale Scenario E8: VEICOLO CONTROMANO</v>
      </c>
      <c r="U2929" t="str">
        <f t="shared" si="410"/>
        <v>Comando</v>
      </c>
      <c r="V2929" t="str">
        <f t="shared" si="411"/>
        <v>GALLERIA</v>
      </c>
      <c r="W2929" t="str">
        <f t="shared" si="412"/>
        <v>GALLERIA CASOLA</v>
      </c>
      <c r="Z2929" t="str">
        <f t="shared" si="413"/>
        <v>10.220.80.16</v>
      </c>
    </row>
    <row r="2930" spans="1:26" x14ac:dyDescent="0.25">
      <c r="A2930" t="s">
        <v>10</v>
      </c>
      <c r="B2930" t="s">
        <v>1206</v>
      </c>
      <c r="C2930" t="s">
        <v>2173</v>
      </c>
      <c r="D2930" t="s">
        <v>3618</v>
      </c>
      <c r="E2930" t="s">
        <v>2504</v>
      </c>
      <c r="F2930" t="s">
        <v>14</v>
      </c>
      <c r="G2930" t="s">
        <v>2531</v>
      </c>
      <c r="H2930" t="s">
        <v>22</v>
      </c>
      <c r="I2930" t="s">
        <v>3627</v>
      </c>
      <c r="J2930" t="s">
        <v>2506</v>
      </c>
      <c r="K2930" t="str">
        <f t="shared" si="405"/>
        <v>12025.7</v>
      </c>
      <c r="N2930" t="str">
        <f t="shared" si="406"/>
        <v>HOLDING REGISTER</v>
      </c>
      <c r="O2930" t="str">
        <f t="shared" si="407"/>
        <v>BOOL</v>
      </c>
      <c r="P2930" t="str">
        <f t="shared" si="408"/>
        <v>SCENARI CASOLA Scenario E10</v>
      </c>
      <c r="R2930" t="str">
        <f t="shared" si="409"/>
        <v>Scenari -Comando Manuale Scenario E10: PREALLARME INCENDIO</v>
      </c>
      <c r="U2930" t="str">
        <f t="shared" si="410"/>
        <v>Comando</v>
      </c>
      <c r="V2930" t="str">
        <f t="shared" si="411"/>
        <v>GALLERIA</v>
      </c>
      <c r="W2930" t="str">
        <f t="shared" si="412"/>
        <v>GALLERIA CASOLA</v>
      </c>
      <c r="Z2930" t="str">
        <f t="shared" si="413"/>
        <v>10.220.80.16</v>
      </c>
    </row>
    <row r="2931" spans="1:26" x14ac:dyDescent="0.25">
      <c r="A2931" t="s">
        <v>10</v>
      </c>
      <c r="B2931" t="s">
        <v>1206</v>
      </c>
      <c r="C2931" t="s">
        <v>2173</v>
      </c>
      <c r="D2931" t="s">
        <v>3618</v>
      </c>
      <c r="E2931" t="s">
        <v>2507</v>
      </c>
      <c r="F2931" t="s">
        <v>14</v>
      </c>
      <c r="G2931" t="s">
        <v>2531</v>
      </c>
      <c r="H2931" t="s">
        <v>22</v>
      </c>
      <c r="I2931" t="s">
        <v>3628</v>
      </c>
      <c r="J2931" t="s">
        <v>2509</v>
      </c>
      <c r="K2931" t="str">
        <f t="shared" si="405"/>
        <v>12025.8</v>
      </c>
      <c r="N2931" t="str">
        <f t="shared" si="406"/>
        <v>HOLDING REGISTER</v>
      </c>
      <c r="O2931" t="str">
        <f t="shared" si="407"/>
        <v>BOOL</v>
      </c>
      <c r="P2931" t="str">
        <f t="shared" si="408"/>
        <v>SCENARI CASOLA Scenario E11</v>
      </c>
      <c r="R2931" t="str">
        <f t="shared" si="409"/>
        <v>Scenari -Comando Manuale Scenario E11: ALLARME INCENDIO</v>
      </c>
      <c r="U2931" t="str">
        <f t="shared" si="410"/>
        <v>Comando</v>
      </c>
      <c r="V2931" t="str">
        <f t="shared" si="411"/>
        <v>GALLERIA</v>
      </c>
      <c r="W2931" t="str">
        <f t="shared" si="412"/>
        <v>GALLERIA CASOLA</v>
      </c>
      <c r="Z2931" t="str">
        <f t="shared" si="413"/>
        <v>10.220.80.16</v>
      </c>
    </row>
    <row r="2932" spans="1:26" x14ac:dyDescent="0.25">
      <c r="A2932" t="s">
        <v>10</v>
      </c>
      <c r="B2932" t="s">
        <v>1206</v>
      </c>
      <c r="C2932" t="s">
        <v>2173</v>
      </c>
      <c r="D2932" t="s">
        <v>3618</v>
      </c>
      <c r="E2932" t="s">
        <v>2510</v>
      </c>
      <c r="F2932" t="s">
        <v>14</v>
      </c>
      <c r="G2932" t="s">
        <v>2531</v>
      </c>
      <c r="H2932" t="s">
        <v>22</v>
      </c>
      <c r="I2932" t="s">
        <v>3629</v>
      </c>
      <c r="J2932" t="s">
        <v>2512</v>
      </c>
      <c r="K2932" t="str">
        <f t="shared" si="405"/>
        <v>12025.9</v>
      </c>
      <c r="N2932" t="str">
        <f t="shared" si="406"/>
        <v>HOLDING REGISTER</v>
      </c>
      <c r="O2932" t="str">
        <f t="shared" si="407"/>
        <v>BOOL</v>
      </c>
      <c r="P2932" t="str">
        <f t="shared" si="408"/>
        <v>SCENARI CASOLA Scenario V1</v>
      </c>
      <c r="R2932" t="str">
        <f t="shared" si="409"/>
        <v>Scenari -Comando Manuale Scenario V1: CODA</v>
      </c>
      <c r="U2932" t="str">
        <f t="shared" si="410"/>
        <v>Comando</v>
      </c>
      <c r="V2932" t="str">
        <f t="shared" si="411"/>
        <v>GALLERIA</v>
      </c>
      <c r="W2932" t="str">
        <f t="shared" si="412"/>
        <v>GALLERIA CASOLA</v>
      </c>
      <c r="Z2932" t="str">
        <f t="shared" si="413"/>
        <v>10.220.80.16</v>
      </c>
    </row>
    <row r="2933" spans="1:26" x14ac:dyDescent="0.25">
      <c r="A2933" t="s">
        <v>10</v>
      </c>
      <c r="B2933" t="s">
        <v>1206</v>
      </c>
      <c r="C2933" t="s">
        <v>2173</v>
      </c>
      <c r="D2933" t="s">
        <v>3618</v>
      </c>
      <c r="E2933" t="s">
        <v>2513</v>
      </c>
      <c r="F2933" t="s">
        <v>14</v>
      </c>
      <c r="G2933" t="s">
        <v>2531</v>
      </c>
      <c r="H2933" t="s">
        <v>22</v>
      </c>
      <c r="I2933" t="s">
        <v>3630</v>
      </c>
      <c r="J2933" t="s">
        <v>2515</v>
      </c>
      <c r="K2933" t="str">
        <f t="shared" si="405"/>
        <v>12025.10</v>
      </c>
      <c r="N2933" t="str">
        <f t="shared" si="406"/>
        <v>HOLDING REGISTER</v>
      </c>
      <c r="O2933" t="str">
        <f t="shared" si="407"/>
        <v>BOOL</v>
      </c>
      <c r="P2933" t="str">
        <f t="shared" si="408"/>
        <v>SCENARI CASOLA Scenario V6</v>
      </c>
      <c r="R2933" t="str">
        <f t="shared" si="409"/>
        <v>Scenari -Comando Manuale Scenario V6 -Galleria chiusa</v>
      </c>
      <c r="U2933" t="str">
        <f t="shared" si="410"/>
        <v>Comando</v>
      </c>
      <c r="V2933" t="str">
        <f t="shared" si="411"/>
        <v>GALLERIA</v>
      </c>
      <c r="W2933" t="str">
        <f t="shared" si="412"/>
        <v>GALLERIA CASOLA</v>
      </c>
      <c r="Z2933" t="str">
        <f t="shared" si="413"/>
        <v>10.220.80.16</v>
      </c>
    </row>
    <row r="2934" spans="1:26" x14ac:dyDescent="0.25">
      <c r="A2934" t="s">
        <v>10</v>
      </c>
      <c r="B2934" t="s">
        <v>1206</v>
      </c>
      <c r="C2934" t="s">
        <v>2173</v>
      </c>
      <c r="D2934" t="s">
        <v>3618</v>
      </c>
      <c r="E2934" t="s">
        <v>2516</v>
      </c>
      <c r="F2934" t="s">
        <v>14</v>
      </c>
      <c r="G2934" t="s">
        <v>2531</v>
      </c>
      <c r="H2934" t="s">
        <v>22</v>
      </c>
      <c r="I2934" t="s">
        <v>3631</v>
      </c>
      <c r="J2934" t="s">
        <v>2764</v>
      </c>
      <c r="K2934" t="str">
        <f t="shared" si="405"/>
        <v>12025.11</v>
      </c>
      <c r="N2934" t="str">
        <f t="shared" si="406"/>
        <v>HOLDING REGISTER</v>
      </c>
      <c r="O2934" t="str">
        <f t="shared" si="407"/>
        <v>BOOL</v>
      </c>
      <c r="P2934" t="str">
        <f t="shared" si="408"/>
        <v>SCENARI CASOLA Scenario V4</v>
      </c>
      <c r="R2934" t="str">
        <f t="shared" si="409"/>
        <v>Scenari -Comando Manuale Scenario V4 -Corsia Marcia Sud</v>
      </c>
      <c r="U2934" t="str">
        <f t="shared" si="410"/>
        <v>Comando</v>
      </c>
      <c r="V2934" t="str">
        <f t="shared" si="411"/>
        <v>GALLERIA</v>
      </c>
      <c r="W2934" t="str">
        <f t="shared" si="412"/>
        <v>GALLERIA CASOLA</v>
      </c>
      <c r="Z2934" t="str">
        <f t="shared" si="413"/>
        <v>10.220.80.16</v>
      </c>
    </row>
    <row r="2935" spans="1:26" x14ac:dyDescent="0.25">
      <c r="A2935" t="s">
        <v>10</v>
      </c>
      <c r="B2935" t="s">
        <v>1206</v>
      </c>
      <c r="C2935" t="s">
        <v>2173</v>
      </c>
      <c r="D2935" t="s">
        <v>3618</v>
      </c>
      <c r="E2935" t="s">
        <v>2519</v>
      </c>
      <c r="F2935" t="s">
        <v>14</v>
      </c>
      <c r="G2935" t="s">
        <v>2531</v>
      </c>
      <c r="H2935" t="s">
        <v>22</v>
      </c>
      <c r="I2935" t="s">
        <v>3632</v>
      </c>
      <c r="J2935" t="s">
        <v>2766</v>
      </c>
      <c r="K2935" t="str">
        <f t="shared" si="405"/>
        <v>12025.12</v>
      </c>
      <c r="N2935" t="str">
        <f t="shared" si="406"/>
        <v>HOLDING REGISTER</v>
      </c>
      <c r="O2935" t="str">
        <f t="shared" si="407"/>
        <v>BOOL</v>
      </c>
      <c r="P2935" t="str">
        <f t="shared" si="408"/>
        <v>SCENARI CASOLA Scenario V5</v>
      </c>
      <c r="R2935" t="str">
        <f t="shared" si="409"/>
        <v>Scenari -Comando Manuale Scenario V5 -Corsia Marcia Nord</v>
      </c>
      <c r="U2935" t="str">
        <f t="shared" si="410"/>
        <v>Comando</v>
      </c>
      <c r="V2935" t="str">
        <f t="shared" si="411"/>
        <v>GALLERIA</v>
      </c>
      <c r="W2935" t="str">
        <f t="shared" si="412"/>
        <v>GALLERIA CASOLA</v>
      </c>
      <c r="Z2935" t="str">
        <f t="shared" si="413"/>
        <v>10.220.80.16</v>
      </c>
    </row>
    <row r="2936" spans="1:26" x14ac:dyDescent="0.25">
      <c r="A2936" t="s">
        <v>10</v>
      </c>
      <c r="B2936" t="s">
        <v>1206</v>
      </c>
      <c r="C2936" t="s">
        <v>2173</v>
      </c>
      <c r="D2936" t="s">
        <v>3618</v>
      </c>
      <c r="E2936" t="s">
        <v>2483</v>
      </c>
      <c r="F2936" t="s">
        <v>14</v>
      </c>
      <c r="G2936" t="s">
        <v>2531</v>
      </c>
      <c r="H2936" t="s">
        <v>22</v>
      </c>
      <c r="I2936" t="s">
        <v>3633</v>
      </c>
      <c r="J2936" t="s">
        <v>2768</v>
      </c>
      <c r="K2936" t="str">
        <f t="shared" si="405"/>
        <v>12026.0</v>
      </c>
      <c r="N2936" t="str">
        <f t="shared" si="406"/>
        <v>HOLDING REGISTER</v>
      </c>
      <c r="O2936" t="str">
        <f t="shared" si="407"/>
        <v>BOOL</v>
      </c>
      <c r="P2936" t="str">
        <f t="shared" si="408"/>
        <v>SCENARI CASOLA Scenario E2</v>
      </c>
      <c r="R2936" t="str">
        <f t="shared" si="409"/>
        <v>Scenari -Comando Reset Scenario E2: ALLARME SOS</v>
      </c>
      <c r="U2936" t="str">
        <f t="shared" si="410"/>
        <v>Comando</v>
      </c>
      <c r="V2936" t="str">
        <f t="shared" si="411"/>
        <v>GALLERIA</v>
      </c>
      <c r="W2936" t="str">
        <f t="shared" si="412"/>
        <v>GALLERIA CASOLA</v>
      </c>
      <c r="Z2936" t="str">
        <f t="shared" si="413"/>
        <v>10.220.80.16</v>
      </c>
    </row>
    <row r="2937" spans="1:26" x14ac:dyDescent="0.25">
      <c r="A2937" t="s">
        <v>10</v>
      </c>
      <c r="B2937" t="s">
        <v>1206</v>
      </c>
      <c r="C2937" t="s">
        <v>2173</v>
      </c>
      <c r="D2937" t="s">
        <v>3618</v>
      </c>
      <c r="E2937" t="s">
        <v>2486</v>
      </c>
      <c r="F2937" t="s">
        <v>14</v>
      </c>
      <c r="G2937" t="s">
        <v>2531</v>
      </c>
      <c r="H2937" t="s">
        <v>22</v>
      </c>
      <c r="I2937" t="s">
        <v>3634</v>
      </c>
      <c r="J2937" t="s">
        <v>2770</v>
      </c>
      <c r="K2937" t="str">
        <f t="shared" si="405"/>
        <v>12026.1</v>
      </c>
      <c r="N2937" t="str">
        <f t="shared" si="406"/>
        <v>HOLDING REGISTER</v>
      </c>
      <c r="O2937" t="str">
        <f t="shared" si="407"/>
        <v>BOOL</v>
      </c>
      <c r="P2937" t="str">
        <f t="shared" si="408"/>
        <v>SCENARI CASOLA Scenario E3</v>
      </c>
      <c r="R2937" t="str">
        <f t="shared" si="409"/>
        <v>Scenari -Comando Reset Scenario E3: PEDONE IN GALLERIA</v>
      </c>
      <c r="U2937" t="str">
        <f t="shared" si="410"/>
        <v>Comando</v>
      </c>
      <c r="V2937" t="str">
        <f t="shared" si="411"/>
        <v>GALLERIA</v>
      </c>
      <c r="W2937" t="str">
        <f t="shared" si="412"/>
        <v>GALLERIA CASOLA</v>
      </c>
      <c r="Z2937" t="str">
        <f t="shared" si="413"/>
        <v>10.220.80.16</v>
      </c>
    </row>
    <row r="2938" spans="1:26" x14ac:dyDescent="0.25">
      <c r="A2938" t="s">
        <v>10</v>
      </c>
      <c r="B2938" t="s">
        <v>1206</v>
      </c>
      <c r="C2938" t="s">
        <v>2173</v>
      </c>
      <c r="D2938" t="s">
        <v>3618</v>
      </c>
      <c r="E2938" t="s">
        <v>2489</v>
      </c>
      <c r="F2938" t="s">
        <v>14</v>
      </c>
      <c r="G2938" t="s">
        <v>2531</v>
      </c>
      <c r="H2938" t="s">
        <v>22</v>
      </c>
      <c r="I2938" t="s">
        <v>3635</v>
      </c>
      <c r="J2938" t="s">
        <v>2772</v>
      </c>
      <c r="K2938" t="str">
        <f t="shared" si="405"/>
        <v>12026.2</v>
      </c>
      <c r="N2938" t="str">
        <f t="shared" si="406"/>
        <v>HOLDING REGISTER</v>
      </c>
      <c r="O2938" t="str">
        <f t="shared" si="407"/>
        <v>BOOL</v>
      </c>
      <c r="P2938" t="str">
        <f t="shared" si="408"/>
        <v>SCENARI CASOLA Scenario E4</v>
      </c>
      <c r="R2938" t="str">
        <f t="shared" si="409"/>
        <v>Scenari -Comando Reset Scenario E4: VE ICOLO FERMO/OSTACOLO</v>
      </c>
      <c r="U2938" t="str">
        <f t="shared" si="410"/>
        <v>Comando</v>
      </c>
      <c r="V2938" t="str">
        <f t="shared" si="411"/>
        <v>GALLERIA</v>
      </c>
      <c r="W2938" t="str">
        <f t="shared" si="412"/>
        <v>GALLERIA CASOLA</v>
      </c>
      <c r="Z2938" t="str">
        <f t="shared" si="413"/>
        <v>10.220.80.16</v>
      </c>
    </row>
    <row r="2939" spans="1:26" x14ac:dyDescent="0.25">
      <c r="A2939" t="s">
        <v>10</v>
      </c>
      <c r="B2939" t="s">
        <v>1206</v>
      </c>
      <c r="C2939" t="s">
        <v>2173</v>
      </c>
      <c r="D2939" t="s">
        <v>3618</v>
      </c>
      <c r="E2939" t="s">
        <v>2492</v>
      </c>
      <c r="F2939" t="s">
        <v>14</v>
      </c>
      <c r="G2939" t="s">
        <v>2531</v>
      </c>
      <c r="H2939" t="s">
        <v>22</v>
      </c>
      <c r="I2939" t="s">
        <v>3636</v>
      </c>
      <c r="J2939" t="s">
        <v>2774</v>
      </c>
      <c r="K2939" t="str">
        <f t="shared" si="405"/>
        <v>12026.3</v>
      </c>
      <c r="N2939" t="str">
        <f t="shared" si="406"/>
        <v>HOLDING REGISTER</v>
      </c>
      <c r="O2939" t="str">
        <f t="shared" si="407"/>
        <v>BOOL</v>
      </c>
      <c r="P2939" t="str">
        <f t="shared" si="408"/>
        <v>SCENARI CASOLA Scenario E5</v>
      </c>
      <c r="R2939" t="str">
        <f t="shared" si="409"/>
        <v>Scenari -Comando Reset Scenario E5: INCIDENTE</v>
      </c>
      <c r="U2939" t="str">
        <f t="shared" si="410"/>
        <v>Comando</v>
      </c>
      <c r="V2939" t="str">
        <f t="shared" si="411"/>
        <v>GALLERIA</v>
      </c>
      <c r="W2939" t="str">
        <f t="shared" si="412"/>
        <v>GALLERIA CASOLA</v>
      </c>
      <c r="Z2939" t="str">
        <f t="shared" si="413"/>
        <v>10.220.80.16</v>
      </c>
    </row>
    <row r="2940" spans="1:26" x14ac:dyDescent="0.25">
      <c r="A2940" t="s">
        <v>10</v>
      </c>
      <c r="B2940" t="s">
        <v>1206</v>
      </c>
      <c r="C2940" t="s">
        <v>2173</v>
      </c>
      <c r="D2940" t="s">
        <v>3618</v>
      </c>
      <c r="E2940" t="s">
        <v>2495</v>
      </c>
      <c r="F2940" t="s">
        <v>14</v>
      </c>
      <c r="G2940" t="s">
        <v>2531</v>
      </c>
      <c r="H2940" t="s">
        <v>22</v>
      </c>
      <c r="I2940" t="s">
        <v>3637</v>
      </c>
      <c r="J2940" t="s">
        <v>2776</v>
      </c>
      <c r="K2940" t="str">
        <f t="shared" si="405"/>
        <v>12026.4</v>
      </c>
      <c r="N2940" t="str">
        <f t="shared" si="406"/>
        <v>HOLDING REGISTER</v>
      </c>
      <c r="O2940" t="str">
        <f t="shared" si="407"/>
        <v>BOOL</v>
      </c>
      <c r="P2940" t="str">
        <f t="shared" si="408"/>
        <v>SCENARI CASOLA Scenario E6</v>
      </c>
      <c r="R2940" t="str">
        <f t="shared" si="409"/>
        <v>Scenari -Comando Reset Scenario E6: DISTACCO JETFAN</v>
      </c>
      <c r="U2940" t="str">
        <f t="shared" si="410"/>
        <v>Comando</v>
      </c>
      <c r="V2940" t="str">
        <f t="shared" si="411"/>
        <v>GALLERIA</v>
      </c>
      <c r="W2940" t="str">
        <f t="shared" si="412"/>
        <v>GALLERIA CASOLA</v>
      </c>
      <c r="Z2940" t="str">
        <f t="shared" si="413"/>
        <v>10.220.80.16</v>
      </c>
    </row>
    <row r="2941" spans="1:26" x14ac:dyDescent="0.25">
      <c r="A2941" t="s">
        <v>10</v>
      </c>
      <c r="B2941" t="s">
        <v>1206</v>
      </c>
      <c r="C2941" t="s">
        <v>2173</v>
      </c>
      <c r="D2941" t="s">
        <v>3618</v>
      </c>
      <c r="E2941" t="s">
        <v>2498</v>
      </c>
      <c r="F2941" t="s">
        <v>14</v>
      </c>
      <c r="G2941" t="s">
        <v>2531</v>
      </c>
      <c r="H2941" t="s">
        <v>22</v>
      </c>
      <c r="I2941" t="s">
        <v>3638</v>
      </c>
      <c r="J2941" t="s">
        <v>2778</v>
      </c>
      <c r="K2941" t="str">
        <f t="shared" si="405"/>
        <v>12026.5</v>
      </c>
      <c r="N2941" t="str">
        <f t="shared" si="406"/>
        <v>HOLDING REGISTER</v>
      </c>
      <c r="O2941" t="str">
        <f t="shared" si="407"/>
        <v>BOOL</v>
      </c>
      <c r="P2941" t="str">
        <f t="shared" si="408"/>
        <v>SCENARI CASOLA Scenario E7</v>
      </c>
      <c r="R2941" t="str">
        <f t="shared" si="409"/>
        <v>Scenari -Comando Reset Scenario E7: GALLERIA INQUINATA</v>
      </c>
      <c r="U2941" t="str">
        <f t="shared" si="410"/>
        <v>Comando</v>
      </c>
      <c r="V2941" t="str">
        <f t="shared" si="411"/>
        <v>GALLERIA</v>
      </c>
      <c r="W2941" t="str">
        <f t="shared" si="412"/>
        <v>GALLERIA CASOLA</v>
      </c>
      <c r="Z2941" t="str">
        <f t="shared" si="413"/>
        <v>10.220.80.16</v>
      </c>
    </row>
    <row r="2942" spans="1:26" x14ac:dyDescent="0.25">
      <c r="A2942" t="s">
        <v>10</v>
      </c>
      <c r="B2942" t="s">
        <v>1206</v>
      </c>
      <c r="C2942" t="s">
        <v>2173</v>
      </c>
      <c r="D2942" t="s">
        <v>3618</v>
      </c>
      <c r="E2942" t="s">
        <v>2501</v>
      </c>
      <c r="F2942" t="s">
        <v>14</v>
      </c>
      <c r="G2942" t="s">
        <v>2531</v>
      </c>
      <c r="H2942" t="s">
        <v>22</v>
      </c>
      <c r="I2942" t="s">
        <v>3639</v>
      </c>
      <c r="J2942" t="s">
        <v>2780</v>
      </c>
      <c r="K2942" t="str">
        <f t="shared" si="405"/>
        <v>12026.6</v>
      </c>
      <c r="N2942" t="str">
        <f t="shared" si="406"/>
        <v>HOLDING REGISTER</v>
      </c>
      <c r="O2942" t="str">
        <f t="shared" si="407"/>
        <v>BOOL</v>
      </c>
      <c r="P2942" t="str">
        <f t="shared" si="408"/>
        <v>SCENARI CASOLA Scenario E8</v>
      </c>
      <c r="R2942" t="str">
        <f t="shared" si="409"/>
        <v>Scenari -Comando Reset Scenario E8: VEICOLO CONTROMANO</v>
      </c>
      <c r="U2942" t="str">
        <f t="shared" si="410"/>
        <v>Comando</v>
      </c>
      <c r="V2942" t="str">
        <f t="shared" si="411"/>
        <v>GALLERIA</v>
      </c>
      <c r="W2942" t="str">
        <f t="shared" si="412"/>
        <v>GALLERIA CASOLA</v>
      </c>
      <c r="Z2942" t="str">
        <f t="shared" si="413"/>
        <v>10.220.80.16</v>
      </c>
    </row>
    <row r="2943" spans="1:26" x14ac:dyDescent="0.25">
      <c r="A2943" t="s">
        <v>10</v>
      </c>
      <c r="B2943" t="s">
        <v>1206</v>
      </c>
      <c r="C2943" t="s">
        <v>2173</v>
      </c>
      <c r="D2943" t="s">
        <v>3618</v>
      </c>
      <c r="E2943" t="s">
        <v>2504</v>
      </c>
      <c r="F2943" t="s">
        <v>14</v>
      </c>
      <c r="G2943" t="s">
        <v>2531</v>
      </c>
      <c r="H2943" t="s">
        <v>22</v>
      </c>
      <c r="I2943" t="s">
        <v>3640</v>
      </c>
      <c r="J2943" t="s">
        <v>2782</v>
      </c>
      <c r="K2943" t="str">
        <f t="shared" si="405"/>
        <v>12026.7</v>
      </c>
      <c r="N2943" t="str">
        <f t="shared" si="406"/>
        <v>HOLDING REGISTER</v>
      </c>
      <c r="O2943" t="str">
        <f t="shared" si="407"/>
        <v>BOOL</v>
      </c>
      <c r="P2943" t="str">
        <f t="shared" si="408"/>
        <v>SCENARI CASOLA Scenario E10</v>
      </c>
      <c r="R2943" t="str">
        <f t="shared" si="409"/>
        <v>Scenari -Comando Reset Scenario E10: PREALLARME INCENDIO</v>
      </c>
      <c r="U2943" t="str">
        <f t="shared" si="410"/>
        <v>Comando</v>
      </c>
      <c r="V2943" t="str">
        <f t="shared" si="411"/>
        <v>GALLERIA</v>
      </c>
      <c r="W2943" t="str">
        <f t="shared" si="412"/>
        <v>GALLERIA CASOLA</v>
      </c>
      <c r="Z2943" t="str">
        <f t="shared" si="413"/>
        <v>10.220.80.16</v>
      </c>
    </row>
    <row r="2944" spans="1:26" x14ac:dyDescent="0.25">
      <c r="A2944" t="s">
        <v>10</v>
      </c>
      <c r="B2944" t="s">
        <v>1206</v>
      </c>
      <c r="C2944" t="s">
        <v>2173</v>
      </c>
      <c r="D2944" t="s">
        <v>3618</v>
      </c>
      <c r="E2944" t="s">
        <v>2507</v>
      </c>
      <c r="F2944" t="s">
        <v>14</v>
      </c>
      <c r="G2944" t="s">
        <v>2531</v>
      </c>
      <c r="H2944" t="s">
        <v>22</v>
      </c>
      <c r="I2944" t="s">
        <v>3641</v>
      </c>
      <c r="J2944" t="s">
        <v>2784</v>
      </c>
      <c r="K2944" t="str">
        <f t="shared" si="405"/>
        <v>12026.8</v>
      </c>
      <c r="N2944" t="str">
        <f t="shared" si="406"/>
        <v>HOLDING REGISTER</v>
      </c>
      <c r="O2944" t="str">
        <f t="shared" si="407"/>
        <v>BOOL</v>
      </c>
      <c r="P2944" t="str">
        <f t="shared" si="408"/>
        <v>SCENARI CASOLA Scenario E11</v>
      </c>
      <c r="R2944" t="str">
        <f t="shared" si="409"/>
        <v>Scenari -Comando Reset Scenario E11: ALLARME INCENDIO</v>
      </c>
      <c r="U2944" t="str">
        <f t="shared" si="410"/>
        <v>Comando</v>
      </c>
      <c r="V2944" t="str">
        <f t="shared" si="411"/>
        <v>GALLERIA</v>
      </c>
      <c r="W2944" t="str">
        <f t="shared" si="412"/>
        <v>GALLERIA CASOLA</v>
      </c>
      <c r="Z2944" t="str">
        <f t="shared" si="413"/>
        <v>10.220.80.16</v>
      </c>
    </row>
    <row r="2945" spans="1:26" x14ac:dyDescent="0.25">
      <c r="A2945" t="s">
        <v>10</v>
      </c>
      <c r="B2945" t="s">
        <v>1206</v>
      </c>
      <c r="C2945" t="s">
        <v>2173</v>
      </c>
      <c r="D2945" t="s">
        <v>3618</v>
      </c>
      <c r="E2945" t="s">
        <v>2510</v>
      </c>
      <c r="F2945" t="s">
        <v>14</v>
      </c>
      <c r="G2945" t="s">
        <v>2531</v>
      </c>
      <c r="H2945" t="s">
        <v>22</v>
      </c>
      <c r="I2945" t="s">
        <v>3642</v>
      </c>
      <c r="J2945" t="s">
        <v>2786</v>
      </c>
      <c r="K2945" t="str">
        <f t="shared" si="405"/>
        <v>12026.9</v>
      </c>
      <c r="N2945" t="str">
        <f t="shared" si="406"/>
        <v>HOLDING REGISTER</v>
      </c>
      <c r="O2945" t="str">
        <f t="shared" si="407"/>
        <v>BOOL</v>
      </c>
      <c r="P2945" t="str">
        <f t="shared" si="408"/>
        <v>SCENARI CASOLA Scenario V1</v>
      </c>
      <c r="R2945" t="str">
        <f t="shared" si="409"/>
        <v>Scenari -Comando Reset Scenario V1: CODA</v>
      </c>
      <c r="U2945" t="str">
        <f t="shared" si="410"/>
        <v>Comando</v>
      </c>
      <c r="V2945" t="str">
        <f t="shared" si="411"/>
        <v>GALLERIA</v>
      </c>
      <c r="W2945" t="str">
        <f t="shared" si="412"/>
        <v>GALLERIA CASOLA</v>
      </c>
      <c r="Z2945" t="str">
        <f t="shared" si="413"/>
        <v>10.220.80.16</v>
      </c>
    </row>
    <row r="2946" spans="1:26" x14ac:dyDescent="0.25">
      <c r="A2946" t="s">
        <v>10</v>
      </c>
      <c r="B2946" t="s">
        <v>1206</v>
      </c>
      <c r="C2946" t="s">
        <v>2173</v>
      </c>
      <c r="D2946" t="s">
        <v>3618</v>
      </c>
      <c r="E2946" t="s">
        <v>2513</v>
      </c>
      <c r="F2946" t="s">
        <v>14</v>
      </c>
      <c r="G2946" t="s">
        <v>2531</v>
      </c>
      <c r="H2946" t="s">
        <v>22</v>
      </c>
      <c r="I2946" t="s">
        <v>3643</v>
      </c>
      <c r="J2946" t="s">
        <v>2788</v>
      </c>
      <c r="K2946" t="str">
        <f t="shared" si="405"/>
        <v>12026.10</v>
      </c>
      <c r="N2946" t="str">
        <f t="shared" si="406"/>
        <v>HOLDING REGISTER</v>
      </c>
      <c r="O2946" t="str">
        <f t="shared" si="407"/>
        <v>BOOL</v>
      </c>
      <c r="P2946" t="str">
        <f t="shared" si="408"/>
        <v>SCENARI CASOLA Scenario V6</v>
      </c>
      <c r="R2946" t="str">
        <f t="shared" si="409"/>
        <v>Scenari -Comando Reset Scenario V6 -Galleria chiusa</v>
      </c>
      <c r="U2946" t="str">
        <f t="shared" si="410"/>
        <v>Comando</v>
      </c>
      <c r="V2946" t="str">
        <f t="shared" si="411"/>
        <v>GALLERIA</v>
      </c>
      <c r="W2946" t="str">
        <f t="shared" si="412"/>
        <v>GALLERIA CASOLA</v>
      </c>
      <c r="Z2946" t="str">
        <f t="shared" si="413"/>
        <v>10.220.80.16</v>
      </c>
    </row>
    <row r="2947" spans="1:26" x14ac:dyDescent="0.25">
      <c r="A2947" t="s">
        <v>10</v>
      </c>
      <c r="B2947" t="s">
        <v>1206</v>
      </c>
      <c r="C2947" t="s">
        <v>2173</v>
      </c>
      <c r="D2947" t="s">
        <v>3618</v>
      </c>
      <c r="E2947" t="s">
        <v>2516</v>
      </c>
      <c r="F2947" t="s">
        <v>14</v>
      </c>
      <c r="G2947" t="s">
        <v>2531</v>
      </c>
      <c r="H2947" t="s">
        <v>22</v>
      </c>
      <c r="I2947" t="s">
        <v>3644</v>
      </c>
      <c r="J2947" t="s">
        <v>2790</v>
      </c>
      <c r="K2947" t="str">
        <f t="shared" ref="K2947:K2961" si="414">IF(I2947="","",I2947)</f>
        <v>12026.11</v>
      </c>
      <c r="N2947" t="str">
        <f t="shared" ref="N2947:N2961" si="415">IF(F2947="","",F2947)</f>
        <v>HOLDING REGISTER</v>
      </c>
      <c r="O2947" t="str">
        <f t="shared" ref="O2947:O2961" si="416">IF(H2947="","",H2947)</f>
        <v>BOOL</v>
      </c>
      <c r="P2947" t="str">
        <f t="shared" ref="P2947:P2961" si="417">_xlfn.CONCAT(D2947," ",E2947)</f>
        <v>SCENARI CASOLA Scenario V4</v>
      </c>
      <c r="R2947" t="str">
        <f t="shared" ref="R2947:R2961" si="418">IF(J2947="","",J2947)</f>
        <v>Scenari -Comando Reset Scenario V4 -Corsia Marcia Sud</v>
      </c>
      <c r="U2947" t="str">
        <f t="shared" ref="U2947:U2961" si="419">IF(G2947="","",G2947)</f>
        <v>Comando</v>
      </c>
      <c r="V2947" t="str">
        <f t="shared" ref="V2947:V2961" si="420">IF(C2947="","",C2947)</f>
        <v>GALLERIA</v>
      </c>
      <c r="W2947" t="str">
        <f t="shared" ref="W2947:W2961" si="421">IF(B2947="","",B2947)</f>
        <v>GALLERIA CASOLA</v>
      </c>
      <c r="Z2947" t="str">
        <f t="shared" ref="Z2947:Z2961" si="422">IF(A2947="","",A2947)</f>
        <v>10.220.80.16</v>
      </c>
    </row>
    <row r="2948" spans="1:26" x14ac:dyDescent="0.25">
      <c r="A2948" t="s">
        <v>10</v>
      </c>
      <c r="B2948" t="s">
        <v>1206</v>
      </c>
      <c r="C2948" t="s">
        <v>2173</v>
      </c>
      <c r="D2948" t="s">
        <v>3618</v>
      </c>
      <c r="E2948" t="s">
        <v>2519</v>
      </c>
      <c r="F2948" t="s">
        <v>14</v>
      </c>
      <c r="G2948" t="s">
        <v>2531</v>
      </c>
      <c r="H2948" t="s">
        <v>22</v>
      </c>
      <c r="I2948" t="s">
        <v>3645</v>
      </c>
      <c r="J2948" t="s">
        <v>2792</v>
      </c>
      <c r="K2948" t="str">
        <f t="shared" si="414"/>
        <v>12026.12</v>
      </c>
      <c r="N2948" t="str">
        <f t="shared" si="415"/>
        <v>HOLDING REGISTER</v>
      </c>
      <c r="O2948" t="str">
        <f t="shared" si="416"/>
        <v>BOOL</v>
      </c>
      <c r="P2948" t="str">
        <f t="shared" si="417"/>
        <v>SCENARI CASOLA Scenario V5</v>
      </c>
      <c r="R2948" t="str">
        <f t="shared" si="418"/>
        <v>Scenari -Comando Reset Scenario V5 -Corsia Marcia Nord</v>
      </c>
      <c r="U2948" t="str">
        <f t="shared" si="419"/>
        <v>Comando</v>
      </c>
      <c r="V2948" t="str">
        <f t="shared" si="420"/>
        <v>GALLERIA</v>
      </c>
      <c r="W2948" t="str">
        <f t="shared" si="421"/>
        <v>GALLERIA CASOLA</v>
      </c>
      <c r="Z2948" t="str">
        <f t="shared" si="422"/>
        <v>10.220.80.16</v>
      </c>
    </row>
    <row r="2949" spans="1:26" x14ac:dyDescent="0.25">
      <c r="A2949" t="s">
        <v>10</v>
      </c>
      <c r="B2949" t="s">
        <v>1206</v>
      </c>
      <c r="C2949" t="s">
        <v>2173</v>
      </c>
      <c r="D2949" t="s">
        <v>3618</v>
      </c>
      <c r="E2949" t="s">
        <v>2483</v>
      </c>
      <c r="F2949" t="s">
        <v>14</v>
      </c>
      <c r="G2949" t="s">
        <v>2531</v>
      </c>
      <c r="H2949" t="s">
        <v>16</v>
      </c>
      <c r="I2949">
        <v>12027</v>
      </c>
      <c r="J2949" t="s">
        <v>2793</v>
      </c>
      <c r="K2949">
        <f t="shared" si="414"/>
        <v>12027</v>
      </c>
      <c r="N2949" t="str">
        <f t="shared" si="415"/>
        <v>HOLDING REGISTER</v>
      </c>
      <c r="O2949" t="str">
        <f t="shared" si="416"/>
        <v>INT</v>
      </c>
      <c r="P2949" t="str">
        <f t="shared" si="417"/>
        <v>SCENARI CASOLA Scenario E2</v>
      </c>
      <c r="R2949" t="str">
        <f t="shared" si="418"/>
        <v>Scenari -Comando Attivazione Scenario E2: ALLARME SOS = Cod.13</v>
      </c>
      <c r="U2949" t="str">
        <f t="shared" si="419"/>
        <v>Comando</v>
      </c>
      <c r="V2949" t="str">
        <f t="shared" si="420"/>
        <v>GALLERIA</v>
      </c>
      <c r="W2949" t="str">
        <f t="shared" si="421"/>
        <v>GALLERIA CASOLA</v>
      </c>
      <c r="Z2949" t="str">
        <f t="shared" si="422"/>
        <v>10.220.80.16</v>
      </c>
    </row>
    <row r="2950" spans="1:26" x14ac:dyDescent="0.25">
      <c r="A2950" t="s">
        <v>10</v>
      </c>
      <c r="B2950" t="s">
        <v>1206</v>
      </c>
      <c r="C2950" t="s">
        <v>2173</v>
      </c>
      <c r="D2950" t="s">
        <v>3618</v>
      </c>
      <c r="E2950" t="s">
        <v>2486</v>
      </c>
      <c r="F2950" t="s">
        <v>14</v>
      </c>
      <c r="G2950" t="s">
        <v>2531</v>
      </c>
      <c r="H2950" t="s">
        <v>16</v>
      </c>
      <c r="I2950">
        <v>12027</v>
      </c>
      <c r="J2950" t="s">
        <v>2794</v>
      </c>
      <c r="K2950">
        <f t="shared" si="414"/>
        <v>12027</v>
      </c>
      <c r="N2950" t="str">
        <f t="shared" si="415"/>
        <v>HOLDING REGISTER</v>
      </c>
      <c r="O2950" t="str">
        <f t="shared" si="416"/>
        <v>INT</v>
      </c>
      <c r="P2950" t="str">
        <f t="shared" si="417"/>
        <v>SCENARI CASOLA Scenario E3</v>
      </c>
      <c r="R2950" t="str">
        <f t="shared" si="418"/>
        <v>Scenari -Comando Attivazione Scenario E3: PEDONE IN GALLERIA = Cod.11</v>
      </c>
      <c r="U2950" t="str">
        <f t="shared" si="419"/>
        <v>Comando</v>
      </c>
      <c r="V2950" t="str">
        <f t="shared" si="420"/>
        <v>GALLERIA</v>
      </c>
      <c r="W2950" t="str">
        <f t="shared" si="421"/>
        <v>GALLERIA CASOLA</v>
      </c>
      <c r="Z2950" t="str">
        <f t="shared" si="422"/>
        <v>10.220.80.16</v>
      </c>
    </row>
    <row r="2951" spans="1:26" x14ac:dyDescent="0.25">
      <c r="A2951" t="s">
        <v>10</v>
      </c>
      <c r="B2951" t="s">
        <v>1206</v>
      </c>
      <c r="C2951" t="s">
        <v>2173</v>
      </c>
      <c r="D2951" t="s">
        <v>3618</v>
      </c>
      <c r="E2951" t="s">
        <v>2489</v>
      </c>
      <c r="F2951" t="s">
        <v>14</v>
      </c>
      <c r="G2951" t="s">
        <v>2531</v>
      </c>
      <c r="H2951" t="s">
        <v>16</v>
      </c>
      <c r="I2951">
        <v>12027</v>
      </c>
      <c r="J2951" t="s">
        <v>2795</v>
      </c>
      <c r="K2951">
        <f t="shared" si="414"/>
        <v>12027</v>
      </c>
      <c r="N2951" t="str">
        <f t="shared" si="415"/>
        <v>HOLDING REGISTER</v>
      </c>
      <c r="O2951" t="str">
        <f t="shared" si="416"/>
        <v>INT</v>
      </c>
      <c r="P2951" t="str">
        <f t="shared" si="417"/>
        <v>SCENARI CASOLA Scenario E4</v>
      </c>
      <c r="R2951" t="str">
        <f t="shared" si="418"/>
        <v>Scenari -Comando Attivazione Scenario E4: VE ICOLO FERMO/OSTACOLO = Cod.14</v>
      </c>
      <c r="U2951" t="str">
        <f t="shared" si="419"/>
        <v>Comando</v>
      </c>
      <c r="V2951" t="str">
        <f t="shared" si="420"/>
        <v>GALLERIA</v>
      </c>
      <c r="W2951" t="str">
        <f t="shared" si="421"/>
        <v>GALLERIA CASOLA</v>
      </c>
      <c r="Z2951" t="str">
        <f t="shared" si="422"/>
        <v>10.220.80.16</v>
      </c>
    </row>
    <row r="2952" spans="1:26" x14ac:dyDescent="0.25">
      <c r="A2952" t="s">
        <v>10</v>
      </c>
      <c r="B2952" t="s">
        <v>1206</v>
      </c>
      <c r="C2952" t="s">
        <v>2173</v>
      </c>
      <c r="D2952" t="s">
        <v>3618</v>
      </c>
      <c r="E2952" t="s">
        <v>2492</v>
      </c>
      <c r="F2952" t="s">
        <v>14</v>
      </c>
      <c r="G2952" t="s">
        <v>2531</v>
      </c>
      <c r="H2952" t="s">
        <v>16</v>
      </c>
      <c r="I2952">
        <v>12027</v>
      </c>
      <c r="J2952" t="s">
        <v>2796</v>
      </c>
      <c r="K2952">
        <f t="shared" si="414"/>
        <v>12027</v>
      </c>
      <c r="N2952" t="str">
        <f t="shared" si="415"/>
        <v>HOLDING REGISTER</v>
      </c>
      <c r="O2952" t="str">
        <f t="shared" si="416"/>
        <v>INT</v>
      </c>
      <c r="P2952" t="str">
        <f t="shared" si="417"/>
        <v>SCENARI CASOLA Scenario E5</v>
      </c>
      <c r="R2952" t="str">
        <f t="shared" si="418"/>
        <v>Scenari -Comando Attivazione Scenario E5: INCIDENTE = Cod.15</v>
      </c>
      <c r="U2952" t="str">
        <f t="shared" si="419"/>
        <v>Comando</v>
      </c>
      <c r="V2952" t="str">
        <f t="shared" si="420"/>
        <v>GALLERIA</v>
      </c>
      <c r="W2952" t="str">
        <f t="shared" si="421"/>
        <v>GALLERIA CASOLA</v>
      </c>
      <c r="Z2952" t="str">
        <f t="shared" si="422"/>
        <v>10.220.80.16</v>
      </c>
    </row>
    <row r="2953" spans="1:26" x14ac:dyDescent="0.25">
      <c r="A2953" t="s">
        <v>10</v>
      </c>
      <c r="B2953" t="s">
        <v>1206</v>
      </c>
      <c r="C2953" t="s">
        <v>2173</v>
      </c>
      <c r="D2953" t="s">
        <v>3618</v>
      </c>
      <c r="E2953" t="s">
        <v>2495</v>
      </c>
      <c r="F2953" t="s">
        <v>14</v>
      </c>
      <c r="G2953" t="s">
        <v>2531</v>
      </c>
      <c r="H2953" t="s">
        <v>16</v>
      </c>
      <c r="I2953">
        <v>12027</v>
      </c>
      <c r="J2953" t="s">
        <v>2797</v>
      </c>
      <c r="K2953">
        <f t="shared" si="414"/>
        <v>12027</v>
      </c>
      <c r="N2953" t="str">
        <f t="shared" si="415"/>
        <v>HOLDING REGISTER</v>
      </c>
      <c r="O2953" t="str">
        <f t="shared" si="416"/>
        <v>INT</v>
      </c>
      <c r="P2953" t="str">
        <f t="shared" si="417"/>
        <v>SCENARI CASOLA Scenario E6</v>
      </c>
      <c r="R2953" t="str">
        <f t="shared" si="418"/>
        <v>Scenari -Comando Attivazione Scenario E6: DISTACCO JETFAN = Cod.16</v>
      </c>
      <c r="U2953" t="str">
        <f t="shared" si="419"/>
        <v>Comando</v>
      </c>
      <c r="V2953" t="str">
        <f t="shared" si="420"/>
        <v>GALLERIA</v>
      </c>
      <c r="W2953" t="str">
        <f t="shared" si="421"/>
        <v>GALLERIA CASOLA</v>
      </c>
      <c r="Z2953" t="str">
        <f t="shared" si="422"/>
        <v>10.220.80.16</v>
      </c>
    </row>
    <row r="2954" spans="1:26" x14ac:dyDescent="0.25">
      <c r="A2954" t="s">
        <v>10</v>
      </c>
      <c r="B2954" t="s">
        <v>1206</v>
      </c>
      <c r="C2954" t="s">
        <v>2173</v>
      </c>
      <c r="D2954" t="s">
        <v>3618</v>
      </c>
      <c r="E2954" t="s">
        <v>2498</v>
      </c>
      <c r="F2954" t="s">
        <v>14</v>
      </c>
      <c r="G2954" t="s">
        <v>2531</v>
      </c>
      <c r="H2954" t="s">
        <v>16</v>
      </c>
      <c r="I2954">
        <v>12027</v>
      </c>
      <c r="J2954" t="s">
        <v>2798</v>
      </c>
      <c r="K2954">
        <f t="shared" si="414"/>
        <v>12027</v>
      </c>
      <c r="N2954" t="str">
        <f t="shared" si="415"/>
        <v>HOLDING REGISTER</v>
      </c>
      <c r="O2954" t="str">
        <f t="shared" si="416"/>
        <v>INT</v>
      </c>
      <c r="P2954" t="str">
        <f t="shared" si="417"/>
        <v>SCENARI CASOLA Scenario E7</v>
      </c>
      <c r="R2954" t="str">
        <f t="shared" si="418"/>
        <v>Scenari -Comando Attivazione Scenario E7: GALLERIA INQUINATA = Cod.17</v>
      </c>
      <c r="U2954" t="str">
        <f t="shared" si="419"/>
        <v>Comando</v>
      </c>
      <c r="V2954" t="str">
        <f t="shared" si="420"/>
        <v>GALLERIA</v>
      </c>
      <c r="W2954" t="str">
        <f t="shared" si="421"/>
        <v>GALLERIA CASOLA</v>
      </c>
      <c r="Z2954" t="str">
        <f t="shared" si="422"/>
        <v>10.220.80.16</v>
      </c>
    </row>
    <row r="2955" spans="1:26" x14ac:dyDescent="0.25">
      <c r="A2955" t="s">
        <v>10</v>
      </c>
      <c r="B2955" t="s">
        <v>1206</v>
      </c>
      <c r="C2955" t="s">
        <v>2173</v>
      </c>
      <c r="D2955" t="s">
        <v>3618</v>
      </c>
      <c r="E2955" t="s">
        <v>2501</v>
      </c>
      <c r="F2955" t="s">
        <v>14</v>
      </c>
      <c r="G2955" t="s">
        <v>2531</v>
      </c>
      <c r="H2955" t="s">
        <v>16</v>
      </c>
      <c r="I2955">
        <v>12027</v>
      </c>
      <c r="J2955" t="s">
        <v>2799</v>
      </c>
      <c r="K2955">
        <f t="shared" si="414"/>
        <v>12027</v>
      </c>
      <c r="N2955" t="str">
        <f t="shared" si="415"/>
        <v>HOLDING REGISTER</v>
      </c>
      <c r="O2955" t="str">
        <f t="shared" si="416"/>
        <v>INT</v>
      </c>
      <c r="P2955" t="str">
        <f t="shared" si="417"/>
        <v>SCENARI CASOLA Scenario E8</v>
      </c>
      <c r="R2955" t="str">
        <f t="shared" si="418"/>
        <v>Scenari -Comando Attivazione Scenario E8: VEICOLO CONTROMANO = Cod.18</v>
      </c>
      <c r="U2955" t="str">
        <f t="shared" si="419"/>
        <v>Comando</v>
      </c>
      <c r="V2955" t="str">
        <f t="shared" si="420"/>
        <v>GALLERIA</v>
      </c>
      <c r="W2955" t="str">
        <f t="shared" si="421"/>
        <v>GALLERIA CASOLA</v>
      </c>
      <c r="Z2955" t="str">
        <f t="shared" si="422"/>
        <v>10.220.80.16</v>
      </c>
    </row>
    <row r="2956" spans="1:26" x14ac:dyDescent="0.25">
      <c r="A2956" t="s">
        <v>10</v>
      </c>
      <c r="B2956" t="s">
        <v>1206</v>
      </c>
      <c r="C2956" t="s">
        <v>2173</v>
      </c>
      <c r="D2956" t="s">
        <v>3618</v>
      </c>
      <c r="E2956" t="s">
        <v>2504</v>
      </c>
      <c r="F2956" t="s">
        <v>14</v>
      </c>
      <c r="G2956" t="s">
        <v>2531</v>
      </c>
      <c r="H2956" t="s">
        <v>16</v>
      </c>
      <c r="I2956">
        <v>12027</v>
      </c>
      <c r="J2956" t="s">
        <v>2800</v>
      </c>
      <c r="K2956">
        <f t="shared" si="414"/>
        <v>12027</v>
      </c>
      <c r="N2956" t="str">
        <f t="shared" si="415"/>
        <v>HOLDING REGISTER</v>
      </c>
      <c r="O2956" t="str">
        <f t="shared" si="416"/>
        <v>INT</v>
      </c>
      <c r="P2956" t="str">
        <f t="shared" si="417"/>
        <v>SCENARI CASOLA Scenario E10</v>
      </c>
      <c r="R2956" t="str">
        <f t="shared" si="418"/>
        <v>Scenari -Comando Attivazione Scenario E10: PREALLARME INCENDIO = Cod.12</v>
      </c>
      <c r="U2956" t="str">
        <f t="shared" si="419"/>
        <v>Comando</v>
      </c>
      <c r="V2956" t="str">
        <f t="shared" si="420"/>
        <v>GALLERIA</v>
      </c>
      <c r="W2956" t="str">
        <f t="shared" si="421"/>
        <v>GALLERIA CASOLA</v>
      </c>
      <c r="Z2956" t="str">
        <f t="shared" si="422"/>
        <v>10.220.80.16</v>
      </c>
    </row>
    <row r="2957" spans="1:26" x14ac:dyDescent="0.25">
      <c r="A2957" t="s">
        <v>10</v>
      </c>
      <c r="B2957" t="s">
        <v>1206</v>
      </c>
      <c r="C2957" t="s">
        <v>2173</v>
      </c>
      <c r="D2957" t="s">
        <v>3618</v>
      </c>
      <c r="E2957" t="s">
        <v>2507</v>
      </c>
      <c r="F2957" t="s">
        <v>14</v>
      </c>
      <c r="G2957" t="s">
        <v>2531</v>
      </c>
      <c r="H2957" t="s">
        <v>16</v>
      </c>
      <c r="I2957">
        <v>12027</v>
      </c>
      <c r="J2957" t="s">
        <v>2801</v>
      </c>
      <c r="K2957">
        <f t="shared" si="414"/>
        <v>12027</v>
      </c>
      <c r="N2957" t="str">
        <f t="shared" si="415"/>
        <v>HOLDING REGISTER</v>
      </c>
      <c r="O2957" t="str">
        <f t="shared" si="416"/>
        <v>INT</v>
      </c>
      <c r="P2957" t="str">
        <f t="shared" si="417"/>
        <v>SCENARI CASOLA Scenario E11</v>
      </c>
      <c r="R2957" t="str">
        <f t="shared" si="418"/>
        <v>Scenari -Comando Attivazione Scenario E11: ALLARME INCENDIO = Cod.10</v>
      </c>
      <c r="U2957" t="str">
        <f t="shared" si="419"/>
        <v>Comando</v>
      </c>
      <c r="V2957" t="str">
        <f t="shared" si="420"/>
        <v>GALLERIA</v>
      </c>
      <c r="W2957" t="str">
        <f t="shared" si="421"/>
        <v>GALLERIA CASOLA</v>
      </c>
      <c r="Z2957" t="str">
        <f t="shared" si="422"/>
        <v>10.220.80.16</v>
      </c>
    </row>
    <row r="2958" spans="1:26" x14ac:dyDescent="0.25">
      <c r="A2958" t="s">
        <v>10</v>
      </c>
      <c r="B2958" t="s">
        <v>1206</v>
      </c>
      <c r="C2958" t="s">
        <v>2173</v>
      </c>
      <c r="D2958" t="s">
        <v>3618</v>
      </c>
      <c r="E2958" t="s">
        <v>2510</v>
      </c>
      <c r="F2958" t="s">
        <v>14</v>
      </c>
      <c r="G2958" t="s">
        <v>2531</v>
      </c>
      <c r="H2958" t="s">
        <v>16</v>
      </c>
      <c r="I2958">
        <v>12027</v>
      </c>
      <c r="J2958" t="s">
        <v>2802</v>
      </c>
      <c r="K2958">
        <f t="shared" si="414"/>
        <v>12027</v>
      </c>
      <c r="N2958" t="str">
        <f t="shared" si="415"/>
        <v>HOLDING REGISTER</v>
      </c>
      <c r="O2958" t="str">
        <f t="shared" si="416"/>
        <v>INT</v>
      </c>
      <c r="P2958" t="str">
        <f t="shared" si="417"/>
        <v>SCENARI CASOLA Scenario V1</v>
      </c>
      <c r="R2958" t="str">
        <f t="shared" si="418"/>
        <v>Scenari -Comando Attivazione Scenario V1: CODA = Cod.31</v>
      </c>
      <c r="U2958" t="str">
        <f t="shared" si="419"/>
        <v>Comando</v>
      </c>
      <c r="V2958" t="str">
        <f t="shared" si="420"/>
        <v>GALLERIA</v>
      </c>
      <c r="W2958" t="str">
        <f t="shared" si="421"/>
        <v>GALLERIA CASOLA</v>
      </c>
      <c r="Z2958" t="str">
        <f t="shared" si="422"/>
        <v>10.220.80.16</v>
      </c>
    </row>
    <row r="2959" spans="1:26" x14ac:dyDescent="0.25">
      <c r="A2959" t="s">
        <v>10</v>
      </c>
      <c r="B2959" t="s">
        <v>1206</v>
      </c>
      <c r="C2959" t="s">
        <v>2173</v>
      </c>
      <c r="D2959" t="s">
        <v>3618</v>
      </c>
      <c r="E2959" t="s">
        <v>2513</v>
      </c>
      <c r="F2959" t="s">
        <v>14</v>
      </c>
      <c r="G2959" t="s">
        <v>2531</v>
      </c>
      <c r="H2959" t="s">
        <v>16</v>
      </c>
      <c r="I2959">
        <v>12027</v>
      </c>
      <c r="J2959" t="s">
        <v>2803</v>
      </c>
      <c r="K2959">
        <f t="shared" si="414"/>
        <v>12027</v>
      </c>
      <c r="N2959" t="str">
        <f t="shared" si="415"/>
        <v>HOLDING REGISTER</v>
      </c>
      <c r="O2959" t="str">
        <f t="shared" si="416"/>
        <v>INT</v>
      </c>
      <c r="P2959" t="str">
        <f t="shared" si="417"/>
        <v>SCENARI CASOLA Scenario V6</v>
      </c>
      <c r="R2959" t="str">
        <f t="shared" si="418"/>
        <v>Scenari -Comando Attivazione Scenario V6 -Galleria chiusa = Cod.21</v>
      </c>
      <c r="U2959" t="str">
        <f t="shared" si="419"/>
        <v>Comando</v>
      </c>
      <c r="V2959" t="str">
        <f t="shared" si="420"/>
        <v>GALLERIA</v>
      </c>
      <c r="W2959" t="str">
        <f t="shared" si="421"/>
        <v>GALLERIA CASOLA</v>
      </c>
      <c r="Z2959" t="str">
        <f t="shared" si="422"/>
        <v>10.220.80.16</v>
      </c>
    </row>
    <row r="2960" spans="1:26" x14ac:dyDescent="0.25">
      <c r="A2960" t="s">
        <v>10</v>
      </c>
      <c r="B2960" t="s">
        <v>1206</v>
      </c>
      <c r="C2960" t="s">
        <v>2173</v>
      </c>
      <c r="D2960" t="s">
        <v>3618</v>
      </c>
      <c r="E2960" t="s">
        <v>2516</v>
      </c>
      <c r="F2960" t="s">
        <v>14</v>
      </c>
      <c r="G2960" t="s">
        <v>2531</v>
      </c>
      <c r="H2960" t="s">
        <v>16</v>
      </c>
      <c r="I2960">
        <v>12027</v>
      </c>
      <c r="J2960" t="s">
        <v>2804</v>
      </c>
      <c r="K2960">
        <f t="shared" si="414"/>
        <v>12027</v>
      </c>
      <c r="N2960" t="str">
        <f t="shared" si="415"/>
        <v>HOLDING REGISTER</v>
      </c>
      <c r="O2960" t="str">
        <f t="shared" si="416"/>
        <v>INT</v>
      </c>
      <c r="P2960" t="str">
        <f t="shared" si="417"/>
        <v>SCENARI CASOLA Scenario V4</v>
      </c>
      <c r="R2960" t="str">
        <f t="shared" si="418"/>
        <v>Scenari -Comando Attivazione Scenario V4 -Corsia Marcia Sud = Cod.22</v>
      </c>
      <c r="U2960" t="str">
        <f t="shared" si="419"/>
        <v>Comando</v>
      </c>
      <c r="V2960" t="str">
        <f t="shared" si="420"/>
        <v>GALLERIA</v>
      </c>
      <c r="W2960" t="str">
        <f t="shared" si="421"/>
        <v>GALLERIA CASOLA</v>
      </c>
      <c r="Z2960" t="str">
        <f t="shared" si="422"/>
        <v>10.220.80.16</v>
      </c>
    </row>
    <row r="2961" spans="2:26" x14ac:dyDescent="0.25">
      <c r="B2961" t="s">
        <v>1206</v>
      </c>
      <c r="C2961" t="s">
        <v>2173</v>
      </c>
      <c r="D2961" t="s">
        <v>3618</v>
      </c>
      <c r="E2961" t="s">
        <v>2519</v>
      </c>
      <c r="F2961" t="s">
        <v>14</v>
      </c>
      <c r="G2961" t="s">
        <v>2531</v>
      </c>
      <c r="H2961" t="s">
        <v>16</v>
      </c>
      <c r="I2961">
        <v>12027</v>
      </c>
      <c r="J2961" t="s">
        <v>2805</v>
      </c>
      <c r="K2961">
        <f t="shared" si="414"/>
        <v>12027</v>
      </c>
      <c r="N2961" t="str">
        <f t="shared" si="415"/>
        <v>HOLDING REGISTER</v>
      </c>
      <c r="O2961" t="str">
        <f t="shared" si="416"/>
        <v>INT</v>
      </c>
      <c r="P2961" t="str">
        <f t="shared" si="417"/>
        <v>SCENARI CASOLA Scenario V5</v>
      </c>
      <c r="R2961" t="str">
        <f t="shared" si="418"/>
        <v>Scenari -Comando Attivazione Scenario V5 -Corsia Marcia Nord = Cod.23</v>
      </c>
      <c r="U2961" t="str">
        <f t="shared" si="419"/>
        <v>Comando</v>
      </c>
      <c r="V2961" t="str">
        <f t="shared" si="420"/>
        <v>GALLERIA</v>
      </c>
      <c r="W2961" t="str">
        <f t="shared" si="421"/>
        <v>GALLERIA CASOLA</v>
      </c>
      <c r="Z2961" t="str">
        <f t="shared" si="422"/>
        <v/>
      </c>
    </row>
  </sheetData>
  <autoFilter ref="A1:Z296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Bisericaru Alexandru</dc:creator>
  <cp:lastModifiedBy>Bisericaru Alexandru</cp:lastModifiedBy>
  <dcterms:created xsi:type="dcterms:W3CDTF">2015-06-05T18:19:34Z</dcterms:created>
  <dcterms:modified xsi:type="dcterms:W3CDTF">2024-12-19T15:01:56Z</dcterms:modified>
</cp:coreProperties>
</file>